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" sheetId="1" state="visible" r:id="rId3"/>
    <sheet name="Price List" sheetId="2" state="visible" r:id="rId4"/>
    <sheet name="Suppliers" sheetId="3" state="visible" r:id="rId5"/>
    <sheet name="Lists" sheetId="4" state="hidden" r:id="rId6"/>
  </sheets>
  <definedNames>
    <definedName function="false" hidden="false" name="AllItems" vbProcedure="false">Lists!$C$2:$C$336</definedName>
    <definedName function="false" hidden="false" name="CategoryList" vbProcedure="false">Lists!$B$2:$B$32</definedName>
    <definedName function="false" hidden="false" name="ItemList" vbProcedure="false">IF(OR(Search!$C$5="",Search!$C$5="All"),Lists!$C$2:$C$336,OFFSET(Lists!$E$1,MATCH(Search!$C$5,Lists!$D$2:$D$340,0),0,COUNTIF(Lists!$D$2:$D$340,Search!$C$5),1))</definedName>
    <definedName function="false" hidden="false" name="SupplierList" vbProcedure="false">Lists!$A$2:$A$11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Prices transcribed from each supplier's price list (see Suppliers tab for source file and date). Blank = price on request / see Notes.</t>
        </r>
      </text>
    </comment>
  </commentList>
</comments>
</file>

<file path=xl/sharedStrings.xml><?xml version="1.0" encoding="utf-8"?>
<sst xmlns="http://schemas.openxmlformats.org/spreadsheetml/2006/main" count="11153" uniqueCount="1245">
  <si>
    <t xml:space="preserve">CONSOLIDATED SUPPLIER PRICE LIST - SEARCH</t>
  </si>
  <si>
    <t xml:space="preserve">Pick from the yellow dropdowns (or type a keyword). Leave a box blank or 'All' to ignore it. Item list follows the chosen Category.</t>
  </si>
  <si>
    <t xml:space="preserve">Supplier</t>
  </si>
  <si>
    <t xml:space="preserve">All</t>
  </si>
  <si>
    <t xml:space="preserve">Matches found:</t>
  </si>
  <si>
    <t xml:space="preserve">Category</t>
  </si>
  <si>
    <t xml:space="preserve">Showing up to:</t>
  </si>
  <si>
    <t xml:space="preserve">Item / Brand</t>
  </si>
  <si>
    <t xml:space="preserve">Total items in list:</t>
  </si>
  <si>
    <t xml:space="preserve">Keyword (any text)</t>
  </si>
  <si>
    <t xml:space="preserve">Example: Keyword 'Conqueror', Size '25 x 38'</t>
  </si>
  <si>
    <t xml:space="preserve">Size contains</t>
  </si>
  <si>
    <t xml:space="preserve">#</t>
  </si>
  <si>
    <t xml:space="preserve">Description / Color</t>
  </si>
  <si>
    <t xml:space="preserve">GSM / Caliper / Code</t>
  </si>
  <si>
    <t xml:space="preserve">Size</t>
  </si>
  <si>
    <t xml:space="preserve">Unit / Packing</t>
  </si>
  <si>
    <t xml:space="preserve">Price (PHP)</t>
  </si>
  <si>
    <t xml:space="preserve">Notes</t>
  </si>
  <si>
    <t xml:space="preserve">Price List Date</t>
  </si>
  <si>
    <t xml:space="preserve">row</t>
  </si>
  <si>
    <t xml:space="preserve">ID</t>
  </si>
  <si>
    <t xml:space="preserve">Match</t>
  </si>
  <si>
    <t xml:space="preserve">Match #</t>
  </si>
  <si>
    <t xml:space="preserve">Hi-Gloss Lamination, Inc.</t>
  </si>
  <si>
    <t xml:space="preserve">Lamination / Finishing Service</t>
  </si>
  <si>
    <t xml:space="preserve">5D Spot Hologram (3 Designs)</t>
  </si>
  <si>
    <t xml:space="preserve">per sq. inch</t>
  </si>
  <si>
    <t xml:space="preserve">Min. P2.00/sheet; Min. P1,500.00/job</t>
  </si>
  <si>
    <t xml:space="preserve">Sep 2018</t>
  </si>
  <si>
    <t xml:space="preserve">3D Dyna Spot (Pattern)</t>
  </si>
  <si>
    <t xml:space="preserve">Min. P1.00/sheet; Min. P1,000.00/job</t>
  </si>
  <si>
    <t xml:space="preserve">3D Spot (Ordinary / Semi-Heavy Duty)</t>
  </si>
  <si>
    <t xml:space="preserve">3D Spot (Heavy Duty)</t>
  </si>
  <si>
    <t xml:space="preserve">3D Glitters (Multi-Colored)</t>
  </si>
  <si>
    <t xml:space="preserve">3D Spot (Matt)</t>
  </si>
  <si>
    <t xml:space="preserve">3D Stone Finish</t>
  </si>
  <si>
    <t xml:space="preserve">Texture Embossing</t>
  </si>
  <si>
    <t xml:space="preserve">Min. P0.50/sheet; Min. P500.00/job</t>
  </si>
  <si>
    <t xml:space="preserve">UV Coating (Full / Spot)</t>
  </si>
  <si>
    <t xml:space="preserve">Min. P0.60/sheet; Min. P500.00/job</t>
  </si>
  <si>
    <t xml:space="preserve">Plastic Glossy Lamination</t>
  </si>
  <si>
    <t xml:space="preserve">Min. P0.70/sheet; Min. P900.00/job</t>
  </si>
  <si>
    <t xml:space="preserve">Window Lamination</t>
  </si>
  <si>
    <t xml:space="preserve">Min. P0.90/sheet; Min. P900.00/job</t>
  </si>
  <si>
    <t xml:space="preserve">Matt Lamination</t>
  </si>
  <si>
    <t xml:space="preserve">Japan Blister (2 Layers)</t>
  </si>
  <si>
    <t xml:space="preserve">Min. P0.80/sheet; Min. P500.00/job</t>
  </si>
  <si>
    <t xml:space="preserve">Hologram Lamination</t>
  </si>
  <si>
    <t xml:space="preserve">Width 12"</t>
  </si>
  <si>
    <t xml:space="preserve">Min. P2.00/sheet; Min. P1,000.00/job</t>
  </si>
  <si>
    <t xml:space="preserve">Wax Lamination</t>
  </si>
  <si>
    <t xml:space="preserve">Velvet Soft Touch</t>
  </si>
  <si>
    <t xml:space="preserve">Width 12.5", 18.75", 24"</t>
  </si>
  <si>
    <t xml:space="preserve">Metallized Lamination</t>
  </si>
  <si>
    <t xml:space="preserve">Silver</t>
  </si>
  <si>
    <t xml:space="preserve">Width 31" or 25"</t>
  </si>
  <si>
    <t xml:space="preserve">Min. P2,000.00/job</t>
  </si>
  <si>
    <t xml:space="preserve">Gold</t>
  </si>
  <si>
    <t xml:space="preserve">Red / Green</t>
  </si>
  <si>
    <t xml:space="preserve">Width 31"</t>
  </si>
  <si>
    <t xml:space="preserve">Spot UV Blanket Charge (glue lap/expiry date)</t>
  </si>
  <si>
    <t xml:space="preserve">Small</t>
  </si>
  <si>
    <t xml:space="preserve">23" x 28"</t>
  </si>
  <si>
    <t xml:space="preserve">per job</t>
  </si>
  <si>
    <t xml:space="preserve">Big</t>
  </si>
  <si>
    <t xml:space="preserve">34" x 40"</t>
  </si>
  <si>
    <t xml:space="preserve">3D Spot Exposure Charge</t>
  </si>
  <si>
    <t xml:space="preserve">Small / medium size</t>
  </si>
  <si>
    <t xml:space="preserve">below 20" x 28"</t>
  </si>
  <si>
    <t xml:space="preserve">per design</t>
  </si>
  <si>
    <t xml:space="preserve">Requires positive emulsion up film</t>
  </si>
  <si>
    <t xml:space="preserve">Large size</t>
  </si>
  <si>
    <t xml:space="preserve">20" x 28" and above</t>
  </si>
  <si>
    <t xml:space="preserve">3D Spot - Digital Jobs</t>
  </si>
  <si>
    <t xml:space="preserve">Minimum charge</t>
  </si>
  <si>
    <t xml:space="preserve">Commerce Asia, Inc.</t>
  </si>
  <si>
    <t xml:space="preserve">Lamination Film</t>
  </si>
  <si>
    <t xml:space="preserve">Thermal OPP Film (for offset)</t>
  </si>
  <si>
    <t xml:space="preserve">Glossy/25, 58mm core</t>
  </si>
  <si>
    <t xml:space="preserve">23110-0305-1000-58</t>
  </si>
  <si>
    <t xml:space="preserve">305mm (12 in) x 1000M</t>
  </si>
  <si>
    <t xml:space="preserve">roll</t>
  </si>
  <si>
    <t xml:space="preserve">SRP P4,850.00 less 44% discount</t>
  </si>
  <si>
    <t xml:space="preserve">Jul 20, 2026</t>
  </si>
  <si>
    <t xml:space="preserve">23110-0320-1000-58</t>
  </si>
  <si>
    <t xml:space="preserve">320mm (12.6 in) x 1000M</t>
  </si>
  <si>
    <t xml:space="preserve">SRP P5,110.00 less 44% discount</t>
  </si>
  <si>
    <t xml:space="preserve">23110-0330-1000-58</t>
  </si>
  <si>
    <t xml:space="preserve">330mm (13 in) x 1000M</t>
  </si>
  <si>
    <t xml:space="preserve">SRP P5,250.00 less 44% discount</t>
  </si>
  <si>
    <t xml:space="preserve">23110-0360-1000-58</t>
  </si>
  <si>
    <t xml:space="preserve">360mm (14.17 in) x 1000M</t>
  </si>
  <si>
    <t xml:space="preserve">SRP P5,720.00 less 44% discount</t>
  </si>
  <si>
    <t xml:space="preserve">23110-0385-1000-58</t>
  </si>
  <si>
    <t xml:space="preserve">385mm (15.16 in) x 1000M</t>
  </si>
  <si>
    <t xml:space="preserve">SRP P6,150.00 less 44% discount</t>
  </si>
  <si>
    <t xml:space="preserve">23110-0410-1000-58</t>
  </si>
  <si>
    <t xml:space="preserve">410mm (16.14 in) x 1000M</t>
  </si>
  <si>
    <t xml:space="preserve">SRP P6,520.00 less 44% discount</t>
  </si>
  <si>
    <t xml:space="preserve">23110-0432-1000-58</t>
  </si>
  <si>
    <t xml:space="preserve">432mm (17 in) x 1000M</t>
  </si>
  <si>
    <t xml:space="preserve">SRP P6,900.00 less 44% discount</t>
  </si>
  <si>
    <t xml:space="preserve">23110-0460-1000-58</t>
  </si>
  <si>
    <t xml:space="preserve">460mm (18.11 in) x 1000M</t>
  </si>
  <si>
    <t xml:space="preserve">SRP P7,300.00 less 44% discount</t>
  </si>
  <si>
    <t xml:space="preserve">23110-0485-1000-58</t>
  </si>
  <si>
    <t xml:space="preserve">485mm (19.09 in) x 1000M</t>
  </si>
  <si>
    <t xml:space="preserve">SRP P7,750.00 less 44% discount</t>
  </si>
  <si>
    <t xml:space="preserve">23110-0635-1000-58</t>
  </si>
  <si>
    <t xml:space="preserve">635mm (25 in) x 1000M</t>
  </si>
  <si>
    <t xml:space="preserve">SRP P10,100.00 less 44% discount</t>
  </si>
  <si>
    <t xml:space="preserve">Matt/28, 58mm core</t>
  </si>
  <si>
    <t xml:space="preserve">23111-0305-1000-58</t>
  </si>
  <si>
    <t xml:space="preserve">SRP P6,300.00 less 44% discount</t>
  </si>
  <si>
    <t xml:space="preserve">23111-0320-1000-58</t>
  </si>
  <si>
    <t xml:space="preserve">SRP P6,590.00 less 44% discount</t>
  </si>
  <si>
    <t xml:space="preserve">23111-0330-1000-58</t>
  </si>
  <si>
    <t xml:space="preserve">SRP P6,750.00 less 44% discount</t>
  </si>
  <si>
    <t xml:space="preserve">23111-0385-1000-58</t>
  </si>
  <si>
    <t xml:space="preserve">SRP P7,950.00 less 44% discount</t>
  </si>
  <si>
    <t xml:space="preserve">23111-0460-1000-58</t>
  </si>
  <si>
    <t xml:space="preserve">SRP P9,500.00 less 44% discount</t>
  </si>
  <si>
    <t xml:space="preserve">23111-0485-1000-58</t>
  </si>
  <si>
    <t xml:space="preserve">SRP P10,050.00 less 44% discount</t>
  </si>
  <si>
    <t xml:space="preserve">23111-0635-1000-58</t>
  </si>
  <si>
    <t xml:space="preserve">SRP P13,000.00 less 44% discount</t>
  </si>
  <si>
    <t xml:space="preserve">Tigerbond Film (for digital)</t>
  </si>
  <si>
    <t xml:space="preserve">Polynex Tigerbond PT Glossy/40</t>
  </si>
  <si>
    <t xml:space="preserve">23010-0330-1000-58-VT</t>
  </si>
  <si>
    <t xml:space="preserve">SRP P16,279.00 less 33% discount</t>
  </si>
  <si>
    <t xml:space="preserve">23010-0457-1000-58-VT</t>
  </si>
  <si>
    <t xml:space="preserve">457mm (18 in) x 1000M</t>
  </si>
  <si>
    <t xml:space="preserve">SRP P22,316.00 less 33% discount</t>
  </si>
  <si>
    <t xml:space="preserve">23010-0483-1000-58-VT</t>
  </si>
  <si>
    <t xml:space="preserve">483mm (19 in) x 1000M</t>
  </si>
  <si>
    <t xml:space="preserve">SRP P23,588.00 less 33% discount</t>
  </si>
  <si>
    <t xml:space="preserve">Polynex Tigerbond PT Matt/40</t>
  </si>
  <si>
    <t xml:space="preserve">23011-0330-1000-58-VT</t>
  </si>
  <si>
    <t xml:space="preserve">SRP P17,933.00 less 33% discount</t>
  </si>
  <si>
    <t xml:space="preserve">23011-0457-1000-58-VT</t>
  </si>
  <si>
    <t xml:space="preserve">SRP P24,835.00 less 33% discount</t>
  </si>
  <si>
    <t xml:space="preserve">23011-0483-1000-58-VT</t>
  </si>
  <si>
    <t xml:space="preserve">SRP P26,248.00 less 33% discount</t>
  </si>
  <si>
    <t xml:space="preserve">Thermal PET Film (offset &amp; digital)</t>
  </si>
  <si>
    <t xml:space="preserve">Glossy/32-G, 58mm core</t>
  </si>
  <si>
    <t xml:space="preserve">21003-0330-150-G58</t>
  </si>
  <si>
    <t xml:space="preserve">330mm (13 in) x 150M</t>
  </si>
  <si>
    <t xml:space="preserve">SRP P1,580.00 less 25% discount</t>
  </si>
  <si>
    <t xml:space="preserve">21003-0457-150-G58</t>
  </si>
  <si>
    <t xml:space="preserve">457mm (18 in) x 150M</t>
  </si>
  <si>
    <t xml:space="preserve">SRP P2,190.00 less 25% discount</t>
  </si>
  <si>
    <t xml:space="preserve">Matt/32-G, 58mm core</t>
  </si>
  <si>
    <t xml:space="preserve">21103-0330-150-G58</t>
  </si>
  <si>
    <t xml:space="preserve">SRP P4,260.00 less 25% discount</t>
  </si>
  <si>
    <t xml:space="preserve">21103-0457-150-G58</t>
  </si>
  <si>
    <t xml:space="preserve">SRP P5,900.00 less 25% discount</t>
  </si>
  <si>
    <t xml:space="preserve">Crosspoint Paper (Silang, Cavite)</t>
  </si>
  <si>
    <t xml:space="preserve">Newsprint</t>
  </si>
  <si>
    <t xml:space="preserve">52 gsm</t>
  </si>
  <si>
    <t xml:space="preserve">24 x 36</t>
  </si>
  <si>
    <t xml:space="preserve">ream</t>
  </si>
  <si>
    <t xml:space="preserve">2025</t>
  </si>
  <si>
    <t xml:space="preserve">34 x 28</t>
  </si>
  <si>
    <t xml:space="preserve">34 x 22</t>
  </si>
  <si>
    <t xml:space="preserve">48.8 gsm</t>
  </si>
  <si>
    <t xml:space="preserve">Book Paper</t>
  </si>
  <si>
    <t xml:space="preserve">Book 40#</t>
  </si>
  <si>
    <t xml:space="preserve">Ream weight 32 lbs</t>
  </si>
  <si>
    <t xml:space="preserve">sub 18 / 60 gsm</t>
  </si>
  <si>
    <t xml:space="preserve">22 x 34</t>
  </si>
  <si>
    <t xml:space="preserve">Ream weight 41 lbs</t>
  </si>
  <si>
    <t xml:space="preserve">Ream weight 40 lbs</t>
  </si>
  <si>
    <t xml:space="preserve">25 x 38</t>
  </si>
  <si>
    <t xml:space="preserve">38 x 25</t>
  </si>
  <si>
    <t xml:space="preserve">25 x 34</t>
  </si>
  <si>
    <t xml:space="preserve">Book 50#</t>
  </si>
  <si>
    <t xml:space="preserve">sub 20 / 70 gsm</t>
  </si>
  <si>
    <t xml:space="preserve">Ream weight 51 lbs</t>
  </si>
  <si>
    <t xml:space="preserve">Ream weight 50 lbs</t>
  </si>
  <si>
    <t xml:space="preserve">Book 60#</t>
  </si>
  <si>
    <t xml:space="preserve">Ream weight 48 lbs</t>
  </si>
  <si>
    <t xml:space="preserve">sub 24 / 80 gsm</t>
  </si>
  <si>
    <t xml:space="preserve">Ream weight 61 lbs</t>
  </si>
  <si>
    <t xml:space="preserve">Ream weight 60 lbs</t>
  </si>
  <si>
    <t xml:space="preserve">Book 70#</t>
  </si>
  <si>
    <t xml:space="preserve">Ream weight 56 lbs</t>
  </si>
  <si>
    <t xml:space="preserve">100 gsm</t>
  </si>
  <si>
    <t xml:space="preserve">Ream weight 71 lbs</t>
  </si>
  <si>
    <t xml:space="preserve">Ream weight 70 lbs</t>
  </si>
  <si>
    <t xml:space="preserve">Book 80#</t>
  </si>
  <si>
    <t xml:space="preserve">Ream weight 64 lbs</t>
  </si>
  <si>
    <t xml:space="preserve">120 gsm</t>
  </si>
  <si>
    <t xml:space="preserve">Ream weight 81 lbs</t>
  </si>
  <si>
    <t xml:space="preserve">Ream weight 80 lbs</t>
  </si>
  <si>
    <t xml:space="preserve">Price per lb (reference)</t>
  </si>
  <si>
    <t xml:space="preserve">70 gsm</t>
  </si>
  <si>
    <t xml:space="preserve">per lb</t>
  </si>
  <si>
    <t xml:space="preserve">Per-lb rate shown on price list</t>
  </si>
  <si>
    <t xml:space="preserve">NAPPCO (Nov 7, 2023 list)</t>
  </si>
  <si>
    <t xml:space="preserve">Paperboard</t>
  </si>
  <si>
    <t xml:space="preserve">Foldcote - Sandwich</t>
  </si>
  <si>
    <t xml:space="preserve">Cal. 10</t>
  </si>
  <si>
    <t xml:space="preserve">sheet</t>
  </si>
  <si>
    <t xml:space="preserve">Nov 7, 2023</t>
  </si>
  <si>
    <t xml:space="preserve">Foldcote - Solid</t>
  </si>
  <si>
    <t xml:space="preserve">Claycoat</t>
  </si>
  <si>
    <t xml:space="preserve">KR / TW</t>
  </si>
  <si>
    <t xml:space="preserve">Carrier (All Kinds)</t>
  </si>
  <si>
    <t xml:space="preserve">Cal. 12</t>
  </si>
  <si>
    <t xml:space="preserve">Cal. 15</t>
  </si>
  <si>
    <t xml:space="preserve">KR 12.50 / TW 13.00</t>
  </si>
  <si>
    <t xml:space="preserve">Cal. 18</t>
  </si>
  <si>
    <t xml:space="preserve">KR 14.00 / TW 14.50</t>
  </si>
  <si>
    <t xml:space="preserve">Cal. 20</t>
  </si>
  <si>
    <t xml:space="preserve">KR 16.50 / TW 17.00</t>
  </si>
  <si>
    <t xml:space="preserve">Cal. 22</t>
  </si>
  <si>
    <t xml:space="preserve">Cal. 24</t>
  </si>
  <si>
    <t xml:space="preserve">KR 18.00 / TW 18.50</t>
  </si>
  <si>
    <t xml:space="preserve">Cal. 26</t>
  </si>
  <si>
    <t xml:space="preserve">CCKB</t>
  </si>
  <si>
    <t xml:space="preserve">Claycoat price + 1</t>
  </si>
  <si>
    <t xml:space="preserve">Price = Claycoat + P1.00; Carrier cal.11 (SK) = P14</t>
  </si>
  <si>
    <t xml:space="preserve">MK</t>
  </si>
  <si>
    <t xml:space="preserve">Same price as Solid</t>
  </si>
  <si>
    <t xml:space="preserve">37 x 45</t>
  </si>
  <si>
    <t xml:space="preserve">Same price as Foldcote Solid, base size 37x45</t>
  </si>
  <si>
    <t xml:space="preserve">Tagboard</t>
  </si>
  <si>
    <t xml:space="preserve">14 pts</t>
  </si>
  <si>
    <t xml:space="preserve">Coated Paper (C2S/Matte)</t>
  </si>
  <si>
    <t xml:space="preserve">C2S / Matte</t>
  </si>
  <si>
    <t xml:space="preserve">#55</t>
  </si>
  <si>
    <t xml:space="preserve">#60</t>
  </si>
  <si>
    <t xml:space="preserve">#70</t>
  </si>
  <si>
    <t xml:space="preserve">#80</t>
  </si>
  <si>
    <t xml:space="preserve">#100</t>
  </si>
  <si>
    <t xml:space="preserve">#120</t>
  </si>
  <si>
    <t xml:space="preserve">#140</t>
  </si>
  <si>
    <t xml:space="preserve">#160</t>
  </si>
  <si>
    <t xml:space="preserve">#180</t>
  </si>
  <si>
    <t xml:space="preserve">#220</t>
  </si>
  <si>
    <t xml:space="preserve">#240</t>
  </si>
  <si>
    <t xml:space="preserve">Coated Paper (C1S)</t>
  </si>
  <si>
    <t xml:space="preserve">C1S</t>
  </si>
  <si>
    <t xml:space="preserve">Book - White</t>
  </si>
  <si>
    <t xml:space="preserve">#40 (60gsm)</t>
  </si>
  <si>
    <t xml:space="preserve">#50 (70gsm)</t>
  </si>
  <si>
    <t xml:space="preserve">#60 (80gsm)</t>
  </si>
  <si>
    <t xml:space="preserve">#70 (100gsm)</t>
  </si>
  <si>
    <t xml:space="preserve">#80 (115gsm)</t>
  </si>
  <si>
    <t xml:space="preserve">Book - Ivory or Cream</t>
  </si>
  <si>
    <t xml:space="preserve">Board / Specialty</t>
  </si>
  <si>
    <t xml:space="preserve">Pasteboard</t>
  </si>
  <si>
    <t xml:space="preserve">bale</t>
  </si>
  <si>
    <t xml:space="preserve">Chipboard</t>
  </si>
  <si>
    <t xml:space="preserve">Tissue</t>
  </si>
  <si>
    <t xml:space="preserve">Parchment</t>
  </si>
  <si>
    <t xml:space="preserve">Glassine</t>
  </si>
  <si>
    <t xml:space="preserve">Bond Paper</t>
  </si>
  <si>
    <t xml:space="preserve">BE 49gsm</t>
  </si>
  <si>
    <t xml:space="preserve">Kilo price P62/kg</t>
  </si>
  <si>
    <t xml:space="preserve">TE 48gsm</t>
  </si>
  <si>
    <t xml:space="preserve">Kilo price P63/kg</t>
  </si>
  <si>
    <t xml:space="preserve">TE 51gsm</t>
  </si>
  <si>
    <t xml:space="preserve">MT 51gsm</t>
  </si>
  <si>
    <t xml:space="preserve">Kilo price P65/kg</t>
  </si>
  <si>
    <t xml:space="preserve">MT 54gsm</t>
  </si>
  <si>
    <t xml:space="preserve">MT 58gsm</t>
  </si>
  <si>
    <t xml:space="preserve">MT 68gsm</t>
  </si>
  <si>
    <t xml:space="preserve">Colored Bond</t>
  </si>
  <si>
    <t xml:space="preserve">JN Book 45g</t>
  </si>
  <si>
    <t xml:space="preserve">Kilo price P86/kg</t>
  </si>
  <si>
    <t xml:space="preserve">JN Book 50g</t>
  </si>
  <si>
    <t xml:space="preserve">Kilo price P80/kg</t>
  </si>
  <si>
    <t xml:space="preserve">JN Book 55/60g</t>
  </si>
  <si>
    <t xml:space="preserve">Kilo price P75/kg</t>
  </si>
  <si>
    <t xml:space="preserve">43gsm</t>
  </si>
  <si>
    <t xml:space="preserve">Kilo price P60/kg</t>
  </si>
  <si>
    <t xml:space="preserve">45gsm</t>
  </si>
  <si>
    <t xml:space="preserve">50gsm</t>
  </si>
  <si>
    <t xml:space="preserve">52gsm</t>
  </si>
  <si>
    <t xml:space="preserve">Kilo price P64/kg</t>
  </si>
  <si>
    <t xml:space="preserve">Bristol / Vellum</t>
  </si>
  <si>
    <t xml:space="preserve">Bristol / Vellum - Imported</t>
  </si>
  <si>
    <t xml:space="preserve">22.5 x 28.5</t>
  </si>
  <si>
    <t xml:space="preserve">Bristol / Vellum - Local</t>
  </si>
  <si>
    <t xml:space="preserve">110-120gsm</t>
  </si>
  <si>
    <t xml:space="preserve">140 gsm</t>
  </si>
  <si>
    <t xml:space="preserve">180 gsm</t>
  </si>
  <si>
    <t xml:space="preserve">230 gsm</t>
  </si>
  <si>
    <t xml:space="preserve">Colored (230g)</t>
  </si>
  <si>
    <t xml:space="preserve">Colored (100g)</t>
  </si>
  <si>
    <t xml:space="preserve">Local is 110gsm</t>
  </si>
  <si>
    <t xml:space="preserve">Kraft Paper</t>
  </si>
  <si>
    <t xml:space="preserve">Kraft Paper - Local</t>
  </si>
  <si>
    <t xml:space="preserve">35 (50#)</t>
  </si>
  <si>
    <t xml:space="preserve">36 x 48</t>
  </si>
  <si>
    <t xml:space="preserve">40 (55#)</t>
  </si>
  <si>
    <t xml:space="preserve">50-53 (60#)</t>
  </si>
  <si>
    <t xml:space="preserve">Kraft Paper - Imported</t>
  </si>
  <si>
    <t xml:space="preserve">Kraft Paper - Bleach</t>
  </si>
  <si>
    <t xml:space="preserve">60 (70#)</t>
  </si>
  <si>
    <t xml:space="preserve">63-65 (80#)</t>
  </si>
  <si>
    <t xml:space="preserve">70 (80#)</t>
  </si>
  <si>
    <t xml:space="preserve">80 (100#)</t>
  </si>
  <si>
    <t xml:space="preserve">90 (110#)</t>
  </si>
  <si>
    <t xml:space="preserve">100 (120#)</t>
  </si>
  <si>
    <t xml:space="preserve">110 (135#)</t>
  </si>
  <si>
    <t xml:space="preserve">115 (140#)</t>
  </si>
  <si>
    <t xml:space="preserve">Kraft Paper - Kraft Top</t>
  </si>
  <si>
    <t xml:space="preserve">120 (150#)</t>
  </si>
  <si>
    <t xml:space="preserve">125 (155#)</t>
  </si>
  <si>
    <t xml:space="preserve">130 (160#)</t>
  </si>
  <si>
    <t xml:space="preserve">135 (165#)</t>
  </si>
  <si>
    <t xml:space="preserve">140 (175#)</t>
  </si>
  <si>
    <t xml:space="preserve">150 (185#)</t>
  </si>
  <si>
    <t xml:space="preserve">155 (190#)</t>
  </si>
  <si>
    <t xml:space="preserve">160 (195#)</t>
  </si>
  <si>
    <t xml:space="preserve">170 (210#)</t>
  </si>
  <si>
    <t xml:space="preserve">175 (215#)</t>
  </si>
  <si>
    <t xml:space="preserve">200 (245#)</t>
  </si>
  <si>
    <t xml:space="preserve">250 (300#)</t>
  </si>
  <si>
    <t xml:space="preserve">300 (400#)</t>
  </si>
  <si>
    <t xml:space="preserve">Kilo price</t>
  </si>
  <si>
    <t xml:space="preserve">per kg</t>
  </si>
  <si>
    <t xml:space="preserve">Counter roll: add 35%. Kraft GSM = lbs x 1.6275 x 2. 35-40gsm KFSK sold as KFPR; 130-175gsm price is of SK origin.</t>
  </si>
  <si>
    <t xml:space="preserve">Carbonless Paper</t>
  </si>
  <si>
    <t xml:space="preserve">CB White 48</t>
  </si>
  <si>
    <t xml:space="preserve">CB White 55</t>
  </si>
  <si>
    <t xml:space="preserve">CFB Color/White</t>
  </si>
  <si>
    <t xml:space="preserve">CF Color/White</t>
  </si>
  <si>
    <t xml:space="preserve">Cast Coated (Kromkote)</t>
  </si>
  <si>
    <t xml:space="preserve">Kromkote</t>
  </si>
  <si>
    <t xml:space="preserve">#189</t>
  </si>
  <si>
    <t xml:space="preserve">Per sheet</t>
  </si>
  <si>
    <t xml:space="preserve">Sticker Paper</t>
  </si>
  <si>
    <t xml:space="preserve">Sticker - Satin</t>
  </si>
  <si>
    <t xml:space="preserve">Sticker - High Gloss</t>
  </si>
  <si>
    <t xml:space="preserve">Sticker - Book</t>
  </si>
  <si>
    <t xml:space="preserve">Greaseproof Paper</t>
  </si>
  <si>
    <t xml:space="preserve">Greaseproof</t>
  </si>
  <si>
    <t xml:space="preserve">26gsm</t>
  </si>
  <si>
    <t xml:space="preserve">30gsm</t>
  </si>
  <si>
    <t xml:space="preserve">34/35gsm</t>
  </si>
  <si>
    <t xml:space="preserve">38gsm (IJ)</t>
  </si>
  <si>
    <t xml:space="preserve">38gsm (TD)</t>
  </si>
  <si>
    <t xml:space="preserve">60gsm</t>
  </si>
  <si>
    <t xml:space="preserve">NAPPCO (April list - latest)</t>
  </si>
  <si>
    <t xml:space="preserve">April (year not shown)</t>
  </si>
  <si>
    <t xml:space="preserve">All Kinds</t>
  </si>
  <si>
    <t xml:space="preserve">Handwritten update</t>
  </si>
  <si>
    <t xml:space="preserve">Handwritten update ~12.50</t>
  </si>
  <si>
    <t xml:space="preserve">Printed 14.00/14.50</t>
  </si>
  <si>
    <t xml:space="preserve">Printed 15.00/15.50</t>
  </si>
  <si>
    <t xml:space="preserve">Printed 16.00/16.50</t>
  </si>
  <si>
    <t xml:space="preserve">Price = Claycoat + P1.00</t>
  </si>
  <si>
    <t xml:space="preserve">Kilo price P57/kg</t>
  </si>
  <si>
    <t xml:space="preserve">Kilo price P59/kg</t>
  </si>
  <si>
    <t xml:space="preserve">Kilo price P55/kg</t>
  </si>
  <si>
    <t xml:space="preserve">IX 52gsm</t>
  </si>
  <si>
    <t xml:space="preserve">Colored (180g)</t>
  </si>
  <si>
    <t xml:space="preserve">Counter roll: add 35%. Kraft GSM = lbs x 1.6276 x 2. KFSK 35-40gsm price per kilo is 70.</t>
  </si>
  <si>
    <t xml:space="preserve">Handwritten update; printed P3,830</t>
  </si>
  <si>
    <t xml:space="preserve">WB/YB Sticker - Satin 80g</t>
  </si>
  <si>
    <t xml:space="preserve">WB/YB Sticker - Hi-Gloss 80g</t>
  </si>
  <si>
    <t xml:space="preserve">WB/YB Sticker - Book 80g</t>
  </si>
  <si>
    <t xml:space="preserve">WB/YB Sticker - Satin 85g</t>
  </si>
  <si>
    <t xml:space="preserve">WB/YB Sticker - Hi-Gloss 85g</t>
  </si>
  <si>
    <t xml:space="preserve">WB/YB Sticker - Book 85g</t>
  </si>
  <si>
    <t xml:space="preserve">38gsm (TD/TI)</t>
  </si>
  <si>
    <t xml:space="preserve">Star Paper Corp. (Luzon)</t>
  </si>
  <si>
    <t xml:space="preserve">60#</t>
  </si>
  <si>
    <t xml:space="preserve">May 26, 2026</t>
  </si>
  <si>
    <t xml:space="preserve">C2S</t>
  </si>
  <si>
    <t xml:space="preserve">70#</t>
  </si>
  <si>
    <t xml:space="preserve">80#</t>
  </si>
  <si>
    <t xml:space="preserve">100#</t>
  </si>
  <si>
    <t xml:space="preserve">120#</t>
  </si>
  <si>
    <t xml:space="preserve">C2S Board - GCC/BC/IPS/AJC</t>
  </si>
  <si>
    <t xml:space="preserve">140#</t>
  </si>
  <si>
    <t xml:space="preserve">100 sheets</t>
  </si>
  <si>
    <t xml:space="preserve">160#</t>
  </si>
  <si>
    <t xml:space="preserve">Price decreased</t>
  </si>
  <si>
    <t xml:space="preserve">C2S Board - NSC</t>
  </si>
  <si>
    <t xml:space="preserve">Scanned list - verify column alignment</t>
  </si>
  <si>
    <t xml:space="preserve">170#</t>
  </si>
  <si>
    <t xml:space="preserve">180#</t>
  </si>
  <si>
    <t xml:space="preserve">200#</t>
  </si>
  <si>
    <t xml:space="preserve">220#</t>
  </si>
  <si>
    <t xml:space="preserve">Matt</t>
  </si>
  <si>
    <t xml:space="preserve">55#</t>
  </si>
  <si>
    <t xml:space="preserve">Coated Paper (PE Coated)</t>
  </si>
  <si>
    <t xml:space="preserve">PE Coated Paper</t>
  </si>
  <si>
    <t xml:space="preserve">GRP029</t>
  </si>
  <si>
    <t xml:space="preserve">GRP038</t>
  </si>
  <si>
    <t xml:space="preserve">Foldcote Sandwich</t>
  </si>
  <si>
    <t xml:space="preserve">31 x 43 (GC)</t>
  </si>
  <si>
    <t xml:space="preserve">31 x 43 (IPS/BF)</t>
  </si>
  <si>
    <t xml:space="preserve">31 x 43 (NZB)</t>
  </si>
  <si>
    <t xml:space="preserve">Cal. 16</t>
  </si>
  <si>
    <t xml:space="preserve">Foldcote Sandwich (IPS/GC/ASF/NZB)</t>
  </si>
  <si>
    <t xml:space="preserve">Carrier</t>
  </si>
  <si>
    <t xml:space="preserve">GSC</t>
  </si>
  <si>
    <t xml:space="preserve">SCB</t>
  </si>
  <si>
    <t xml:space="preserve">Claycoated XSD/LDC</t>
  </si>
  <si>
    <t xml:space="preserve">Cal. 14</t>
  </si>
  <si>
    <t xml:space="preserve">31 x 43</t>
  </si>
  <si>
    <t xml:space="preserve">pack of 100</t>
  </si>
  <si>
    <t xml:space="preserve">Price increased</t>
  </si>
  <si>
    <t xml:space="preserve">pack of 50</t>
  </si>
  <si>
    <t xml:space="preserve">Cal. 23</t>
  </si>
  <si>
    <t xml:space="preserve">Boxboard TVB (BLE)</t>
  </si>
  <si>
    <t xml:space="preserve">158 sheets</t>
  </si>
  <si>
    <t xml:space="preserve">32 x 44</t>
  </si>
  <si>
    <t xml:space="preserve">bundle</t>
  </si>
  <si>
    <t xml:space="preserve">132 sheets</t>
  </si>
  <si>
    <t xml:space="preserve">107 sheets</t>
  </si>
  <si>
    <t xml:space="preserve">Bookbinding Board - SVB</t>
  </si>
  <si>
    <t xml:space="preserve">#35</t>
  </si>
  <si>
    <t xml:space="preserve">26 x 38</t>
  </si>
  <si>
    <t xml:space="preserve">#30</t>
  </si>
  <si>
    <t xml:space="preserve">Bookbinding Board - DHBJ/DHB</t>
  </si>
  <si>
    <t xml:space="preserve">#25</t>
  </si>
  <si>
    <t xml:space="preserve">#20</t>
  </si>
  <si>
    <t xml:space="preserve">#15</t>
  </si>
  <si>
    <t xml:space="preserve">Bond White BT054</t>
  </si>
  <si>
    <t xml:space="preserve">Colored TK050</t>
  </si>
  <si>
    <t xml:space="preserve">8-1/2 x 11</t>
  </si>
  <si>
    <t xml:space="preserve">8-1/2 x 13</t>
  </si>
  <si>
    <t xml:space="preserve">34 x 26</t>
  </si>
  <si>
    <t xml:space="preserve">25.5 x 22</t>
  </si>
  <si>
    <t xml:space="preserve">25.5 x 26</t>
  </si>
  <si>
    <t xml:space="preserve">GN050</t>
  </si>
  <si>
    <t xml:space="preserve">Bond White (Book Paper Quality)</t>
  </si>
  <si>
    <t xml:space="preserve">JPB050</t>
  </si>
  <si>
    <t xml:space="preserve">TJB050</t>
  </si>
  <si>
    <t xml:space="preserve">TJB045</t>
  </si>
  <si>
    <t xml:space="preserve">TJB040</t>
  </si>
  <si>
    <t xml:space="preserve">Onion Skin TK042 (w/ plastic)</t>
  </si>
  <si>
    <t xml:space="preserve">Onion Skin TK042 (by 2 reams w/ paper wrap)</t>
  </si>
  <si>
    <t xml:space="preserve">2 reams</t>
  </si>
  <si>
    <t xml:space="preserve">40#</t>
  </si>
  <si>
    <t xml:space="preserve">50#</t>
  </si>
  <si>
    <t xml:space="preserve">A4</t>
  </si>
  <si>
    <t xml:space="preserve">Book Paper (box x 5 reams)</t>
  </si>
  <si>
    <t xml:space="preserve">box (5 reams)</t>
  </si>
  <si>
    <t xml:space="preserve">40#/50#</t>
  </si>
  <si>
    <t xml:space="preserve">Newsprint White</t>
  </si>
  <si>
    <t xml:space="preserve">JN045/LAS045</t>
  </si>
  <si>
    <t xml:space="preserve">24 x 18</t>
  </si>
  <si>
    <t xml:space="preserve">JN048.8</t>
  </si>
  <si>
    <t xml:space="preserve">JN052/LAS052</t>
  </si>
  <si>
    <t xml:space="preserve">LMN 48.8</t>
  </si>
  <si>
    <t xml:space="preserve">Newsprint Colored</t>
  </si>
  <si>
    <t xml:space="preserve">PTN048</t>
  </si>
  <si>
    <t xml:space="preserve">WB48.8</t>
  </si>
  <si>
    <t xml:space="preserve">MN49</t>
  </si>
  <si>
    <t xml:space="preserve">Bristol 22.5x28.5</t>
  </si>
  <si>
    <t xml:space="preserve">White</t>
  </si>
  <si>
    <t xml:space="preserve">74#</t>
  </si>
  <si>
    <t xml:space="preserve">pack of 250</t>
  </si>
  <si>
    <t xml:space="preserve">G.Rod</t>
  </si>
  <si>
    <t xml:space="preserve">Orange / Red</t>
  </si>
  <si>
    <t xml:space="preserve">Black (PBS)</t>
  </si>
  <si>
    <t xml:space="preserve">B,G,P,Y (PND)</t>
  </si>
  <si>
    <t xml:space="preserve">B,G,P,Y (GHB110)</t>
  </si>
  <si>
    <t xml:space="preserve">B,G,P,Y (GHB150)</t>
  </si>
  <si>
    <t xml:space="preserve">B,G,P,Y</t>
  </si>
  <si>
    <t xml:space="preserve">Bristol HSB120</t>
  </si>
  <si>
    <t xml:space="preserve">G.Rod &amp; Lilac</t>
  </si>
  <si>
    <t xml:space="preserve">L.Blue</t>
  </si>
  <si>
    <t xml:space="preserve">Orange</t>
  </si>
  <si>
    <t xml:space="preserve">D.Blue / D.Green</t>
  </si>
  <si>
    <t xml:space="preserve">Lemon / L.Green / Brown</t>
  </si>
  <si>
    <t xml:space="preserve">Red / Black</t>
  </si>
  <si>
    <t xml:space="preserve">Bristol HSB160</t>
  </si>
  <si>
    <t xml:space="preserve">Red</t>
  </si>
  <si>
    <t xml:space="preserve">Bristol Board (Cut Size)</t>
  </si>
  <si>
    <t xml:space="preserve">White 180gsm</t>
  </si>
  <si>
    <t xml:space="preserve">250 sheets</t>
  </si>
  <si>
    <t xml:space="preserve">5 packs x 100s</t>
  </si>
  <si>
    <t xml:space="preserve">25 packs x 10s</t>
  </si>
  <si>
    <t xml:space="preserve">Cream 180gsm</t>
  </si>
  <si>
    <t xml:space="preserve">White 200gsm</t>
  </si>
  <si>
    <t xml:space="preserve">Cream 200gsm</t>
  </si>
  <si>
    <t xml:space="preserve">Whitewove</t>
  </si>
  <si>
    <t xml:space="preserve">STX063</t>
  </si>
  <si>
    <t xml:space="preserve">500 sheets</t>
  </si>
  <si>
    <t xml:space="preserve">BWM060</t>
  </si>
  <si>
    <t xml:space="preserve">#80 to #120</t>
  </si>
  <si>
    <t xml:space="preserve">#40 to #70</t>
  </si>
  <si>
    <t xml:space="preserve">Cream Book</t>
  </si>
  <si>
    <t xml:space="preserve">CG070</t>
  </si>
  <si>
    <t xml:space="preserve">CG080</t>
  </si>
  <si>
    <t xml:space="preserve">Manila Paper</t>
  </si>
  <si>
    <t xml:space="preserve">Mirrorkote PD/JPM</t>
  </si>
  <si>
    <t xml:space="preserve">130#</t>
  </si>
  <si>
    <t xml:space="preserve">26 x 40</t>
  </si>
  <si>
    <t xml:space="preserve">50 sheets</t>
  </si>
  <si>
    <t xml:space="preserve">189#</t>
  </si>
  <si>
    <t xml:space="preserve">Tagboard STM300</t>
  </si>
  <si>
    <t xml:space="preserve">Greaseproof TGP/TJK</t>
  </si>
  <si>
    <t xml:space="preserve">Kit #7</t>
  </si>
  <si>
    <t xml:space="preserve">38gsm</t>
  </si>
  <si>
    <t xml:space="preserve">Greaseproof QGC</t>
  </si>
  <si>
    <t xml:space="preserve">Kit #5</t>
  </si>
  <si>
    <t xml:space="preserve">Natural Kraft STX110</t>
  </si>
  <si>
    <t xml:space="preserve">38-1/5 x 25</t>
  </si>
  <si>
    <t xml:space="preserve">38-1/2 x 25</t>
  </si>
  <si>
    <t xml:space="preserve">34-3/4 x 28</t>
  </si>
  <si>
    <t xml:space="preserve">Kraft Board</t>
  </si>
  <si>
    <t xml:space="preserve">JEO120</t>
  </si>
  <si>
    <t xml:space="preserve">48 x 60</t>
  </si>
  <si>
    <t xml:space="preserve">48 x 54-1/2</t>
  </si>
  <si>
    <t xml:space="preserve">TJS135</t>
  </si>
  <si>
    <t xml:space="preserve">35-3/7 x 48</t>
  </si>
  <si>
    <t xml:space="preserve">Bleach Kraft</t>
  </si>
  <si>
    <t xml:space="preserve">AFK100</t>
  </si>
  <si>
    <t xml:space="preserve">36 x 18</t>
  </si>
  <si>
    <t xml:space="preserve">STX081</t>
  </si>
  <si>
    <t xml:space="preserve">14-1/2 x 18</t>
  </si>
  <si>
    <t xml:space="preserve">Padded Kraft</t>
  </si>
  <si>
    <t xml:space="preserve">ATX081</t>
  </si>
  <si>
    <t xml:space="preserve">20s</t>
  </si>
  <si>
    <t xml:space="preserve">ATX135</t>
  </si>
  <si>
    <t xml:space="preserve">50s</t>
  </si>
  <si>
    <t xml:space="preserve">Illustration Board</t>
  </si>
  <si>
    <t xml:space="preserve">30 x 40</t>
  </si>
  <si>
    <t xml:space="preserve">piece</t>
  </si>
  <si>
    <t xml:space="preserve">20 x 30</t>
  </si>
  <si>
    <t xml:space="preserve">15 x 20</t>
  </si>
  <si>
    <t xml:space="preserve">10 x 15</t>
  </si>
  <si>
    <t xml:space="preserve">Pads</t>
  </si>
  <si>
    <t xml:space="preserve">Memo Pad</t>
  </si>
  <si>
    <t xml:space="preserve">50 pads x 250s</t>
  </si>
  <si>
    <t xml:space="preserve">3 x 3</t>
  </si>
  <si>
    <t xml:space="preserve">box</t>
  </si>
  <si>
    <t xml:space="preserve">4 x 4</t>
  </si>
  <si>
    <t xml:space="preserve">Scratch Pad</t>
  </si>
  <si>
    <t xml:space="preserve">3 x 5</t>
  </si>
  <si>
    <t xml:space="preserve">4 x 6</t>
  </si>
  <si>
    <t xml:space="preserve">5 x 8</t>
  </si>
  <si>
    <t xml:space="preserve">Kraft Memo Pad</t>
  </si>
  <si>
    <t xml:space="preserve">50 pads x 200s</t>
  </si>
  <si>
    <t xml:space="preserve">Colored Paper</t>
  </si>
  <si>
    <t xml:space="preserve">TS075</t>
  </si>
  <si>
    <t xml:space="preserve">TS080</t>
  </si>
  <si>
    <t xml:space="preserve">Lilac</t>
  </si>
  <si>
    <t xml:space="preserve">Purple</t>
  </si>
  <si>
    <t xml:space="preserve">D. Blue</t>
  </si>
  <si>
    <t xml:space="preserve">12 x 9</t>
  </si>
  <si>
    <t xml:space="preserve">22-1/2 x 28-1/2</t>
  </si>
  <si>
    <t xml:space="preserve">Colored Paper HS075 (pack of 250s)</t>
  </si>
  <si>
    <t xml:space="preserve">Neon Yellow, Green, Pink, Orange</t>
  </si>
  <si>
    <t xml:space="preserve">Light Green, Blue, G.Rod, D.Green &amp; D.Blue</t>
  </si>
  <si>
    <t xml:space="preserve">Lemon, Red, Lilac, Brown, Peach, Orange, Green, Purple, Black</t>
  </si>
  <si>
    <t xml:space="preserve">Assorted Colored Paper</t>
  </si>
  <si>
    <t xml:space="preserve">5 packs x 250 sheets</t>
  </si>
  <si>
    <t xml:space="preserve">Bristol Colored (pack of 250s)</t>
  </si>
  <si>
    <t xml:space="preserve">B,G,Y,P,R,O,G.Rod (HSB120/PND)</t>
  </si>
  <si>
    <t xml:space="preserve">B,Y,P (HSB160)</t>
  </si>
  <si>
    <t xml:space="preserve">Red (HSB160/TSB160)</t>
  </si>
  <si>
    <t xml:space="preserve">Orange (HSB160/TSB160)</t>
  </si>
  <si>
    <t xml:space="preserve">Oslo Paper BTO</t>
  </si>
  <si>
    <t xml:space="preserve">9 x 12</t>
  </si>
  <si>
    <t xml:space="preserve">Envelopes</t>
  </si>
  <si>
    <t xml:space="preserve">Document Envelope - Trojan</t>
  </si>
  <si>
    <t xml:space="preserve">9 x 12 (150#)</t>
  </si>
  <si>
    <t xml:space="preserve">Document Envelope - Advance</t>
  </si>
  <si>
    <t xml:space="preserve">9 x 12 (200#)</t>
  </si>
  <si>
    <t xml:space="preserve">10 x 15 (150#)</t>
  </si>
  <si>
    <t xml:space="preserve">10 x 15 (200#)</t>
  </si>
  <si>
    <t xml:space="preserve">Mailing Envelope - Aciem White</t>
  </si>
  <si>
    <t xml:space="preserve">6-3/4 X</t>
  </si>
  <si>
    <t xml:space="preserve">Mailing Envelope - White PG</t>
  </si>
  <si>
    <t xml:space="preserve">6-3/4 2X</t>
  </si>
  <si>
    <t xml:space="preserve">6-3/4 3X</t>
  </si>
  <si>
    <t xml:space="preserve">Mailing Envelope - Window-P</t>
  </si>
  <si>
    <t xml:space="preserve">#10 2X</t>
  </si>
  <si>
    <t xml:space="preserve">#10 3X</t>
  </si>
  <si>
    <t xml:space="preserve">Printing Ink</t>
  </si>
  <si>
    <t xml:space="preserve">Ink - Process Black</t>
  </si>
  <si>
    <t xml:space="preserve">Asahi</t>
  </si>
  <si>
    <t xml:space="preserve">can</t>
  </si>
  <si>
    <t xml:space="preserve">Ink - Process Blue</t>
  </si>
  <si>
    <t xml:space="preserve">Ink - Process Red</t>
  </si>
  <si>
    <t xml:space="preserve">Ink - Process Yellow</t>
  </si>
  <si>
    <t xml:space="preserve">Ink - Fire Red</t>
  </si>
  <si>
    <t xml:space="preserve">Alisk</t>
  </si>
  <si>
    <t xml:space="preserve">Ink - Mixing White</t>
  </si>
  <si>
    <t xml:space="preserve">Ink - Warm Red</t>
  </si>
  <si>
    <t xml:space="preserve">Ink - Blue FD</t>
  </si>
  <si>
    <t xml:space="preserve">Toyo</t>
  </si>
  <si>
    <t xml:space="preserve">Ink - Yellow FD</t>
  </si>
  <si>
    <t xml:space="preserve">Ink - Black FD</t>
  </si>
  <si>
    <t xml:space="preserve">Ink - Red FD</t>
  </si>
  <si>
    <t xml:space="preserve">Glue / Adhesive</t>
  </si>
  <si>
    <t xml:space="preserve">White Glue</t>
  </si>
  <si>
    <t xml:space="preserve">Champ / Asahi</t>
  </si>
  <si>
    <t xml:space="preserve">Red Padding Glue</t>
  </si>
  <si>
    <t xml:space="preserve">Transparent G12</t>
  </si>
  <si>
    <t xml:space="preserve">Glue #2000</t>
  </si>
  <si>
    <t xml:space="preserve">Brown Glue A-301</t>
  </si>
  <si>
    <t xml:space="preserve">20 kg</t>
  </si>
  <si>
    <t xml:space="preserve">Pressroom Supplies</t>
  </si>
  <si>
    <t xml:space="preserve">Rubber Blanket</t>
  </si>
  <si>
    <t xml:space="preserve">26rw (3 ply)</t>
  </si>
  <si>
    <t xml:space="preserve">per linear inch</t>
  </si>
  <si>
    <t xml:space="preserve">Length x price per linear inch</t>
  </si>
  <si>
    <t xml:space="preserve">32rw (4 ply)</t>
  </si>
  <si>
    <t xml:space="preserve">42rw (4 ply)</t>
  </si>
  <si>
    <t xml:space="preserve">Double Sided Tape</t>
  </si>
  <si>
    <t xml:space="preserve">1/2 in x 30m</t>
  </si>
  <si>
    <t xml:space="preserve">3/4 in x 30m</t>
  </si>
  <si>
    <t xml:space="preserve">1 in x 30m</t>
  </si>
  <si>
    <t xml:space="preserve">Reflective Sticker</t>
  </si>
  <si>
    <t xml:space="preserve">W, Y, G, B, R, O</t>
  </si>
  <si>
    <t xml:space="preserve">48 in x 50 yards</t>
  </si>
  <si>
    <t xml:space="preserve">2 ft x 3 ft</t>
  </si>
  <si>
    <t xml:space="preserve">per sq. ft</t>
  </si>
  <si>
    <t xml:space="preserve">sq. ft</t>
  </si>
  <si>
    <t xml:space="preserve">Sticker Satin - GTS</t>
  </si>
  <si>
    <t xml:space="preserve">Sticker Satin - YBY</t>
  </si>
  <si>
    <t xml:space="preserve">Sticker Satin - WB</t>
  </si>
  <si>
    <t xml:space="preserve">Sticker High Gloss - GTS</t>
  </si>
  <si>
    <t xml:space="preserve">Sticker High Gloss - YBY</t>
  </si>
  <si>
    <t xml:space="preserve">Sticker High Gloss - WB</t>
  </si>
  <si>
    <t xml:space="preserve">Sticker Uncoated - GTS</t>
  </si>
  <si>
    <t xml:space="preserve">Sticker Uncoated - YBY</t>
  </si>
  <si>
    <t xml:space="preserve">Sticker Fluorescent - YBY</t>
  </si>
  <si>
    <t xml:space="preserve">Sticker A4 YBY (Satin / High Gloss / Uncoated)</t>
  </si>
  <si>
    <t xml:space="preserve">pack</t>
  </si>
  <si>
    <t xml:space="preserve">Glitter Sticker per color</t>
  </si>
  <si>
    <t xml:space="preserve">50 pcs/pack</t>
  </si>
  <si>
    <t xml:space="preserve">Glitter Sticker assorted</t>
  </si>
  <si>
    <t xml:space="preserve">5 packs x 12 sheets</t>
  </si>
  <si>
    <t xml:space="preserve">Repack Sticker</t>
  </si>
  <si>
    <t xml:space="preserve">10 pcs/pack</t>
  </si>
  <si>
    <t xml:space="preserve">12 pcs/pack</t>
  </si>
  <si>
    <t xml:space="preserve">IFEX Philippines (Manila Printer Pricelist)</t>
  </si>
  <si>
    <t xml:space="preserve">Specialty / Fine Paper</t>
  </si>
  <si>
    <t xml:space="preserve">Arco Smooth</t>
  </si>
  <si>
    <t xml:space="preserve">Extra White, Ivory</t>
  </si>
  <si>
    <t xml:space="preserve">85 gsm</t>
  </si>
  <si>
    <t xml:space="preserve">43 x 31</t>
  </si>
  <si>
    <t xml:space="preserve">New item; Valid up to June 30, 2026</t>
  </si>
  <si>
    <t xml:space="preserve">Q2 2026 (valid to Jun 30, 2026)</t>
  </si>
  <si>
    <t xml:space="preserve">115 gsm</t>
  </si>
  <si>
    <t xml:space="preserve">150 gsm</t>
  </si>
  <si>
    <t xml:space="preserve">200 gsm</t>
  </si>
  <si>
    <t xml:space="preserve">250 gsm</t>
  </si>
  <si>
    <t xml:space="preserve">300 gsm</t>
  </si>
  <si>
    <t xml:space="preserve">Astro</t>
  </si>
  <si>
    <t xml:space="preserve">Bianco, Avorio, Alto</t>
  </si>
  <si>
    <t xml:space="preserve">28-1/3 x 40-1/6</t>
  </si>
  <si>
    <t xml:space="preserve">Valid up to June 30, 2026</t>
  </si>
  <si>
    <t xml:space="preserve">Alto</t>
  </si>
  <si>
    <t xml:space="preserve">130 gsm</t>
  </si>
  <si>
    <t xml:space="preserve">28-1/4 x 40-1/8</t>
  </si>
  <si>
    <t xml:space="preserve">Bianco (Snow), Avorio</t>
  </si>
  <si>
    <t xml:space="preserve">28-1/4 x 39-3/4</t>
  </si>
  <si>
    <t xml:space="preserve">240 gsm</t>
  </si>
  <si>
    <t xml:space="preserve">280 gsm</t>
  </si>
  <si>
    <t xml:space="preserve">320 gsm</t>
  </si>
  <si>
    <t xml:space="preserve">28-1/3 x 39-3/4</t>
  </si>
  <si>
    <t xml:space="preserve">Blackgold</t>
  </si>
  <si>
    <t xml:space="preserve">Black</t>
  </si>
  <si>
    <t xml:space="preserve">290 gsm</t>
  </si>
  <si>
    <t xml:space="preserve">Buffalo Starweave</t>
  </si>
  <si>
    <t xml:space="preserve">White, Cream, D. Blue, D. Green, G. Yellow, L. Brown, O. Green, Orange, Pink, Red, D. Brown, S. Blue</t>
  </si>
  <si>
    <t xml:space="preserve">31 x 43 / 43 x 31</t>
  </si>
  <si>
    <t xml:space="preserve">31 x 21-1/2</t>
  </si>
  <si>
    <t xml:space="preserve">D. Green, S. Blue</t>
  </si>
  <si>
    <t xml:space="preserve">35 x 47</t>
  </si>
  <si>
    <t xml:space="preserve">Cannon Laid</t>
  </si>
  <si>
    <t xml:space="preserve">N.B. White, Natural, Ivory</t>
  </si>
  <si>
    <t xml:space="preserve">185 gsm</t>
  </si>
  <si>
    <t xml:space="preserve">Centennial Pre-Colonial</t>
  </si>
  <si>
    <t xml:space="preserve">H. White, Ivory</t>
  </si>
  <si>
    <t xml:space="preserve">Centennial Japanese</t>
  </si>
  <si>
    <t xml:space="preserve">H. White, Ivory, Oyster</t>
  </si>
  <si>
    <t xml:space="preserve">Chroma by Ichiban</t>
  </si>
  <si>
    <t xml:space="preserve">Bright White</t>
  </si>
  <si>
    <t xml:space="preserve">105 gsm</t>
  </si>
  <si>
    <t xml:space="preserve">Conqueror Smooth CX22</t>
  </si>
  <si>
    <t xml:space="preserve">Diamond White</t>
  </si>
  <si>
    <t xml:space="preserve">90 gsm</t>
  </si>
  <si>
    <t xml:space="preserve">17-3/4 x 25-1/4</t>
  </si>
  <si>
    <t xml:space="preserve">Ultra White, High White, Ivory</t>
  </si>
  <si>
    <t xml:space="preserve">Ivory</t>
  </si>
  <si>
    <t xml:space="preserve">Ultra White, High White, Diamond White, Ivory</t>
  </si>
  <si>
    <t xml:space="preserve">Diamond White, Ivory</t>
  </si>
  <si>
    <t xml:space="preserve">Conqueror Smooth Wove</t>
  </si>
  <si>
    <t xml:space="preserve">Ultra White, Oyster, Ivory</t>
  </si>
  <si>
    <t xml:space="preserve">High White, Oyster, Ivory, Ultra White, Diamond White</t>
  </si>
  <si>
    <t xml:space="preserve">Ultra White, High White</t>
  </si>
  <si>
    <t xml:space="preserve">Ultra White, High White, Oyster, Ivory, Diamond White</t>
  </si>
  <si>
    <t xml:space="preserve">17-5/7 x 25-1/5</t>
  </si>
  <si>
    <t xml:space="preserve">Feather, Pencil, Ivory</t>
  </si>
  <si>
    <t xml:space="preserve">27-1/2 x 39-3/8</t>
  </si>
  <si>
    <t xml:space="preserve">Ultra White</t>
  </si>
  <si>
    <t xml:space="preserve">160 gsm</t>
  </si>
  <si>
    <t xml:space="preserve">Pencil</t>
  </si>
  <si>
    <t xml:space="preserve">220 gsm</t>
  </si>
  <si>
    <t xml:space="preserve">Diamond White, Oyster, Ultra White, High White</t>
  </si>
  <si>
    <t xml:space="preserve">Cartridge, Concrete</t>
  </si>
  <si>
    <t xml:space="preserve">Ivory, Ultra White</t>
  </si>
  <si>
    <t xml:space="preserve">Conqueror Texture Laid</t>
  </si>
  <si>
    <t xml:space="preserve">Diamond White, Ultra White, Ivory, High White, Vellum</t>
  </si>
  <si>
    <t xml:space="preserve">Feather</t>
  </si>
  <si>
    <t xml:space="preserve">Oyster, High White</t>
  </si>
  <si>
    <t xml:space="preserve">Ultra White, Diamond White, Ivory, Vellum, High White</t>
  </si>
  <si>
    <t xml:space="preserve">Curious Matter</t>
  </si>
  <si>
    <t xml:space="preserve">Adiron Blue, Andina Grey, Black Truffle, Desiree Red, Goya White, Ibizenca Sand, Purple Majesty</t>
  </si>
  <si>
    <t xml:space="preserve">135 gsm</t>
  </si>
  <si>
    <t xml:space="preserve">Goya White, Black Truffle</t>
  </si>
  <si>
    <t xml:space="preserve">270 gsm</t>
  </si>
  <si>
    <t xml:space="preserve">Curious Metallics</t>
  </si>
  <si>
    <t xml:space="preserve">Gold Leaf, Chocolate, Nude, Peacock, Chestnut, Magma, Ice Gold, Ice Silver, Shadow, Luster, Super Gold, C. White, Red Lacquer</t>
  </si>
  <si>
    <t xml:space="preserve">Cryogen White, Super Gold</t>
  </si>
  <si>
    <t xml:space="preserve">Rose Gold, Iceberg, White Gold</t>
  </si>
  <si>
    <t xml:space="preserve">Gold Leaf, Nude, White Gold</t>
  </si>
  <si>
    <t xml:space="preserve">Red Lacquer, Chocolate, Gold Leaf</t>
  </si>
  <si>
    <t xml:space="preserve">25-1/8 x 35-3/8</t>
  </si>
  <si>
    <t xml:space="preserve">White Gold, Ice Gold, Super Gold</t>
  </si>
  <si>
    <t xml:space="preserve">White Gold</t>
  </si>
  <si>
    <t xml:space="preserve">25-1/5 x 35-3/7</t>
  </si>
  <si>
    <t xml:space="preserve">Cryogen White, Luster, Electric Blue</t>
  </si>
  <si>
    <t xml:space="preserve">Super Gold, Nude, Peacock, Chestnut, Magma, Ice Silver, Abyss, Iceberg</t>
  </si>
  <si>
    <t xml:space="preserve">Gold Leaf, Red Lacquer, Rose Gold</t>
  </si>
  <si>
    <t xml:space="preserve">Curious Skin</t>
  </si>
  <si>
    <t xml:space="preserve">Extra White, Black, Red</t>
  </si>
  <si>
    <t xml:space="preserve">Extra White, Stone, Red, Absynthe, Pink, Lavender, Mocha, Orange, Violet, Ivory</t>
  </si>
  <si>
    <t xml:space="preserve">Extra White, Black</t>
  </si>
  <si>
    <t xml:space="preserve">380 gsm</t>
  </si>
  <si>
    <t xml:space="preserve">Defensa</t>
  </si>
  <si>
    <t xml:space="preserve">Green</t>
  </si>
  <si>
    <t xml:space="preserve">17 x 28</t>
  </si>
  <si>
    <t xml:space="preserve">Flora</t>
  </si>
  <si>
    <t xml:space="preserve">Avorio, Tabacco</t>
  </si>
  <si>
    <t xml:space="preserve">Hansol Colors</t>
  </si>
  <si>
    <t xml:space="preserve">Biscuit Beige, Blue Grotto, Deep Green, Light Blue, Light Sienna Brown, Matcha, New Turquoise Blue, Old Rose, Red Wine, Rosa Beige, Rosebud, Sepia Brown</t>
  </si>
  <si>
    <t xml:space="preserve">Insper Eco</t>
  </si>
  <si>
    <t xml:space="preserve">Extra White, White</t>
  </si>
  <si>
    <t xml:space="preserve">112 gsm</t>
  </si>
  <si>
    <t xml:space="preserve">145 gsm</t>
  </si>
  <si>
    <t xml:space="preserve">174 gsm</t>
  </si>
  <si>
    <t xml:space="preserve">251 gsm</t>
  </si>
  <si>
    <t xml:space="preserve">Insper Signature</t>
  </si>
  <si>
    <t xml:space="preserve">Classic Grey, Rose Pink, Coral, Olive, Sunflower, Herb Green, Serenity</t>
  </si>
  <si>
    <t xml:space="preserve">350 gsm</t>
  </si>
  <si>
    <t xml:space="preserve">Cobalt, Ultra Marine</t>
  </si>
  <si>
    <t xml:space="preserve">Deep Black</t>
  </si>
  <si>
    <t xml:space="preserve">New item; until supplies last; Valid up to June 30, 2026</t>
  </si>
  <si>
    <t xml:space="preserve">Keaykolour</t>
  </si>
  <si>
    <t xml:space="preserve">Indian Yellow, Pumpkin, Coral, Lipstick, Azure, Chili Pepper, Caribbean Blue, Blackberry, Sombre Grey, Orchid, Kiwi</t>
  </si>
  <si>
    <t xml:space="preserve">Old Rose, Carmine, Baltic Sea, Biscuit, Matcha Tea, Rose Bud</t>
  </si>
  <si>
    <t xml:space="preserve">KPP Translucents</t>
  </si>
  <si>
    <t xml:space="preserve">Clear</t>
  </si>
  <si>
    <t xml:space="preserve">80 gsm</t>
  </si>
  <si>
    <t xml:space="preserve">110 gsm</t>
  </si>
  <si>
    <t xml:space="preserve">Leatherlike</t>
  </si>
  <si>
    <t xml:space="preserve">Classic White, Classic Brown, Classic Black</t>
  </si>
  <si>
    <t xml:space="preserve">360 gsm</t>
  </si>
  <si>
    <t xml:space="preserve">Lustro</t>
  </si>
  <si>
    <t xml:space="preserve">White, Ivory</t>
  </si>
  <si>
    <t xml:space="preserve">28-1/8 x 39-3/4</t>
  </si>
  <si>
    <t xml:space="preserve">260 gsm</t>
  </si>
  <si>
    <t xml:space="preserve">Magno FSC White</t>
  </si>
  <si>
    <t xml:space="preserve">Magno FSC Plus White</t>
  </si>
  <si>
    <t xml:space="preserve">Plus Gloss, Plus Silk</t>
  </si>
  <si>
    <t xml:space="preserve">Master by Lessebo</t>
  </si>
  <si>
    <t xml:space="preserve">Mohawk Options</t>
  </si>
  <si>
    <t xml:space="preserve">PC White</t>
  </si>
  <si>
    <t xml:space="preserve">104 gsm</t>
  </si>
  <si>
    <t xml:space="preserve">28 x 40</t>
  </si>
  <si>
    <t xml:space="preserve">148 gsm</t>
  </si>
  <si>
    <t xml:space="preserve">PC White, PC Cream (until supplies last)</t>
  </si>
  <si>
    <t xml:space="preserve">216 gsm</t>
  </si>
  <si>
    <t xml:space="preserve">352 gsm</t>
  </si>
  <si>
    <t xml:space="preserve">Mohawk Skytone</t>
  </si>
  <si>
    <t xml:space="preserve">White, Natural, Pink Ice, Champagne, Smoke Grey, Bluestone</t>
  </si>
  <si>
    <t xml:space="preserve">89 gsm</t>
  </si>
  <si>
    <t xml:space="preserve">23 x 35</t>
  </si>
  <si>
    <t xml:space="preserve">Mohawk Skytone is a new item; Valid up to June 30, 2026</t>
  </si>
  <si>
    <t xml:space="preserve">176 gsm</t>
  </si>
  <si>
    <t xml:space="preserve">Mohawk Superfine Eggshell</t>
  </si>
  <si>
    <t xml:space="preserve">White, Soft White</t>
  </si>
  <si>
    <t xml:space="preserve">118 gsm</t>
  </si>
  <si>
    <t xml:space="preserve">Soft White</t>
  </si>
  <si>
    <t xml:space="preserve">Mohawk Superfine Smooth</t>
  </si>
  <si>
    <t xml:space="preserve">Ultra White, Soft White</t>
  </si>
  <si>
    <t xml:space="preserve">Monnalisa</t>
  </si>
  <si>
    <t xml:space="preserve">Premium White</t>
  </si>
  <si>
    <t xml:space="preserve">Natural Evolution</t>
  </si>
  <si>
    <t xml:space="preserve">Neenah Blotter</t>
  </si>
  <si>
    <t xml:space="preserve">427 gsm</t>
  </si>
  <si>
    <t xml:space="preserve">Neenah Classic Crest Eggshell</t>
  </si>
  <si>
    <t xml:space="preserve">Bare White, Avalanche White</t>
  </si>
  <si>
    <t xml:space="preserve">Solar White, Bare White</t>
  </si>
  <si>
    <t xml:space="preserve">Neenah Classic Crest Laid</t>
  </si>
  <si>
    <t xml:space="preserve">Baronial Ivory (until supplies last)</t>
  </si>
  <si>
    <t xml:space="preserve">Neenah Classic Crest Smooth</t>
  </si>
  <si>
    <t xml:space="preserve">Avalanche White, C. Natural White</t>
  </si>
  <si>
    <t xml:space="preserve">Solar White</t>
  </si>
  <si>
    <t xml:space="preserve">Classic Cream, Avalanche White</t>
  </si>
  <si>
    <t xml:space="preserve">Red Pepper, Patriot Blue, Epic Black, Pewter</t>
  </si>
  <si>
    <t xml:space="preserve">Patriot Blue, Pewter, Red Pepper, Epic Black</t>
  </si>
  <si>
    <t xml:space="preserve">C. Natural White, Avalanche White, C. Cream, Solar White</t>
  </si>
  <si>
    <t xml:space="preserve">Avalanche White, C. Natural White, Solar White, Imperial Red</t>
  </si>
  <si>
    <t xml:space="preserve">Pewter, Patriot Blue</t>
  </si>
  <si>
    <t xml:space="preserve">Avalanche White</t>
  </si>
  <si>
    <t xml:space="preserve">Neenah Classic Crest Stipple</t>
  </si>
  <si>
    <t xml:space="preserve">C. Natural White, Avalanche White</t>
  </si>
  <si>
    <t xml:space="preserve">35 x 23</t>
  </si>
  <si>
    <t xml:space="preserve">A.B. White</t>
  </si>
  <si>
    <t xml:space="preserve">C. Natural White, Solar White, Avalanche White</t>
  </si>
  <si>
    <t xml:space="preserve">Avalanche White, C. Natural White, Solar White</t>
  </si>
  <si>
    <t xml:space="preserve">446 gsm</t>
  </si>
  <si>
    <t xml:space="preserve">Neenah Classic Linen</t>
  </si>
  <si>
    <t xml:space="preserve">Natural White</t>
  </si>
  <si>
    <t xml:space="preserve">Natural White, Solar White</t>
  </si>
  <si>
    <t xml:space="preserve">Gold Pearl</t>
  </si>
  <si>
    <t xml:space="preserve">White Pearl</t>
  </si>
  <si>
    <t xml:space="preserve">Solar White, Natural White, Avalanche White</t>
  </si>
  <si>
    <t xml:space="preserve">Canyon Brown</t>
  </si>
  <si>
    <t xml:space="preserve">Natural White, White Pearl, Gold Pearl</t>
  </si>
  <si>
    <t xml:space="preserve">227 gsm</t>
  </si>
  <si>
    <t xml:space="preserve">311 gsm</t>
  </si>
  <si>
    <t xml:space="preserve">25-1/2 x 38</t>
  </si>
  <si>
    <t xml:space="preserve">Neenah Classic Linen 100% Recycled</t>
  </si>
  <si>
    <t xml:space="preserve">B. White (until supplies last)</t>
  </si>
  <si>
    <t xml:space="preserve">Natural White (until supplies last)</t>
  </si>
  <si>
    <t xml:space="preserve">Neenah Environment Raw</t>
  </si>
  <si>
    <t xml:space="preserve">Concrete, Wrought Iron, Honeycomb</t>
  </si>
  <si>
    <t xml:space="preserve">Grocer Kraft</t>
  </si>
  <si>
    <t xml:space="preserve">Grocer Kraft, Concrete, Wrought Iron, Honeycomb</t>
  </si>
  <si>
    <t xml:space="preserve">324 gsm</t>
  </si>
  <si>
    <t xml:space="preserve">Neenah Environment Smooth</t>
  </si>
  <si>
    <t xml:space="preserve">Desert Storm</t>
  </si>
  <si>
    <t xml:space="preserve">PC White, PC Natural</t>
  </si>
  <si>
    <t xml:space="preserve">PC White, PC Natural, Tortilla</t>
  </si>
  <si>
    <t xml:space="preserve">Husk, Stone, Weathered</t>
  </si>
  <si>
    <t xml:space="preserve">Tortilla, Desert Storm</t>
  </si>
  <si>
    <t xml:space="preserve">PC Natural, PC White</t>
  </si>
  <si>
    <t xml:space="preserve">Desert Storm, Honeycomb, Concrete, Wrought Iron</t>
  </si>
  <si>
    <t xml:space="preserve">Neenah Techweave</t>
  </si>
  <si>
    <t xml:space="preserve">Pewter</t>
  </si>
  <si>
    <t xml:space="preserve">Patriot Blue</t>
  </si>
  <si>
    <t xml:space="preserve">Imperial Red</t>
  </si>
  <si>
    <t xml:space="preserve">Olin Smooth</t>
  </si>
  <si>
    <t xml:space="preserve">Absolute White</t>
  </si>
  <si>
    <t xml:space="preserve">28-5/6 x 40-1/8</t>
  </si>
  <si>
    <t xml:space="preserve">Olin Rough</t>
  </si>
  <si>
    <t xml:space="preserve">High White</t>
  </si>
  <si>
    <t xml:space="preserve">170 gsm</t>
  </si>
  <si>
    <t xml:space="preserve">Olin Colours</t>
  </si>
  <si>
    <t xml:space="preserve">Cloud, Fawn, Grey, Storm, Hot Brown, Urban Grey</t>
  </si>
  <si>
    <t xml:space="preserve">Cloud, Hot Brown, Storm Grey</t>
  </si>
  <si>
    <t xml:space="preserve">Parchment Paper</t>
  </si>
  <si>
    <t xml:space="preserve">Star Parch Paper</t>
  </si>
  <si>
    <t xml:space="preserve">Daily Parch Paper</t>
  </si>
  <si>
    <t xml:space="preserve">Plike</t>
  </si>
  <si>
    <t xml:space="preserve">Ivory, Orange, Purple, White, Royal Blue</t>
  </si>
  <si>
    <t xml:space="preserve">Black, Brown, Red, Royal Blue, Burgundy, Green</t>
  </si>
  <si>
    <t xml:space="preserve">Black, White</t>
  </si>
  <si>
    <t xml:space="preserve">330 gsm</t>
  </si>
  <si>
    <t xml:space="preserve">Reef</t>
  </si>
  <si>
    <t xml:space="preserve">Black, Red, White, Blue</t>
  </si>
  <si>
    <t xml:space="preserve">Rives Design</t>
  </si>
  <si>
    <t xml:space="preserve">Corn, Pale Cream</t>
  </si>
  <si>
    <t xml:space="preserve">Ultra White, Corn, Pale Cream</t>
  </si>
  <si>
    <t xml:space="preserve">Rives Tradition</t>
  </si>
  <si>
    <t xml:space="preserve">Ultra White, Pale Cream, Natural White, Corn</t>
  </si>
  <si>
    <t xml:space="preserve">Ultra White, Pale Cream, Natural White</t>
  </si>
  <si>
    <t xml:space="preserve">Corn</t>
  </si>
  <si>
    <t xml:space="preserve">Le Bleu, Red, Black</t>
  </si>
  <si>
    <t xml:space="preserve">Royal Sundance Smooth</t>
  </si>
  <si>
    <t xml:space="preserve">100% PC White</t>
  </si>
  <si>
    <t xml:space="preserve">34 x 24</t>
  </si>
  <si>
    <t xml:space="preserve">Ultra White, Natural White</t>
  </si>
  <si>
    <t xml:space="preserve">297 gsm</t>
  </si>
  <si>
    <t xml:space="preserve">Royal Sundance Laid</t>
  </si>
  <si>
    <t xml:space="preserve">Natural</t>
  </si>
  <si>
    <t xml:space="preserve">Stardream 2.0</t>
  </si>
  <si>
    <t xml:space="preserve">Pluto, Neptune, Saturn, Venus</t>
  </si>
  <si>
    <t xml:space="preserve">Until supplies last; Valid up to June 30, 2026</t>
  </si>
  <si>
    <t xml:space="preserve">Eris, Pluto, Neptune, Saturn, Venus</t>
  </si>
  <si>
    <t xml:space="preserve">340 gsm</t>
  </si>
  <si>
    <t xml:space="preserve">Stardream</t>
  </si>
  <si>
    <t xml:space="preserve">Coral, Amethyst, Lagoon, Vista, Opal, Citrine, Crystal, Rosequartz, Fairway, Silver</t>
  </si>
  <si>
    <t xml:space="preserve">Antique Gold, Jupiter, Copper, Fine Gold, Mars, Bronze, Gold, Onyx, Sapphire</t>
  </si>
  <si>
    <t xml:space="preserve">285 gsm</t>
  </si>
  <si>
    <t xml:space="preserve">Toccata</t>
  </si>
  <si>
    <t xml:space="preserve">Viva</t>
  </si>
  <si>
    <t xml:space="preserve">Pure White</t>
  </si>
  <si>
    <t xml:space="preserve">125 gsm</t>
  </si>
  <si>
    <t xml:space="preserve">25 x 37</t>
  </si>
  <si>
    <t xml:space="preserve">155 gsm</t>
  </si>
  <si>
    <t xml:space="preserve">310 gsm</t>
  </si>
  <si>
    <t xml:space="preserve">Wild</t>
  </si>
  <si>
    <t xml:space="preserve">White, Sand, Brown, Black</t>
  </si>
  <si>
    <t xml:space="preserve">White, Sand, Brown, Black, Green, Clay</t>
  </si>
  <si>
    <t xml:space="preserve">450 gsm</t>
  </si>
  <si>
    <t xml:space="preserve">850 gsm</t>
  </si>
  <si>
    <t xml:space="preserve">Worx Vellum</t>
  </si>
  <si>
    <t xml:space="preserve">Original White</t>
  </si>
  <si>
    <t xml:space="preserve">28-1/2 x 22-1/2</t>
  </si>
  <si>
    <t xml:space="preserve">Worx Planner Paper</t>
  </si>
  <si>
    <t xml:space="preserve">Super Ivory, Natural White, Cream (GE)</t>
  </si>
  <si>
    <t xml:space="preserve">Super Ivory, Cream (GE)</t>
  </si>
  <si>
    <t xml:space="preserve">Super Ivory, Natural White (EP)</t>
  </si>
  <si>
    <t xml:space="preserve">Super Ivory (FP2)</t>
  </si>
  <si>
    <t xml:space="preserve">Bookcover Material</t>
  </si>
  <si>
    <t xml:space="preserve">Artelibris</t>
  </si>
  <si>
    <t xml:space="preserve">Avorio</t>
  </si>
  <si>
    <t xml:space="preserve">Light Grey, Dark Grey, Red, Burgundy, Green, Blue, Extra Bianco, Black (Nero and Deep), Coffee</t>
  </si>
  <si>
    <t xml:space="preserve">43 x 28-3/8</t>
  </si>
  <si>
    <t xml:space="preserve">Extra Bianco, Green, Dark Grey, Light Grey, Coffee, Burgundy, Red, Blue, Black (Nero)</t>
  </si>
  <si>
    <t xml:space="preserve">43 in x 100 meters</t>
  </si>
  <si>
    <t xml:space="preserve">Buffalo Skin</t>
  </si>
  <si>
    <t xml:space="preserve">White, Lemon Yellow, Dark Grey, China Red, Deep Burgundy, Sky Blue, Royal Blue, Dark Blue, Green, Dark Green, Chocolate Brown, Black</t>
  </si>
  <si>
    <t xml:space="preserve">42 in x 50 yards</t>
  </si>
  <si>
    <t xml:space="preserve">42 in x 25 yards</t>
  </si>
  <si>
    <t xml:space="preserve">42 in x 1 yard</t>
  </si>
  <si>
    <t xml:space="preserve">yard</t>
  </si>
  <si>
    <t xml:space="preserve">Starlin B-Cvr</t>
  </si>
  <si>
    <t xml:space="preserve">White, Black, Red, Dark Green, Brown, Navy Blue, Blue, Wine</t>
  </si>
  <si>
    <t xml:space="preserve">Digital Substrate</t>
  </si>
  <si>
    <t xml:space="preserve">Saraprint Transparent PET 125 microns</t>
  </si>
  <si>
    <t xml:space="preserve">Sticker &amp; adhesive</t>
  </si>
  <si>
    <t xml:space="preserve">175 gsm</t>
  </si>
  <si>
    <t xml:space="preserve">13 x 19</t>
  </si>
  <si>
    <t xml:space="preserve">Saraprint Transparent PET</t>
  </si>
  <si>
    <t xml:space="preserve">Neenah Estate Label</t>
  </si>
  <si>
    <t xml:space="preserve">White Laid, White Vellum, Cream Laid, Cream Vellum, Bright White Laid, Bright White Vellum, Kraft Vellum</t>
  </si>
  <si>
    <t xml:space="preserve">12 x 18</t>
  </si>
  <si>
    <t xml:space="preserve">Saraprint White Matte 125 microns</t>
  </si>
  <si>
    <t xml:space="preserve">Synthetic</t>
  </si>
  <si>
    <t xml:space="preserve">Saraprint White Matte 200 microns</t>
  </si>
  <si>
    <t xml:space="preserve">Saraprint White Matte 250 microns</t>
  </si>
  <si>
    <t xml:space="preserve">Saraprint Silver PET 125 microns</t>
  </si>
  <si>
    <t xml:space="preserve">IFEX Philippines (Retail SRP List)</t>
  </si>
  <si>
    <t xml:space="preserve">Specialty Cut-Size Paper</t>
  </si>
  <si>
    <t xml:space="preserve">Worx Colored</t>
  </si>
  <si>
    <t xml:space="preserve">Assorted colors</t>
  </si>
  <si>
    <t xml:space="preserve">10s x 25 packs</t>
  </si>
  <si>
    <t xml:space="preserve">Apr 30, 2026</t>
  </si>
  <si>
    <t xml:space="preserve">100s x 5 packs</t>
  </si>
  <si>
    <t xml:space="preserve">250s</t>
  </si>
  <si>
    <t xml:space="preserve">Worx Colored - Single Color</t>
  </si>
  <si>
    <t xml:space="preserve">Yellow, Orange, Red, Blue, Green, Light Yellow, Light Blue, Light Pink, Light Green, Light Purple</t>
  </si>
  <si>
    <t xml:space="preserve">Colored Cardstock</t>
  </si>
  <si>
    <t xml:space="preserve">Biscuit Beige, Blue Grotto, Deep Green, Light Blue, Matcha, Rosa Beige, Old Rose, Rose Bud, Sepia Brown, Sienna Brown, Red Wine, Turquoise Blue</t>
  </si>
  <si>
    <t xml:space="preserve">pack (10s)</t>
  </si>
  <si>
    <t xml:space="preserve">pack (5s)</t>
  </si>
  <si>
    <t xml:space="preserve">Jotter Cube</t>
  </si>
  <si>
    <t xml:space="preserve">pad</t>
  </si>
  <si>
    <t xml:space="preserve">Jotter Pad</t>
  </si>
  <si>
    <t xml:space="preserve">Kiwi, Matcha Green, Lipstick, C.Blue, Azure, Baltic Sea, Pumpkin, I. Yellow, Chilli Pepper, Coral</t>
  </si>
  <si>
    <t xml:space="preserve">5-1/2 x 8-1/4</t>
  </si>
  <si>
    <t xml:space="preserve">Worx Envelope #5</t>
  </si>
  <si>
    <t xml:space="preserve">White, Cream</t>
  </si>
  <si>
    <t xml:space="preserve">4-1/8 x 5-1/8</t>
  </si>
  <si>
    <t xml:space="preserve">25 packs x 10 pcs</t>
  </si>
  <si>
    <t xml:space="preserve">Worx Envelope #6</t>
  </si>
  <si>
    <t xml:space="preserve">5 x 6</t>
  </si>
  <si>
    <t xml:space="preserve">Worx Envelope #7-3/4</t>
  </si>
  <si>
    <t xml:space="preserve">4-1/8 x 7-1/2</t>
  </si>
  <si>
    <t xml:space="preserve">Worx Envelope #10</t>
  </si>
  <si>
    <t xml:space="preserve">4-1/8 x 9-1/2</t>
  </si>
  <si>
    <t xml:space="preserve">Cornfield Cream, Brilliant White, Soft Green, Ivory, Natural, Powder Blue, Rose Pink</t>
  </si>
  <si>
    <t xml:space="preserve">20s x 25 packs</t>
  </si>
  <si>
    <t xml:space="preserve">Cannon Envelope #3</t>
  </si>
  <si>
    <t xml:space="preserve">3-1/4 x 4-3/8</t>
  </si>
  <si>
    <t xml:space="preserve">Cannon Envelope #5</t>
  </si>
  <si>
    <t xml:space="preserve">Cannon Envelope #6</t>
  </si>
  <si>
    <t xml:space="preserve">Cannon Envelope #7.5</t>
  </si>
  <si>
    <t xml:space="preserve">5-3/4 x 7-1/2</t>
  </si>
  <si>
    <t xml:space="preserve">Cannon Envelope #10</t>
  </si>
  <si>
    <t xml:space="preserve">High White, Ivory, Milky White</t>
  </si>
  <si>
    <t xml:space="preserve">Centennial Modern</t>
  </si>
  <si>
    <t xml:space="preserve">High White, Ivory</t>
  </si>
  <si>
    <t xml:space="preserve">High White, Ivory, Oyster</t>
  </si>
  <si>
    <t xml:space="preserve">Creations</t>
  </si>
  <si>
    <t xml:space="preserve">Designs: Astral, Bouquet, Haven, Reef, Vineyard - Blue, Green, Natural, Pink, White, Purple</t>
  </si>
  <si>
    <t xml:space="preserve">Vellum, Ultra White, Ivory (Cream), Diamond White, High White</t>
  </si>
  <si>
    <t xml:space="preserve">Ultra White, Ivory (Cream), Diamond White</t>
  </si>
  <si>
    <t xml:space="preserve">Vellum, Ultra White, Ivory, High White</t>
  </si>
  <si>
    <t xml:space="preserve">25 packs x 5 sheets</t>
  </si>
  <si>
    <t xml:space="preserve">Oyster, Ultra White, Ivory (Cream)</t>
  </si>
  <si>
    <t xml:space="preserve">Astro Premium Envelope A2</t>
  </si>
  <si>
    <t xml:space="preserve">Astro, Bianco</t>
  </si>
  <si>
    <t xml:space="preserve">4-3/8 x 5-3/4</t>
  </si>
  <si>
    <t xml:space="preserve">10 packs x 10 pcs</t>
  </si>
  <si>
    <t xml:space="preserve">10 pcs</t>
  </si>
  <si>
    <t xml:space="preserve">Astro Premium Envelope A6</t>
  </si>
  <si>
    <t xml:space="preserve">4-3/4 x 6-1/2</t>
  </si>
  <si>
    <t xml:space="preserve">Astro Premium Envelope A9</t>
  </si>
  <si>
    <t xml:space="preserve">5-3/4 x 8-3/4</t>
  </si>
  <si>
    <t xml:space="preserve">Fleur de Liz</t>
  </si>
  <si>
    <t xml:space="preserve">Designs: Hyacinth, Iris, Laurel, Orchid - Blue, Cream, Green, Pink, Purple, White</t>
  </si>
  <si>
    <t xml:space="preserve">Freesia - White, Natural, Yellow, Green, Blue, Purple, Pink</t>
  </si>
  <si>
    <t xml:space="preserve">210 gsm</t>
  </si>
  <si>
    <t xml:space="preserve">Fleur de Liz Baronial Envelope #3</t>
  </si>
  <si>
    <t xml:space="preserve">Designs: Iris, Laurel, Orchid - Blue, Green, Cream, Pink, Purple, White</t>
  </si>
  <si>
    <t xml:space="preserve">5 pcs x 25 packs</t>
  </si>
  <si>
    <t xml:space="preserve">Fleur de Liz Baronial Envelope #5.5</t>
  </si>
  <si>
    <t xml:space="preserve">4-3/8 x 5-5/8</t>
  </si>
  <si>
    <t xml:space="preserve">Fleur de Liz Baronial Envelope #6</t>
  </si>
  <si>
    <t xml:space="preserve">Fleur de Liz Baronial Envelope #7.5</t>
  </si>
  <si>
    <t xml:space="preserve">Fleur de Liz Baronial Envelope #8.75</t>
  </si>
  <si>
    <t xml:space="preserve">6 x 8-3/4</t>
  </si>
  <si>
    <t xml:space="preserve">Fleur de Liz Baronial Envelope #9</t>
  </si>
  <si>
    <t xml:space="preserve">7 x 9</t>
  </si>
  <si>
    <t xml:space="preserve">Moods Mellow Paper</t>
  </si>
  <si>
    <t xml:space="preserve">Peach, C.White, H.Cream, P.Yellow, P.Pink, B.Blue, G.Green, S.Violet</t>
  </si>
  <si>
    <t xml:space="preserve">25s x 25 packs</t>
  </si>
  <si>
    <t xml:space="preserve">Moods Mellow Board</t>
  </si>
  <si>
    <t xml:space="preserve">C.White, H.Cream, B.Blue, G.Green</t>
  </si>
  <si>
    <t xml:space="preserve">15s x 25 packs</t>
  </si>
  <si>
    <t xml:space="preserve">Buffalo Starweave - Moroccan (Repacked)</t>
  </si>
  <si>
    <t xml:space="preserve">Cream, D.Blue, D.Green, G.Yellow, L.Brown, O.Green, Pink, Red, S.Blue, White</t>
  </si>
  <si>
    <t xml:space="preserve">100s</t>
  </si>
  <si>
    <t xml:space="preserve">Pastelle</t>
  </si>
  <si>
    <t xml:space="preserve">Pastelle Blue, Green, Natural, Pink, Purple, White, Yellow</t>
  </si>
  <si>
    <t xml:space="preserve">Pastelle Envelope #3 (Baronial, repacked)</t>
  </si>
  <si>
    <t xml:space="preserve">5s x 25 packs</t>
  </si>
  <si>
    <t xml:space="preserve">Pastelle Envelope #5.5 (Baronial, repacked)</t>
  </si>
  <si>
    <t xml:space="preserve">Pastelle Envelope #6 (Baronial, repacked)</t>
  </si>
  <si>
    <t xml:space="preserve">Pastelle Envelope #7.5 (Baronial, repacked)</t>
  </si>
  <si>
    <t xml:space="preserve">Pastelle Envelope #8.75 (Baronial, repacked)</t>
  </si>
  <si>
    <t xml:space="preserve">Pastelle Envelope #9 (Baronial, repacked)</t>
  </si>
  <si>
    <t xml:space="preserve">Blossoms</t>
  </si>
  <si>
    <t xml:space="preserve">White, Natural, Pink, Purple, Green, Blue, Fuschia, Gold, Silver</t>
  </si>
  <si>
    <t xml:space="preserve">Star Parch</t>
  </si>
  <si>
    <t xml:space="preserve">10s x 50 packs</t>
  </si>
  <si>
    <t xml:space="preserve">5 packs x 100 sheets</t>
  </si>
  <si>
    <t xml:space="preserve">Orange Vellum Board</t>
  </si>
  <si>
    <t xml:space="preserve">10s x 10 packs</t>
  </si>
  <si>
    <t xml:space="preserve">A3</t>
  </si>
  <si>
    <t xml:space="preserve">Orange Vellum Board - Colored</t>
  </si>
  <si>
    <t xml:space="preserve">Blue, Green, Pink, Yellow</t>
  </si>
  <si>
    <t xml:space="preserve">Orange Vellum - Colored</t>
  </si>
  <si>
    <t xml:space="preserve">Office / Copy Paper</t>
  </si>
  <si>
    <t xml:space="preserve">Orange Premium Office</t>
  </si>
  <si>
    <t xml:space="preserve">25 packs x 20 sheets</t>
  </si>
  <si>
    <t xml:space="preserve">8-1/2 x 14</t>
  </si>
  <si>
    <t xml:space="preserve">Orange Thermal Paper</t>
  </si>
  <si>
    <t xml:space="preserve">1/2 core 44mm</t>
  </si>
  <si>
    <t xml:space="preserve">30M</t>
  </si>
  <si>
    <t xml:space="preserve">1/2 core 57mm</t>
  </si>
  <si>
    <t xml:space="preserve">1/2 core 80mm</t>
  </si>
  <si>
    <t xml:space="preserve">1/2 core 76mm</t>
  </si>
  <si>
    <t xml:space="preserve">60M</t>
  </si>
  <si>
    <t xml:space="preserve">Fine Arts Supplies</t>
  </si>
  <si>
    <t xml:space="preserve">Canson CA Grain</t>
  </si>
  <si>
    <t xml:space="preserve">19-5/8 x 25-5/8</t>
  </si>
  <si>
    <t xml:space="preserve">20 x 15</t>
  </si>
  <si>
    <t xml:space="preserve">125 sheets</t>
  </si>
  <si>
    <t xml:space="preserve">Canson Balloon Sketch Pad</t>
  </si>
  <si>
    <t xml:space="preserve">24 sheets/pad</t>
  </si>
  <si>
    <t xml:space="preserve">A5</t>
  </si>
  <si>
    <t xml:space="preserve">Canson Sketch Pad</t>
  </si>
  <si>
    <t xml:space="preserve">Creamy White, 24 sheets</t>
  </si>
  <si>
    <t xml:space="preserve">Creamy White, 50 sheets</t>
  </si>
  <si>
    <t xml:space="preserve">24 sheets - Spiral</t>
  </si>
  <si>
    <t xml:space="preserve">50 sheets - Spiral</t>
  </si>
  <si>
    <t xml:space="preserve">Canson Watercolor Repack</t>
  </si>
  <si>
    <t xml:space="preserve">10 sheets</t>
  </si>
  <si>
    <t xml:space="preserve">Canson Watercolor Pad</t>
  </si>
  <si>
    <t xml:space="preserve">Canson XL Aquarelle</t>
  </si>
  <si>
    <t xml:space="preserve">20 sheets</t>
  </si>
  <si>
    <t xml:space="preserve">30 sheets</t>
  </si>
  <si>
    <t xml:space="preserve">ISU Mixing Plate - Circular</t>
  </si>
  <si>
    <t xml:space="preserve">10 holes</t>
  </si>
  <si>
    <t xml:space="preserve">ISU Mixing Plate - Rectangular</t>
  </si>
  <si>
    <t xml:space="preserve">6 holes</t>
  </si>
  <si>
    <t xml:space="preserve">ISU Canvas Panel Board</t>
  </si>
  <si>
    <t xml:space="preserve">10 x 14</t>
  </si>
  <si>
    <t xml:space="preserve">12 x 16</t>
  </si>
  <si>
    <t xml:space="preserve">16 x 20</t>
  </si>
  <si>
    <t xml:space="preserve">ISU Stretched Canvas Board - Cotton</t>
  </si>
  <si>
    <t xml:space="preserve">8 x 10</t>
  </si>
  <si>
    <t xml:space="preserve">18 x 24</t>
  </si>
  <si>
    <t xml:space="preserve">22 x 28</t>
  </si>
  <si>
    <t xml:space="preserve">24 x 30</t>
  </si>
  <si>
    <t xml:space="preserve">ISU Square Canvas Board - Cotton</t>
  </si>
  <si>
    <t xml:space="preserve">12 x 12</t>
  </si>
  <si>
    <t xml:space="preserve">16 x 16</t>
  </si>
  <si>
    <t xml:space="preserve">18 x 18</t>
  </si>
  <si>
    <t xml:space="preserve">20 x 20</t>
  </si>
  <si>
    <t xml:space="preserve">24 x 24</t>
  </si>
  <si>
    <t xml:space="preserve">30 x 30</t>
  </si>
  <si>
    <t xml:space="preserve">36 x 36</t>
  </si>
  <si>
    <t xml:space="preserve">48 x 48</t>
  </si>
  <si>
    <t xml:space="preserve">Maries Canvas Panel</t>
  </si>
  <si>
    <t xml:space="preserve">Nara Air Dry Clay</t>
  </si>
  <si>
    <t xml:space="preserve">White, Grey, Skin, Terracotta</t>
  </si>
  <si>
    <t xml:space="preserve">500 g</t>
  </si>
  <si>
    <t xml:space="preserve">Nara Modelling Clay</t>
  </si>
  <si>
    <t xml:space="preserve">100 g</t>
  </si>
  <si>
    <t xml:space="preserve">Winsor &amp; Newton Galeria Acrylic Color</t>
  </si>
  <si>
    <t xml:space="preserve">Series 1 / Perm / Process colors</t>
  </si>
  <si>
    <t xml:space="preserve">60 ml</t>
  </si>
  <si>
    <t xml:space="preserve">Silver 2, Gold 2</t>
  </si>
  <si>
    <t xml:space="preserve">Series 1 colors</t>
  </si>
  <si>
    <t xml:space="preserve">250 ml</t>
  </si>
  <si>
    <t xml:space="preserve">Liquitex Acrylic Color</t>
  </si>
  <si>
    <t xml:space="preserve">Cadmium Red Med 5, Cobalt Blue 5</t>
  </si>
  <si>
    <t xml:space="preserve">Alizarin Crim Perm 2, Deep Violet 2, Phthalo Green 2, Hookers Green 2</t>
  </si>
  <si>
    <t xml:space="preserve">Purple 3, Sap Green Perm 3</t>
  </si>
  <si>
    <t xml:space="preserve">Acra Violet 4, Cerulean Blue 4</t>
  </si>
  <si>
    <t xml:space="preserve">Prussian Blue 1</t>
  </si>
  <si>
    <t xml:space="preserve">Liquitex Basic Acrylic Tube</t>
  </si>
  <si>
    <t xml:space="preserve">Assorted incl. Fluorescent, Iridescent, Transparent</t>
  </si>
  <si>
    <t xml:space="preserve">118 ml</t>
  </si>
  <si>
    <t xml:space="preserve">Liquitex HB Acrylic Set</t>
  </si>
  <si>
    <t xml:space="preserve">Fluorescent / Iridescent Color</t>
  </si>
  <si>
    <t xml:space="preserve">59 ml</t>
  </si>
  <si>
    <t xml:space="preserve">set of 6</t>
  </si>
  <si>
    <t xml:space="preserve">22 ml</t>
  </si>
  <si>
    <t xml:space="preserve">set of 24</t>
  </si>
  <si>
    <t xml:space="preserve">Liquitex Basics Set</t>
  </si>
  <si>
    <t xml:space="preserve">Liquitex Basics Gesso</t>
  </si>
  <si>
    <t xml:space="preserve">3.78 L</t>
  </si>
  <si>
    <t xml:space="preserve">Liquitex Clear Gesso</t>
  </si>
  <si>
    <t xml:space="preserve">946 ml</t>
  </si>
  <si>
    <t xml:space="preserve">Liquitex Acrylic Satin Varnish</t>
  </si>
  <si>
    <t xml:space="preserve">237 ml</t>
  </si>
  <si>
    <t xml:space="preserve">Liquitex Gloss Medium &amp; Varnish</t>
  </si>
  <si>
    <t xml:space="preserve">Liquitex Air Brush Medium</t>
  </si>
  <si>
    <t xml:space="preserve">Liquitex Matte Varnish</t>
  </si>
  <si>
    <t xml:space="preserve">Liquitex Modelling Paste</t>
  </si>
  <si>
    <t xml:space="preserve">473 ml</t>
  </si>
  <si>
    <t xml:space="preserve">Liquitex Artist Brushes</t>
  </si>
  <si>
    <t xml:space="preserve">Assortment 4 Free Style Brushes</t>
  </si>
  <si>
    <t xml:space="preserve">set</t>
  </si>
  <si>
    <t xml:space="preserve">Liquitex Artist Brush</t>
  </si>
  <si>
    <t xml:space="preserve">Flat n10</t>
  </si>
  <si>
    <t xml:space="preserve">Flat n2</t>
  </si>
  <si>
    <t xml:space="preserve">Flat n4</t>
  </si>
  <si>
    <t xml:space="preserve">Flat n6</t>
  </si>
  <si>
    <t xml:space="preserve">Round n10</t>
  </si>
  <si>
    <t xml:space="preserve">Round n2</t>
  </si>
  <si>
    <t xml:space="preserve">Round n4</t>
  </si>
  <si>
    <t xml:space="preserve">Round n6</t>
  </si>
  <si>
    <t xml:space="preserve">Liquitex Artist Brush Universal</t>
  </si>
  <si>
    <t xml:space="preserve">Angle 3 in</t>
  </si>
  <si>
    <t xml:space="preserve">Flat 1 in</t>
  </si>
  <si>
    <t xml:space="preserve">Flat 3 in</t>
  </si>
  <si>
    <t xml:space="preserve">Liquitex HB Acrylic Color</t>
  </si>
  <si>
    <t xml:space="preserve">Ivory Black 1, Mars Black, Titanium White 1</t>
  </si>
  <si>
    <t xml:space="preserve">138 ml</t>
  </si>
  <si>
    <t xml:space="preserve">Iridescent White 2</t>
  </si>
  <si>
    <t xml:space="preserve">Series 3 colors (Cad Yellow, Cerulean Blue, Deep Magenta, Quinac, Iridescent etc.)</t>
  </si>
  <si>
    <t xml:space="preserve">Snazaroo Face Paint Stencils for Boys (6s)</t>
  </si>
  <si>
    <t xml:space="preserve">Snazaroo Face Paint Stencils for Girls (6s)</t>
  </si>
  <si>
    <t xml:space="preserve">Snazaroo Face Paint Stencils for Halloween (6s)</t>
  </si>
  <si>
    <t xml:space="preserve">Snazaroo Face Paint Stencils for Unisex (6s)</t>
  </si>
  <si>
    <t xml:space="preserve">Snazaroo Girls Face Painting Sticks (6s)</t>
  </si>
  <si>
    <t xml:space="preserve">Snazaroo Boys Face Painting Sticks (6s)</t>
  </si>
  <si>
    <t xml:space="preserve">Snazaroo Unisex Face Painting Sticks (6s)</t>
  </si>
  <si>
    <t xml:space="preserve">Snazaroo Halloween Face Painting Sticks (6s)</t>
  </si>
  <si>
    <t xml:space="preserve">Snazaroo Boys Hanging Palette Kit</t>
  </si>
  <si>
    <t xml:space="preserve">Snazaroo Girls Hanging Palette Kit</t>
  </si>
  <si>
    <t xml:space="preserve">Snazaroo Unisex Hanging Palette Kit</t>
  </si>
  <si>
    <t xml:space="preserve">Snazaroo Halloween Hanging Kit (Scary Faces)</t>
  </si>
  <si>
    <t xml:space="preserve">Snazaroo Ultimate Party Pack</t>
  </si>
  <si>
    <t xml:space="preserve">IPLMI (Calamba, Laguna)</t>
  </si>
  <si>
    <t xml:space="preserve">Packaging (Price on request)</t>
  </si>
  <si>
    <t xml:space="preserve">Regular Slotted Container</t>
  </si>
  <si>
    <t xml:space="preserve">Brochure only - request quotation</t>
  </si>
  <si>
    <t xml:space="preserve">2024 (brochure)</t>
  </si>
  <si>
    <t xml:space="preserve">Half Slotted Container</t>
  </si>
  <si>
    <t xml:space="preserve">Die-cut Boxes and Pads</t>
  </si>
  <si>
    <t xml:space="preserve">Cap and Tray Boxes</t>
  </si>
  <si>
    <t xml:space="preserve">Partition Pads and Dividers</t>
  </si>
  <si>
    <t xml:space="preserve">Bubble Sheet / Wrap</t>
  </si>
  <si>
    <t xml:space="preserve">PE Foam</t>
  </si>
  <si>
    <t xml:space="preserve">PU Foam</t>
  </si>
  <si>
    <t xml:space="preserve">PP Foam</t>
  </si>
  <si>
    <t xml:space="preserve">Packaging Tape</t>
  </si>
  <si>
    <t xml:space="preserve">Customized Tape</t>
  </si>
  <si>
    <t xml:space="preserve">Tesa Tape</t>
  </si>
  <si>
    <t xml:space="preserve">PP Corrugated</t>
  </si>
  <si>
    <t xml:space="preserve">Double-sided Tape</t>
  </si>
  <si>
    <t xml:space="preserve">PP, OPP, PE Sheet / Bag</t>
  </si>
  <si>
    <t xml:space="preserve">Signage (Price on request)</t>
  </si>
  <si>
    <t xml:space="preserve">Fire and Exit Signage</t>
  </si>
  <si>
    <t xml:space="preserve">Evacuation Map</t>
  </si>
  <si>
    <t xml:space="preserve">Traffic and Parking Signage</t>
  </si>
  <si>
    <t xml:space="preserve">Safety and Facility Signage</t>
  </si>
  <si>
    <t xml:space="preserve">Office and Admin Signage</t>
  </si>
  <si>
    <t xml:space="preserve">No. of Items</t>
  </si>
  <si>
    <t xml:space="preserve">Address</t>
  </si>
  <si>
    <t xml:space="preserve">Contact Person</t>
  </si>
  <si>
    <t xml:space="preserve">Phone / Mobile</t>
  </si>
  <si>
    <t xml:space="preserve">Email / Website</t>
  </si>
  <si>
    <t xml:space="preserve">Remarks</t>
  </si>
  <si>
    <t xml:space="preserve">Source File</t>
  </si>
  <si>
    <t xml:space="preserve">289 Dayao cor. Buendia St., Balut, Tondo, Manila</t>
  </si>
  <si>
    <t xml:space="preserve">Tel (02) 523-1915 / (02) 522-2930; Telefax (02) 523-1957; Smart 0920-961-8042; Sun 0942-258-2109; Globe 0966-670-2532</t>
  </si>
  <si>
    <t xml:space="preserve">hi.gloss@yahoo.com; www.higlosslamination.com</t>
  </si>
  <si>
    <t xml:space="preserve">3D Spot requires positive emulsion up film. Prices may change without prior notice. List is dated 2018 - confirm current rates.</t>
  </si>
  <si>
    <t xml:space="preserve">Hi-Gloss price list (photo)</t>
  </si>
  <si>
    <t xml:space="preserve">Antonio N. Gavarra</t>
  </si>
  <si>
    <t xml:space="preserve">(632) 8726-4030 loc. 307; Mobile/Viber 0917-713-3467</t>
  </si>
  <si>
    <t xml:space="preserve">Price shown = discounted price (SRP less discount).</t>
  </si>
  <si>
    <t xml:space="preserve">COMMASIA_10.2026.pdf</t>
  </si>
  <si>
    <t xml:space="preserve">Silang, Cavite</t>
  </si>
  <si>
    <t xml:space="preserve">Newsprint and book paper per ream.</t>
  </si>
  <si>
    <t xml:space="preserve">2025_CROSSPOINT_PAPER_SILANG_CAVITE.docx</t>
  </si>
  <si>
    <t xml:space="preserve">Older list - superseded by April list where items overlap.</t>
  </si>
  <si>
    <t xml:space="preserve">NAPPCO price list (image)</t>
  </si>
  <si>
    <t xml:space="preserve">Marked 'internal document, prices indicative only and may change anytime'. Volume discounts via sales head. Handwritten updates included and flagged in Notes.</t>
  </si>
  <si>
    <t xml:space="preserve">NAPPCO price list (photo, with handwritten updates)</t>
  </si>
  <si>
    <t xml:space="preserve">Troy (North 1); Jay (North 2); Anthony (South)</t>
  </si>
  <si>
    <t xml:space="preserve">Office 0939-913-0347 / 0998-955-4681; Troy 0908-894-7714; Jay 0998-996-6289; Anthony 0928-550-5419</t>
  </si>
  <si>
    <t xml:space="preserve">Dense scanned list - rows flagged 'verify' in Notes were hard to read; confirm with supplier.</t>
  </si>
  <si>
    <t xml:space="preserve">Star Paper Luzon price list (scan)</t>
  </si>
  <si>
    <t xml:space="preserve">46 Joy Street, Grace Village, Quezon City 1115 (pick-up &amp; delivery)</t>
  </si>
  <si>
    <t xml:space="preserve">Trunk line 8364-6041 to 49, locals 516-525</t>
  </si>
  <si>
    <t xml:space="preserve">Unit price per sheet. *New items; **Until supplies last.</t>
  </si>
  <si>
    <t xml:space="preserve">IFEX_2026_Manila_Printer_Official_Pricelist_Q2_2026.pdf</t>
  </si>
  <si>
    <t xml:space="preserve">Angelina F. Singh (Luzon Sales Coordinator); noted by Jeffrey Miranda (Luzon Sales Supervisor)</t>
  </si>
  <si>
    <t xml:space="preserve">+632 364-6041 to 49 loc. 524; Viber 0907-333-3333</t>
  </si>
  <si>
    <t xml:space="preserve">luzonnorth@ifex.com.ph</t>
  </si>
  <si>
    <t xml:space="preserve">Prices are SRP.</t>
  </si>
  <si>
    <t xml:space="preserve">IFEX_Price_List_Effective_043026.pdf</t>
  </si>
  <si>
    <t xml:space="preserve">Lot C3-3C Carmelray Industrial Park 2, Km. 54 National Highway, Calamba City, Laguna 4027; 2560 Marcelita Bldg., National Highway, Brgy. Real, Calamba City</t>
  </si>
  <si>
    <t xml:space="preserve">Vinizza A. Farenas (Sales Executive); Julie Ann Tipon-tipon (Sales Coordinator)</t>
  </si>
  <si>
    <t xml:space="preserve">0908-898-7777; 0920-961-3285; (049) 545-2885</t>
  </si>
  <si>
    <t xml:space="preserve">sales@iplmi.com; admin@iplmi.net</t>
  </si>
  <si>
    <t xml:space="preserve">Brochure only - no prices. ISO 9001:2015, ISO 14001:2015, ISO 45001:2018. Request quotation.</t>
  </si>
  <si>
    <t xml:space="preserve">IPLMI_Company_Profile_and_Brochure_2024.pdf</t>
  </si>
  <si>
    <t xml:space="preserve">Legend</t>
  </si>
  <si>
    <t xml:space="preserve">Yellow cells on the Search tab are the only cells to edit (dropdowns / keywords).</t>
  </si>
  <si>
    <t xml:space="preserve">Blue prices on the Price List tab are hardcoded values taken from each supplier's list; add new rows at the bottom of the table to extend it.</t>
  </si>
  <si>
    <t xml:space="preserve">Notes column flags 'verify' where the source scan was hard to read, and 'Handwritten update' where the supplier list had pen corrections.</t>
  </si>
  <si>
    <t xml:space="preserve">Suppliers</t>
  </si>
  <si>
    <t xml:space="preserve">Categories</t>
  </si>
  <si>
    <t xml:space="preserve">All Items</t>
  </si>
  <si>
    <t xml:space="preserve">Category (for item list)</t>
  </si>
  <si>
    <t xml:space="preserve">Item (by category)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</si>
</sst>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##;\-#,##0.00##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EF3F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EF3FA"/>
        </patternFill>
      </fill>
    </dxf>
    <dxf>
      <border diagonalUp="false" diagonalDown="false">
        <left/>
        <right/>
        <top/>
        <bottom style="thin">
          <color rgb="FFD9D9D9"/>
        </bottom>
        <diagonal/>
      </border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iceList" displayName="PriceList" ref="A1:M1352" headerRowCount="1" totalsRowCount="0" totalsRowShown="0">
  <autoFilter ref="A1:M1352"/>
  <tableColumns count="13">
    <tableColumn id="1" name="ID"/>
    <tableColumn id="2" name="Supplier"/>
    <tableColumn id="3" name="Category"/>
    <tableColumn id="4" name="Item / Brand"/>
    <tableColumn id="5" name="Description / Color"/>
    <tableColumn id="6" name="GSM / Caliper / Code"/>
    <tableColumn id="7" name="Size"/>
    <tableColumn id="8" name="Unit / Packing"/>
    <tableColumn id="9" name="Price (PHP)"/>
    <tableColumn id="10" name="Notes"/>
    <tableColumn id="11" name="Price List Date"/>
    <tableColumn id="12" name="Match"/>
    <tableColumn id="13" name="Match #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4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true" outlineLevel="0" max="12" min="12" style="0" width="6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4"/>
      <c r="E4" s="4"/>
      <c r="G4" s="5" t="s">
        <v>4</v>
      </c>
      <c r="H4" s="6" t="n">
        <f aca="false">'Price List'!M1352</f>
        <v>1351</v>
      </c>
    </row>
    <row r="5" customFormat="false" ht="15" hidden="false" customHeight="false" outlineLevel="0" collapsed="false">
      <c r="B5" s="3" t="s">
        <v>5</v>
      </c>
      <c r="C5" s="4" t="s">
        <v>3</v>
      </c>
      <c r="D5" s="4"/>
      <c r="E5" s="4"/>
      <c r="G5" s="7" t="s">
        <v>6</v>
      </c>
      <c r="H5" s="7" t="n">
        <v>400</v>
      </c>
    </row>
    <row r="6" customFormat="false" ht="15" hidden="false" customHeight="false" outlineLevel="0" collapsed="false">
      <c r="B6" s="3" t="s">
        <v>7</v>
      </c>
      <c r="C6" s="4" t="s">
        <v>3</v>
      </c>
      <c r="D6" s="4"/>
      <c r="E6" s="4"/>
      <c r="G6" s="7" t="s">
        <v>8</v>
      </c>
      <c r="H6" s="7" t="n">
        <f aca="false">COUNTA('Price List'!A2:A1352)</f>
        <v>1351</v>
      </c>
    </row>
    <row r="7" customFormat="false" ht="15" hidden="false" customHeight="false" outlineLevel="0" collapsed="false">
      <c r="B7" s="3" t="s">
        <v>9</v>
      </c>
      <c r="C7" s="4"/>
      <c r="D7" s="4"/>
      <c r="E7" s="4"/>
      <c r="G7" s="2" t="s">
        <v>10</v>
      </c>
    </row>
    <row r="8" customFormat="false" ht="15" hidden="false" customHeight="false" outlineLevel="0" collapsed="false">
      <c r="B8" s="3" t="s">
        <v>11</v>
      </c>
      <c r="C8" s="4"/>
      <c r="D8" s="4"/>
      <c r="E8" s="4"/>
    </row>
    <row r="10" customFormat="false" ht="23.85" hidden="false" customHeight="false" outlineLevel="0" collapsed="false">
      <c r="A10" s="8" t="s">
        <v>12</v>
      </c>
      <c r="B10" s="8" t="s">
        <v>2</v>
      </c>
      <c r="C10" s="8" t="s">
        <v>5</v>
      </c>
      <c r="D10" s="8" t="s">
        <v>7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  <c r="J10" s="8" t="s">
        <v>18</v>
      </c>
      <c r="K10" s="8" t="s">
        <v>19</v>
      </c>
      <c r="L10" s="8" t="s">
        <v>20</v>
      </c>
    </row>
    <row r="11" customFormat="false" ht="15" hidden="false" customHeight="false" outlineLevel="0" collapsed="false">
      <c r="A11" s="9" t="n">
        <v>1</v>
      </c>
      <c r="B11" s="10" t="str">
        <f aca="false">IF($L11="","",INDEX('Price List'!$B$2:$B$1352,$L11)&amp;"")</f>
        <v>Hi-Gloss Lamination, Inc.</v>
      </c>
      <c r="C11" s="10" t="str">
        <f aca="false">IF($L11="","",INDEX('Price List'!$C$2:$C$1352,$L11)&amp;"")</f>
        <v>Lamination / Finishing Service</v>
      </c>
      <c r="D11" s="11" t="str">
        <f aca="false">IF($L11="","",INDEX('Price List'!$D$2:$D$1352,$L11)&amp;"")</f>
        <v>5D Spot Hologram (3 Designs)</v>
      </c>
      <c r="E11" s="11" t="str">
        <f aca="false">IF($L11="","",INDEX('Price List'!$E$2:$E$1352,$L11)&amp;"")</f>
        <v/>
      </c>
      <c r="F11" s="10" t="str">
        <f aca="false">IF($L11="","",INDEX('Price List'!$F$2:$F$1352,$L11)&amp;"")</f>
        <v/>
      </c>
      <c r="G11" s="10" t="str">
        <f aca="false">IF($L11="","",INDEX('Price List'!$G$2:$G$1352,$L11)&amp;"")</f>
        <v/>
      </c>
      <c r="H11" s="10" t="str">
        <f aca="false">IF($L11="","",INDEX('Price List'!$H$2:$H$1352,$L11)&amp;"")</f>
        <v>per sq. inch</v>
      </c>
      <c r="I11" s="12" t="n">
        <f aca="false">IF($L11="","",IF(INDEX('Price List'!$I$2:$I$1352,$L11)="","",INDEX('Price List'!$I$2:$I$1352,$L11)))</f>
        <v>0.018</v>
      </c>
      <c r="J11" s="11" t="str">
        <f aca="false">IF($L11="","",INDEX('Price List'!$J$2:$J$1352,$L11)&amp;"")</f>
        <v>Min. P2.00/sheet; Min. P1,500.00/job</v>
      </c>
      <c r="K11" s="10" t="str">
        <f aca="false">IF($L11="","",INDEX('Price List'!$K$2:$K$1352,$L11)&amp;"")</f>
        <v>Sep 2018</v>
      </c>
      <c r="L11" s="13" t="n">
        <f aca="false">IF(1&gt;$H$4,"",MATCH(1,'Price List'!$M$2:$M$1352,0))</f>
        <v>1</v>
      </c>
    </row>
    <row r="12" customFormat="false" ht="15" hidden="false" customHeight="false" outlineLevel="0" collapsed="false">
      <c r="A12" s="9" t="n">
        <v>2</v>
      </c>
      <c r="B12" s="10" t="str">
        <f aca="false">IF($L12="","",INDEX('Price List'!$B$2:$B$1352,$L12)&amp;"")</f>
        <v>Hi-Gloss Lamination, Inc.</v>
      </c>
      <c r="C12" s="10" t="str">
        <f aca="false">IF($L12="","",INDEX('Price List'!$C$2:$C$1352,$L12)&amp;"")</f>
        <v>Lamination / Finishing Service</v>
      </c>
      <c r="D12" s="11" t="str">
        <f aca="false">IF($L12="","",INDEX('Price List'!$D$2:$D$1352,$L12)&amp;"")</f>
        <v>3D Dyna Spot (Pattern)</v>
      </c>
      <c r="E12" s="11" t="str">
        <f aca="false">IF($L12="","",INDEX('Price List'!$E$2:$E$1352,$L12)&amp;"")</f>
        <v/>
      </c>
      <c r="F12" s="10" t="str">
        <f aca="false">IF($L12="","",INDEX('Price List'!$F$2:$F$1352,$L12)&amp;"")</f>
        <v/>
      </c>
      <c r="G12" s="10" t="str">
        <f aca="false">IF($L12="","",INDEX('Price List'!$G$2:$G$1352,$L12)&amp;"")</f>
        <v/>
      </c>
      <c r="H12" s="10" t="str">
        <f aca="false">IF($L12="","",INDEX('Price List'!$H$2:$H$1352,$L12)&amp;"")</f>
        <v>per sq. inch</v>
      </c>
      <c r="I12" s="12" t="n">
        <f aca="false">IF($L12="","",IF(INDEX('Price List'!$I$2:$I$1352,$L12)="","",INDEX('Price List'!$I$2:$I$1352,$L12)))</f>
        <v>0.008</v>
      </c>
      <c r="J12" s="11" t="str">
        <f aca="false">IF($L12="","",INDEX('Price List'!$J$2:$J$1352,$L12)&amp;"")</f>
        <v>Min. P1.00/sheet; Min. P1,000.00/job</v>
      </c>
      <c r="K12" s="10" t="str">
        <f aca="false">IF($L12="","",INDEX('Price List'!$K$2:$K$1352,$L12)&amp;"")</f>
        <v>Sep 2018</v>
      </c>
      <c r="L12" s="13" t="n">
        <f aca="false">IF(2&gt;$H$4,"",MATCH(2,'Price List'!$M$2:$M$1352,0))</f>
        <v>2</v>
      </c>
    </row>
    <row r="13" customFormat="false" ht="23.85" hidden="false" customHeight="false" outlineLevel="0" collapsed="false">
      <c r="A13" s="9" t="n">
        <v>3</v>
      </c>
      <c r="B13" s="10" t="str">
        <f aca="false">IF($L13="","",INDEX('Price List'!$B$2:$B$1352,$L13)&amp;"")</f>
        <v>Hi-Gloss Lamination, Inc.</v>
      </c>
      <c r="C13" s="10" t="str">
        <f aca="false">IF($L13="","",INDEX('Price List'!$C$2:$C$1352,$L13)&amp;"")</f>
        <v>Lamination / Finishing Service</v>
      </c>
      <c r="D13" s="11" t="str">
        <f aca="false">IF($L13="","",INDEX('Price List'!$D$2:$D$1352,$L13)&amp;"")</f>
        <v>3D Spot (Ordinary / Semi-Heavy Duty)</v>
      </c>
      <c r="E13" s="11" t="str">
        <f aca="false">IF($L13="","",INDEX('Price List'!$E$2:$E$1352,$L13)&amp;"")</f>
        <v/>
      </c>
      <c r="F13" s="10" t="str">
        <f aca="false">IF($L13="","",INDEX('Price List'!$F$2:$F$1352,$L13)&amp;"")</f>
        <v/>
      </c>
      <c r="G13" s="10" t="str">
        <f aca="false">IF($L13="","",INDEX('Price List'!$G$2:$G$1352,$L13)&amp;"")</f>
        <v/>
      </c>
      <c r="H13" s="10" t="str">
        <f aca="false">IF($L13="","",INDEX('Price List'!$H$2:$H$1352,$L13)&amp;"")</f>
        <v>per sq. inch</v>
      </c>
      <c r="I13" s="12" t="n">
        <f aca="false">IF($L13="","",IF(INDEX('Price List'!$I$2:$I$1352,$L13)="","",INDEX('Price List'!$I$2:$I$1352,$L13)))</f>
        <v>0.006</v>
      </c>
      <c r="J13" s="11" t="str">
        <f aca="false">IF($L13="","",INDEX('Price List'!$J$2:$J$1352,$L13)&amp;"")</f>
        <v>Min. P1.00/sheet; Min. P1,000.00/job</v>
      </c>
      <c r="K13" s="10" t="str">
        <f aca="false">IF($L13="","",INDEX('Price List'!$K$2:$K$1352,$L13)&amp;"")</f>
        <v>Sep 2018</v>
      </c>
      <c r="L13" s="13" t="n">
        <f aca="false">IF(3&gt;$H$4,"",MATCH(3,'Price List'!$M$2:$M$1352,0))</f>
        <v>3</v>
      </c>
    </row>
    <row r="14" customFormat="false" ht="15" hidden="false" customHeight="false" outlineLevel="0" collapsed="false">
      <c r="A14" s="9" t="n">
        <v>4</v>
      </c>
      <c r="B14" s="10" t="str">
        <f aca="false">IF($L14="","",INDEX('Price List'!$B$2:$B$1352,$L14)&amp;"")</f>
        <v>Hi-Gloss Lamination, Inc.</v>
      </c>
      <c r="C14" s="10" t="str">
        <f aca="false">IF($L14="","",INDEX('Price List'!$C$2:$C$1352,$L14)&amp;"")</f>
        <v>Lamination / Finishing Service</v>
      </c>
      <c r="D14" s="11" t="str">
        <f aca="false">IF($L14="","",INDEX('Price List'!$D$2:$D$1352,$L14)&amp;"")</f>
        <v>3D Spot (Heavy Duty)</v>
      </c>
      <c r="E14" s="11" t="str">
        <f aca="false">IF($L14="","",INDEX('Price List'!$E$2:$E$1352,$L14)&amp;"")</f>
        <v/>
      </c>
      <c r="F14" s="10" t="str">
        <f aca="false">IF($L14="","",INDEX('Price List'!$F$2:$F$1352,$L14)&amp;"")</f>
        <v/>
      </c>
      <c r="G14" s="10" t="str">
        <f aca="false">IF($L14="","",INDEX('Price List'!$G$2:$G$1352,$L14)&amp;"")</f>
        <v/>
      </c>
      <c r="H14" s="10" t="str">
        <f aca="false">IF($L14="","",INDEX('Price List'!$H$2:$H$1352,$L14)&amp;"")</f>
        <v>per sq. inch</v>
      </c>
      <c r="I14" s="12" t="n">
        <f aca="false">IF($L14="","",IF(INDEX('Price List'!$I$2:$I$1352,$L14)="","",INDEX('Price List'!$I$2:$I$1352,$L14)))</f>
        <v>0.009</v>
      </c>
      <c r="J14" s="11" t="str">
        <f aca="false">IF($L14="","",INDEX('Price List'!$J$2:$J$1352,$L14)&amp;"")</f>
        <v>Min. P1.00/sheet; Min. P1,000.00/job</v>
      </c>
      <c r="K14" s="10" t="str">
        <f aca="false">IF($L14="","",INDEX('Price List'!$K$2:$K$1352,$L14)&amp;"")</f>
        <v>Sep 2018</v>
      </c>
      <c r="L14" s="13" t="n">
        <f aca="false">IF(4&gt;$H$4,"",MATCH(4,'Price List'!$M$2:$M$1352,0))</f>
        <v>4</v>
      </c>
    </row>
    <row r="15" customFormat="false" ht="15" hidden="false" customHeight="false" outlineLevel="0" collapsed="false">
      <c r="A15" s="9" t="n">
        <v>5</v>
      </c>
      <c r="B15" s="10" t="str">
        <f aca="false">IF($L15="","",INDEX('Price List'!$B$2:$B$1352,$L15)&amp;"")</f>
        <v>Hi-Gloss Lamination, Inc.</v>
      </c>
      <c r="C15" s="10" t="str">
        <f aca="false">IF($L15="","",INDEX('Price List'!$C$2:$C$1352,$L15)&amp;"")</f>
        <v>Lamination / Finishing Service</v>
      </c>
      <c r="D15" s="11" t="str">
        <f aca="false">IF($L15="","",INDEX('Price List'!$D$2:$D$1352,$L15)&amp;"")</f>
        <v>3D Glitters (Multi-Colored)</v>
      </c>
      <c r="E15" s="11" t="str">
        <f aca="false">IF($L15="","",INDEX('Price List'!$E$2:$E$1352,$L15)&amp;"")</f>
        <v/>
      </c>
      <c r="F15" s="10" t="str">
        <f aca="false">IF($L15="","",INDEX('Price List'!$F$2:$F$1352,$L15)&amp;"")</f>
        <v/>
      </c>
      <c r="G15" s="10" t="str">
        <f aca="false">IF($L15="","",INDEX('Price List'!$G$2:$G$1352,$L15)&amp;"")</f>
        <v/>
      </c>
      <c r="H15" s="10" t="str">
        <f aca="false">IF($L15="","",INDEX('Price List'!$H$2:$H$1352,$L15)&amp;"")</f>
        <v>per sq. inch</v>
      </c>
      <c r="I15" s="12" t="n">
        <f aca="false">IF($L15="","",IF(INDEX('Price List'!$I$2:$I$1352,$L15)="","",INDEX('Price List'!$I$2:$I$1352,$L15)))</f>
        <v>0.009</v>
      </c>
      <c r="J15" s="11" t="str">
        <f aca="false">IF($L15="","",INDEX('Price List'!$J$2:$J$1352,$L15)&amp;"")</f>
        <v>Min. P1.00/sheet; Min. P1,000.00/job</v>
      </c>
      <c r="K15" s="10" t="str">
        <f aca="false">IF($L15="","",INDEX('Price List'!$K$2:$K$1352,$L15)&amp;"")</f>
        <v>Sep 2018</v>
      </c>
      <c r="L15" s="13" t="n">
        <f aca="false">IF(5&gt;$H$4,"",MATCH(5,'Price List'!$M$2:$M$1352,0))</f>
        <v>5</v>
      </c>
    </row>
    <row r="16" customFormat="false" ht="15" hidden="false" customHeight="false" outlineLevel="0" collapsed="false">
      <c r="A16" s="9" t="n">
        <v>6</v>
      </c>
      <c r="B16" s="10" t="str">
        <f aca="false">IF($L16="","",INDEX('Price List'!$B$2:$B$1352,$L16)&amp;"")</f>
        <v>Hi-Gloss Lamination, Inc.</v>
      </c>
      <c r="C16" s="10" t="str">
        <f aca="false">IF($L16="","",INDEX('Price List'!$C$2:$C$1352,$L16)&amp;"")</f>
        <v>Lamination / Finishing Service</v>
      </c>
      <c r="D16" s="11" t="str">
        <f aca="false">IF($L16="","",INDEX('Price List'!$D$2:$D$1352,$L16)&amp;"")</f>
        <v>3D Spot (Matt)</v>
      </c>
      <c r="E16" s="11" t="str">
        <f aca="false">IF($L16="","",INDEX('Price List'!$E$2:$E$1352,$L16)&amp;"")</f>
        <v/>
      </c>
      <c r="F16" s="10" t="str">
        <f aca="false">IF($L16="","",INDEX('Price List'!$F$2:$F$1352,$L16)&amp;"")</f>
        <v/>
      </c>
      <c r="G16" s="10" t="str">
        <f aca="false">IF($L16="","",INDEX('Price List'!$G$2:$G$1352,$L16)&amp;"")</f>
        <v/>
      </c>
      <c r="H16" s="10" t="str">
        <f aca="false">IF($L16="","",INDEX('Price List'!$H$2:$H$1352,$L16)&amp;"")</f>
        <v>per sq. inch</v>
      </c>
      <c r="I16" s="12" t="n">
        <f aca="false">IF($L16="","",IF(INDEX('Price List'!$I$2:$I$1352,$L16)="","",INDEX('Price List'!$I$2:$I$1352,$L16)))</f>
        <v>0.006</v>
      </c>
      <c r="J16" s="11" t="str">
        <f aca="false">IF($L16="","",INDEX('Price List'!$J$2:$J$1352,$L16)&amp;"")</f>
        <v>Min. P1.00/sheet; Min. P1,000.00/job</v>
      </c>
      <c r="K16" s="10" t="str">
        <f aca="false">IF($L16="","",INDEX('Price List'!$K$2:$K$1352,$L16)&amp;"")</f>
        <v>Sep 2018</v>
      </c>
      <c r="L16" s="13" t="n">
        <f aca="false">IF(6&gt;$H$4,"",MATCH(6,'Price List'!$M$2:$M$1352,0))</f>
        <v>6</v>
      </c>
    </row>
    <row r="17" customFormat="false" ht="15" hidden="false" customHeight="false" outlineLevel="0" collapsed="false">
      <c r="A17" s="9" t="n">
        <v>7</v>
      </c>
      <c r="B17" s="10" t="str">
        <f aca="false">IF($L17="","",INDEX('Price List'!$B$2:$B$1352,$L17)&amp;"")</f>
        <v>Hi-Gloss Lamination, Inc.</v>
      </c>
      <c r="C17" s="10" t="str">
        <f aca="false">IF($L17="","",INDEX('Price List'!$C$2:$C$1352,$L17)&amp;"")</f>
        <v>Lamination / Finishing Service</v>
      </c>
      <c r="D17" s="11" t="str">
        <f aca="false">IF($L17="","",INDEX('Price List'!$D$2:$D$1352,$L17)&amp;"")</f>
        <v>3D Stone Finish</v>
      </c>
      <c r="E17" s="11" t="str">
        <f aca="false">IF($L17="","",INDEX('Price List'!$E$2:$E$1352,$L17)&amp;"")</f>
        <v/>
      </c>
      <c r="F17" s="10" t="str">
        <f aca="false">IF($L17="","",INDEX('Price List'!$F$2:$F$1352,$L17)&amp;"")</f>
        <v/>
      </c>
      <c r="G17" s="10" t="str">
        <f aca="false">IF($L17="","",INDEX('Price List'!$G$2:$G$1352,$L17)&amp;"")</f>
        <v/>
      </c>
      <c r="H17" s="10" t="str">
        <f aca="false">IF($L17="","",INDEX('Price List'!$H$2:$H$1352,$L17)&amp;"")</f>
        <v>per sq. inch</v>
      </c>
      <c r="I17" s="12" t="n">
        <f aca="false">IF($L17="","",IF(INDEX('Price List'!$I$2:$I$1352,$L17)="","",INDEX('Price List'!$I$2:$I$1352,$L17)))</f>
        <v>0.009</v>
      </c>
      <c r="J17" s="11" t="str">
        <f aca="false">IF($L17="","",INDEX('Price List'!$J$2:$J$1352,$L17)&amp;"")</f>
        <v>Min. P1.00/sheet; Min. P1,000.00/job</v>
      </c>
      <c r="K17" s="10" t="str">
        <f aca="false">IF($L17="","",INDEX('Price List'!$K$2:$K$1352,$L17)&amp;"")</f>
        <v>Sep 2018</v>
      </c>
      <c r="L17" s="13" t="n">
        <f aca="false">IF(7&gt;$H$4,"",MATCH(7,'Price List'!$M$2:$M$1352,0))</f>
        <v>7</v>
      </c>
    </row>
    <row r="18" customFormat="false" ht="15" hidden="false" customHeight="false" outlineLevel="0" collapsed="false">
      <c r="A18" s="9" t="n">
        <v>8</v>
      </c>
      <c r="B18" s="10" t="str">
        <f aca="false">IF($L18="","",INDEX('Price List'!$B$2:$B$1352,$L18)&amp;"")</f>
        <v>Hi-Gloss Lamination, Inc.</v>
      </c>
      <c r="C18" s="10" t="str">
        <f aca="false">IF($L18="","",INDEX('Price List'!$C$2:$C$1352,$L18)&amp;"")</f>
        <v>Lamination / Finishing Service</v>
      </c>
      <c r="D18" s="11" t="str">
        <f aca="false">IF($L18="","",INDEX('Price List'!$D$2:$D$1352,$L18)&amp;"")</f>
        <v>Texture Embossing</v>
      </c>
      <c r="E18" s="11" t="str">
        <f aca="false">IF($L18="","",INDEX('Price List'!$E$2:$E$1352,$L18)&amp;"")</f>
        <v/>
      </c>
      <c r="F18" s="10" t="str">
        <f aca="false">IF($L18="","",INDEX('Price List'!$F$2:$F$1352,$L18)&amp;"")</f>
        <v/>
      </c>
      <c r="G18" s="10" t="str">
        <f aca="false">IF($L18="","",INDEX('Price List'!$G$2:$G$1352,$L18)&amp;"")</f>
        <v/>
      </c>
      <c r="H18" s="10" t="str">
        <f aca="false">IF($L18="","",INDEX('Price List'!$H$2:$H$1352,$L18)&amp;"")</f>
        <v>per sq. inch</v>
      </c>
      <c r="I18" s="12" t="n">
        <f aca="false">IF($L18="","",IF(INDEX('Price List'!$I$2:$I$1352,$L18)="","",INDEX('Price List'!$I$2:$I$1352,$L18)))</f>
        <v>0.003</v>
      </c>
      <c r="J18" s="11" t="str">
        <f aca="false">IF($L18="","",INDEX('Price List'!$J$2:$J$1352,$L18)&amp;"")</f>
        <v>Min. P0.50/sheet; Min. P500.00/job</v>
      </c>
      <c r="K18" s="10" t="str">
        <f aca="false">IF($L18="","",INDEX('Price List'!$K$2:$K$1352,$L18)&amp;"")</f>
        <v>Sep 2018</v>
      </c>
      <c r="L18" s="13" t="n">
        <f aca="false">IF(8&gt;$H$4,"",MATCH(8,'Price List'!$M$2:$M$1352,0))</f>
        <v>8</v>
      </c>
    </row>
    <row r="19" customFormat="false" ht="15" hidden="false" customHeight="false" outlineLevel="0" collapsed="false">
      <c r="A19" s="9" t="n">
        <v>9</v>
      </c>
      <c r="B19" s="10" t="str">
        <f aca="false">IF($L19="","",INDEX('Price List'!$B$2:$B$1352,$L19)&amp;"")</f>
        <v>Hi-Gloss Lamination, Inc.</v>
      </c>
      <c r="C19" s="10" t="str">
        <f aca="false">IF($L19="","",INDEX('Price List'!$C$2:$C$1352,$L19)&amp;"")</f>
        <v>Lamination / Finishing Service</v>
      </c>
      <c r="D19" s="11" t="str">
        <f aca="false">IF($L19="","",INDEX('Price List'!$D$2:$D$1352,$L19)&amp;"")</f>
        <v>UV Coating (Full / Spot)</v>
      </c>
      <c r="E19" s="11" t="str">
        <f aca="false">IF($L19="","",INDEX('Price List'!$E$2:$E$1352,$L19)&amp;"")</f>
        <v/>
      </c>
      <c r="F19" s="10" t="str">
        <f aca="false">IF($L19="","",INDEX('Price List'!$F$2:$F$1352,$L19)&amp;"")</f>
        <v/>
      </c>
      <c r="G19" s="10" t="str">
        <f aca="false">IF($L19="","",INDEX('Price List'!$G$2:$G$1352,$L19)&amp;"")</f>
        <v/>
      </c>
      <c r="H19" s="10" t="str">
        <f aca="false">IF($L19="","",INDEX('Price List'!$H$2:$H$1352,$L19)&amp;"")</f>
        <v>per sq. inch</v>
      </c>
      <c r="I19" s="12" t="n">
        <f aca="false">IF($L19="","",IF(INDEX('Price List'!$I$2:$I$1352,$L19)="","",INDEX('Price List'!$I$2:$I$1352,$L19)))</f>
        <v>0.0025</v>
      </c>
      <c r="J19" s="11" t="str">
        <f aca="false">IF($L19="","",INDEX('Price List'!$J$2:$J$1352,$L19)&amp;"")</f>
        <v>Min. P0.60/sheet; Min. P500.00/job</v>
      </c>
      <c r="K19" s="10" t="str">
        <f aca="false">IF($L19="","",INDEX('Price List'!$K$2:$K$1352,$L19)&amp;"")</f>
        <v>Sep 2018</v>
      </c>
      <c r="L19" s="13" t="n">
        <f aca="false">IF(9&gt;$H$4,"",MATCH(9,'Price List'!$M$2:$M$1352,0))</f>
        <v>9</v>
      </c>
    </row>
    <row r="20" customFormat="false" ht="15" hidden="false" customHeight="false" outlineLevel="0" collapsed="false">
      <c r="A20" s="9" t="n">
        <v>10</v>
      </c>
      <c r="B20" s="10" t="str">
        <f aca="false">IF($L20="","",INDEX('Price List'!$B$2:$B$1352,$L20)&amp;"")</f>
        <v>Hi-Gloss Lamination, Inc.</v>
      </c>
      <c r="C20" s="10" t="str">
        <f aca="false">IF($L20="","",INDEX('Price List'!$C$2:$C$1352,$L20)&amp;"")</f>
        <v>Lamination / Finishing Service</v>
      </c>
      <c r="D20" s="11" t="str">
        <f aca="false">IF($L20="","",INDEX('Price List'!$D$2:$D$1352,$L20)&amp;"")</f>
        <v>Plastic Glossy Lamination</v>
      </c>
      <c r="E20" s="11" t="str">
        <f aca="false">IF($L20="","",INDEX('Price List'!$E$2:$E$1352,$L20)&amp;"")</f>
        <v/>
      </c>
      <c r="F20" s="10" t="str">
        <f aca="false">IF($L20="","",INDEX('Price List'!$F$2:$F$1352,$L20)&amp;"")</f>
        <v/>
      </c>
      <c r="G20" s="10" t="str">
        <f aca="false">IF($L20="","",INDEX('Price List'!$G$2:$G$1352,$L20)&amp;"")</f>
        <v/>
      </c>
      <c r="H20" s="10" t="str">
        <f aca="false">IF($L20="","",INDEX('Price List'!$H$2:$H$1352,$L20)&amp;"")</f>
        <v>per sq. inch</v>
      </c>
      <c r="I20" s="12" t="n">
        <f aca="false">IF($L20="","",IF(INDEX('Price List'!$I$2:$I$1352,$L20)="","",INDEX('Price List'!$I$2:$I$1352,$L20)))</f>
        <v>0.007</v>
      </c>
      <c r="J20" s="11" t="str">
        <f aca="false">IF($L20="","",INDEX('Price List'!$J$2:$J$1352,$L20)&amp;"")</f>
        <v>Min. P0.70/sheet; Min. P900.00/job</v>
      </c>
      <c r="K20" s="10" t="str">
        <f aca="false">IF($L20="","",INDEX('Price List'!$K$2:$K$1352,$L20)&amp;"")</f>
        <v>Sep 2018</v>
      </c>
      <c r="L20" s="13" t="n">
        <f aca="false">IF(10&gt;$H$4,"",MATCH(10,'Price List'!$M$2:$M$1352,0))</f>
        <v>10</v>
      </c>
    </row>
    <row r="21" customFormat="false" ht="15" hidden="false" customHeight="false" outlineLevel="0" collapsed="false">
      <c r="A21" s="9" t="n">
        <v>11</v>
      </c>
      <c r="B21" s="10" t="str">
        <f aca="false">IF($L21="","",INDEX('Price List'!$B$2:$B$1352,$L21)&amp;"")</f>
        <v>Hi-Gloss Lamination, Inc.</v>
      </c>
      <c r="C21" s="10" t="str">
        <f aca="false">IF($L21="","",INDEX('Price List'!$C$2:$C$1352,$L21)&amp;"")</f>
        <v>Lamination / Finishing Service</v>
      </c>
      <c r="D21" s="11" t="str">
        <f aca="false">IF($L21="","",INDEX('Price List'!$D$2:$D$1352,$L21)&amp;"")</f>
        <v>Window Lamination</v>
      </c>
      <c r="E21" s="11" t="str">
        <f aca="false">IF($L21="","",INDEX('Price List'!$E$2:$E$1352,$L21)&amp;"")</f>
        <v/>
      </c>
      <c r="F21" s="10" t="str">
        <f aca="false">IF($L21="","",INDEX('Price List'!$F$2:$F$1352,$L21)&amp;"")</f>
        <v/>
      </c>
      <c r="G21" s="10" t="str">
        <f aca="false">IF($L21="","",INDEX('Price List'!$G$2:$G$1352,$L21)&amp;"")</f>
        <v/>
      </c>
      <c r="H21" s="10" t="str">
        <f aca="false">IF($L21="","",INDEX('Price List'!$H$2:$H$1352,$L21)&amp;"")</f>
        <v>per sq. inch</v>
      </c>
      <c r="I21" s="12" t="n">
        <f aca="false">IF($L21="","",IF(INDEX('Price List'!$I$2:$I$1352,$L21)="","",INDEX('Price List'!$I$2:$I$1352,$L21)))</f>
        <v>0.009</v>
      </c>
      <c r="J21" s="11" t="str">
        <f aca="false">IF($L21="","",INDEX('Price List'!$J$2:$J$1352,$L21)&amp;"")</f>
        <v>Min. P0.90/sheet; Min. P900.00/job</v>
      </c>
      <c r="K21" s="10" t="str">
        <f aca="false">IF($L21="","",INDEX('Price List'!$K$2:$K$1352,$L21)&amp;"")</f>
        <v>Sep 2018</v>
      </c>
      <c r="L21" s="13" t="n">
        <f aca="false">IF(11&gt;$H$4,"",MATCH(11,'Price List'!$M$2:$M$1352,0))</f>
        <v>11</v>
      </c>
    </row>
    <row r="22" customFormat="false" ht="15" hidden="false" customHeight="false" outlineLevel="0" collapsed="false">
      <c r="A22" s="9" t="n">
        <v>12</v>
      </c>
      <c r="B22" s="10" t="str">
        <f aca="false">IF($L22="","",INDEX('Price List'!$B$2:$B$1352,$L22)&amp;"")</f>
        <v>Hi-Gloss Lamination, Inc.</v>
      </c>
      <c r="C22" s="10" t="str">
        <f aca="false">IF($L22="","",INDEX('Price List'!$C$2:$C$1352,$L22)&amp;"")</f>
        <v>Lamination / Finishing Service</v>
      </c>
      <c r="D22" s="11" t="str">
        <f aca="false">IF($L22="","",INDEX('Price List'!$D$2:$D$1352,$L22)&amp;"")</f>
        <v>Matt Lamination</v>
      </c>
      <c r="E22" s="11" t="str">
        <f aca="false">IF($L22="","",INDEX('Price List'!$E$2:$E$1352,$L22)&amp;"")</f>
        <v/>
      </c>
      <c r="F22" s="10" t="str">
        <f aca="false">IF($L22="","",INDEX('Price List'!$F$2:$F$1352,$L22)&amp;"")</f>
        <v/>
      </c>
      <c r="G22" s="10" t="str">
        <f aca="false">IF($L22="","",INDEX('Price List'!$G$2:$G$1352,$L22)&amp;"")</f>
        <v/>
      </c>
      <c r="H22" s="10" t="str">
        <f aca="false">IF($L22="","",INDEX('Price List'!$H$2:$H$1352,$L22)&amp;"")</f>
        <v>per sq. inch</v>
      </c>
      <c r="I22" s="12" t="n">
        <f aca="false">IF($L22="","",IF(INDEX('Price List'!$I$2:$I$1352,$L22)="","",INDEX('Price List'!$I$2:$I$1352,$L22)))</f>
        <v>0.007</v>
      </c>
      <c r="J22" s="11" t="str">
        <f aca="false">IF($L22="","",INDEX('Price List'!$J$2:$J$1352,$L22)&amp;"")</f>
        <v>Min. P0.70/sheet; Min. P900.00/job</v>
      </c>
      <c r="K22" s="10" t="str">
        <f aca="false">IF($L22="","",INDEX('Price List'!$K$2:$K$1352,$L22)&amp;"")</f>
        <v>Sep 2018</v>
      </c>
      <c r="L22" s="13" t="n">
        <f aca="false">IF(12&gt;$H$4,"",MATCH(12,'Price List'!$M$2:$M$1352,0))</f>
        <v>12</v>
      </c>
    </row>
    <row r="23" customFormat="false" ht="15" hidden="false" customHeight="false" outlineLevel="0" collapsed="false">
      <c r="A23" s="9" t="n">
        <v>13</v>
      </c>
      <c r="B23" s="10" t="str">
        <f aca="false">IF($L23="","",INDEX('Price List'!$B$2:$B$1352,$L23)&amp;"")</f>
        <v>Hi-Gloss Lamination, Inc.</v>
      </c>
      <c r="C23" s="10" t="str">
        <f aca="false">IF($L23="","",INDEX('Price List'!$C$2:$C$1352,$L23)&amp;"")</f>
        <v>Lamination / Finishing Service</v>
      </c>
      <c r="D23" s="11" t="str">
        <f aca="false">IF($L23="","",INDEX('Price List'!$D$2:$D$1352,$L23)&amp;"")</f>
        <v>Japan Blister (2 Layers)</v>
      </c>
      <c r="E23" s="11" t="str">
        <f aca="false">IF($L23="","",INDEX('Price List'!$E$2:$E$1352,$L23)&amp;"")</f>
        <v/>
      </c>
      <c r="F23" s="10" t="str">
        <f aca="false">IF($L23="","",INDEX('Price List'!$F$2:$F$1352,$L23)&amp;"")</f>
        <v/>
      </c>
      <c r="G23" s="10" t="str">
        <f aca="false">IF($L23="","",INDEX('Price List'!$G$2:$G$1352,$L23)&amp;"")</f>
        <v/>
      </c>
      <c r="H23" s="10" t="str">
        <f aca="false">IF($L23="","",INDEX('Price List'!$H$2:$H$1352,$L23)&amp;"")</f>
        <v>per sq. inch</v>
      </c>
      <c r="I23" s="12" t="n">
        <f aca="false">IF($L23="","",IF(INDEX('Price List'!$I$2:$I$1352,$L23)="","",INDEX('Price List'!$I$2:$I$1352,$L23)))</f>
        <v>0.008</v>
      </c>
      <c r="J23" s="11" t="str">
        <f aca="false">IF($L23="","",INDEX('Price List'!$J$2:$J$1352,$L23)&amp;"")</f>
        <v>Min. P0.80/sheet; Min. P500.00/job</v>
      </c>
      <c r="K23" s="10" t="str">
        <f aca="false">IF($L23="","",INDEX('Price List'!$K$2:$K$1352,$L23)&amp;"")</f>
        <v>Sep 2018</v>
      </c>
      <c r="L23" s="13" t="n">
        <f aca="false">IF(13&gt;$H$4,"",MATCH(13,'Price List'!$M$2:$M$1352,0))</f>
        <v>13</v>
      </c>
    </row>
    <row r="24" customFormat="false" ht="15" hidden="false" customHeight="false" outlineLevel="0" collapsed="false">
      <c r="A24" s="9" t="n">
        <v>14</v>
      </c>
      <c r="B24" s="10" t="str">
        <f aca="false">IF($L24="","",INDEX('Price List'!$B$2:$B$1352,$L24)&amp;"")</f>
        <v>Hi-Gloss Lamination, Inc.</v>
      </c>
      <c r="C24" s="10" t="str">
        <f aca="false">IF($L24="","",INDEX('Price List'!$C$2:$C$1352,$L24)&amp;"")</f>
        <v>Lamination / Finishing Service</v>
      </c>
      <c r="D24" s="11" t="str">
        <f aca="false">IF($L24="","",INDEX('Price List'!$D$2:$D$1352,$L24)&amp;"")</f>
        <v>Hologram Lamination</v>
      </c>
      <c r="E24" s="11" t="str">
        <f aca="false">IF($L24="","",INDEX('Price List'!$E$2:$E$1352,$L24)&amp;"")</f>
        <v/>
      </c>
      <c r="F24" s="10" t="str">
        <f aca="false">IF($L24="","",INDEX('Price List'!$F$2:$F$1352,$L24)&amp;"")</f>
        <v/>
      </c>
      <c r="G24" s="10" t="str">
        <f aca="false">IF($L24="","",INDEX('Price List'!$G$2:$G$1352,$L24)&amp;"")</f>
        <v>Width 12"</v>
      </c>
      <c r="H24" s="10" t="str">
        <f aca="false">IF($L24="","",INDEX('Price List'!$H$2:$H$1352,$L24)&amp;"")</f>
        <v>per sq. inch</v>
      </c>
      <c r="I24" s="12" t="n">
        <f aca="false">IF($L24="","",IF(INDEX('Price List'!$I$2:$I$1352,$L24)="","",INDEX('Price List'!$I$2:$I$1352,$L24)))</f>
        <v>0.025</v>
      </c>
      <c r="J24" s="11" t="str">
        <f aca="false">IF($L24="","",INDEX('Price List'!$J$2:$J$1352,$L24)&amp;"")</f>
        <v>Min. P2.00/sheet; Min. P1,000.00/job</v>
      </c>
      <c r="K24" s="10" t="str">
        <f aca="false">IF($L24="","",INDEX('Price List'!$K$2:$K$1352,$L24)&amp;"")</f>
        <v>Sep 2018</v>
      </c>
      <c r="L24" s="13" t="n">
        <f aca="false">IF(14&gt;$H$4,"",MATCH(14,'Price List'!$M$2:$M$1352,0))</f>
        <v>14</v>
      </c>
    </row>
    <row r="25" customFormat="false" ht="15" hidden="false" customHeight="false" outlineLevel="0" collapsed="false">
      <c r="A25" s="9" t="n">
        <v>15</v>
      </c>
      <c r="B25" s="10" t="str">
        <f aca="false">IF($L25="","",INDEX('Price List'!$B$2:$B$1352,$L25)&amp;"")</f>
        <v>Hi-Gloss Lamination, Inc.</v>
      </c>
      <c r="C25" s="10" t="str">
        <f aca="false">IF($L25="","",INDEX('Price List'!$C$2:$C$1352,$L25)&amp;"")</f>
        <v>Lamination / Finishing Service</v>
      </c>
      <c r="D25" s="11" t="str">
        <f aca="false">IF($L25="","",INDEX('Price List'!$D$2:$D$1352,$L25)&amp;"")</f>
        <v>Wax Lamination</v>
      </c>
      <c r="E25" s="11" t="str">
        <f aca="false">IF($L25="","",INDEX('Price List'!$E$2:$E$1352,$L25)&amp;"")</f>
        <v/>
      </c>
      <c r="F25" s="10" t="str">
        <f aca="false">IF($L25="","",INDEX('Price List'!$F$2:$F$1352,$L25)&amp;"")</f>
        <v/>
      </c>
      <c r="G25" s="10" t="str">
        <f aca="false">IF($L25="","",INDEX('Price List'!$G$2:$G$1352,$L25)&amp;"")</f>
        <v/>
      </c>
      <c r="H25" s="10" t="str">
        <f aca="false">IF($L25="","",INDEX('Price List'!$H$2:$H$1352,$L25)&amp;"")</f>
        <v>per sq. inch</v>
      </c>
      <c r="I25" s="12" t="n">
        <f aca="false">IF($L25="","",IF(INDEX('Price List'!$I$2:$I$1352,$L25)="","",INDEX('Price List'!$I$2:$I$1352,$L25)))</f>
        <v>0.0035</v>
      </c>
      <c r="J25" s="11" t="str">
        <f aca="false">IF($L25="","",INDEX('Price List'!$J$2:$J$1352,$L25)&amp;"")</f>
        <v>Min. P1.00/sheet; Min. P1,000.00/job</v>
      </c>
      <c r="K25" s="10" t="str">
        <f aca="false">IF($L25="","",INDEX('Price List'!$K$2:$K$1352,$L25)&amp;"")</f>
        <v>Sep 2018</v>
      </c>
      <c r="L25" s="13" t="n">
        <f aca="false">IF(15&gt;$H$4,"",MATCH(15,'Price List'!$M$2:$M$1352,0))</f>
        <v>15</v>
      </c>
    </row>
    <row r="26" customFormat="false" ht="15" hidden="false" customHeight="false" outlineLevel="0" collapsed="false">
      <c r="A26" s="9" t="n">
        <v>16</v>
      </c>
      <c r="B26" s="10" t="str">
        <f aca="false">IF($L26="","",INDEX('Price List'!$B$2:$B$1352,$L26)&amp;"")</f>
        <v>Hi-Gloss Lamination, Inc.</v>
      </c>
      <c r="C26" s="10" t="str">
        <f aca="false">IF($L26="","",INDEX('Price List'!$C$2:$C$1352,$L26)&amp;"")</f>
        <v>Lamination / Finishing Service</v>
      </c>
      <c r="D26" s="11" t="str">
        <f aca="false">IF($L26="","",INDEX('Price List'!$D$2:$D$1352,$L26)&amp;"")</f>
        <v>Velvet Soft Touch</v>
      </c>
      <c r="E26" s="11" t="str">
        <f aca="false">IF($L26="","",INDEX('Price List'!$E$2:$E$1352,$L26)&amp;"")</f>
        <v/>
      </c>
      <c r="F26" s="10" t="str">
        <f aca="false">IF($L26="","",INDEX('Price List'!$F$2:$F$1352,$L26)&amp;"")</f>
        <v/>
      </c>
      <c r="G26" s="10" t="str">
        <f aca="false">IF($L26="","",INDEX('Price List'!$G$2:$G$1352,$L26)&amp;"")</f>
        <v>Width 12.5", 18.75", 24"</v>
      </c>
      <c r="H26" s="10" t="str">
        <f aca="false">IF($L26="","",INDEX('Price List'!$H$2:$H$1352,$L26)&amp;"")</f>
        <v>per sq. inch</v>
      </c>
      <c r="I26" s="12" t="n">
        <f aca="false">IF($L26="","",IF(INDEX('Price List'!$I$2:$I$1352,$L26)="","",INDEX('Price List'!$I$2:$I$1352,$L26)))</f>
        <v>0.035</v>
      </c>
      <c r="J26" s="11" t="str">
        <f aca="false">IF($L26="","",INDEX('Price List'!$J$2:$J$1352,$L26)&amp;"")</f>
        <v>Min. P2.00/sheet; Min. P1,500.00/job</v>
      </c>
      <c r="K26" s="10" t="str">
        <f aca="false">IF($L26="","",INDEX('Price List'!$K$2:$K$1352,$L26)&amp;"")</f>
        <v>Sep 2018</v>
      </c>
      <c r="L26" s="13" t="n">
        <f aca="false">IF(16&gt;$H$4,"",MATCH(16,'Price List'!$M$2:$M$1352,0))</f>
        <v>16</v>
      </c>
    </row>
    <row r="27" customFormat="false" ht="15" hidden="false" customHeight="false" outlineLevel="0" collapsed="false">
      <c r="A27" s="9" t="n">
        <v>17</v>
      </c>
      <c r="B27" s="10" t="str">
        <f aca="false">IF($L27="","",INDEX('Price List'!$B$2:$B$1352,$L27)&amp;"")</f>
        <v>Hi-Gloss Lamination, Inc.</v>
      </c>
      <c r="C27" s="10" t="str">
        <f aca="false">IF($L27="","",INDEX('Price List'!$C$2:$C$1352,$L27)&amp;"")</f>
        <v>Lamination / Finishing Service</v>
      </c>
      <c r="D27" s="11" t="str">
        <f aca="false">IF($L27="","",INDEX('Price List'!$D$2:$D$1352,$L27)&amp;"")</f>
        <v>Metallized Lamination</v>
      </c>
      <c r="E27" s="11" t="str">
        <f aca="false">IF($L27="","",INDEX('Price List'!$E$2:$E$1352,$L27)&amp;"")</f>
        <v>Silver</v>
      </c>
      <c r="F27" s="10" t="str">
        <f aca="false">IF($L27="","",INDEX('Price List'!$F$2:$F$1352,$L27)&amp;"")</f>
        <v/>
      </c>
      <c r="G27" s="10" t="str">
        <f aca="false">IF($L27="","",INDEX('Price List'!$G$2:$G$1352,$L27)&amp;"")</f>
        <v>Width 31" or 25"</v>
      </c>
      <c r="H27" s="10" t="str">
        <f aca="false">IF($L27="","",INDEX('Price List'!$H$2:$H$1352,$L27)&amp;"")</f>
        <v>per sq. inch</v>
      </c>
      <c r="I27" s="12" t="n">
        <f aca="false">IF($L27="","",IF(INDEX('Price List'!$I$2:$I$1352,$L27)="","",INDEX('Price List'!$I$2:$I$1352,$L27)))</f>
        <v>0.016</v>
      </c>
      <c r="J27" s="11" t="str">
        <f aca="false">IF($L27="","",INDEX('Price List'!$J$2:$J$1352,$L27)&amp;"")</f>
        <v>Min. P2,000.00/job</v>
      </c>
      <c r="K27" s="10" t="str">
        <f aca="false">IF($L27="","",INDEX('Price List'!$K$2:$K$1352,$L27)&amp;"")</f>
        <v>Sep 2018</v>
      </c>
      <c r="L27" s="13" t="n">
        <f aca="false">IF(17&gt;$H$4,"",MATCH(17,'Price List'!$M$2:$M$1352,0))</f>
        <v>17</v>
      </c>
    </row>
    <row r="28" customFormat="false" ht="15" hidden="false" customHeight="false" outlineLevel="0" collapsed="false">
      <c r="A28" s="9" t="n">
        <v>18</v>
      </c>
      <c r="B28" s="10" t="str">
        <f aca="false">IF($L28="","",INDEX('Price List'!$B$2:$B$1352,$L28)&amp;"")</f>
        <v>Hi-Gloss Lamination, Inc.</v>
      </c>
      <c r="C28" s="10" t="str">
        <f aca="false">IF($L28="","",INDEX('Price List'!$C$2:$C$1352,$L28)&amp;"")</f>
        <v>Lamination / Finishing Service</v>
      </c>
      <c r="D28" s="11" t="str">
        <f aca="false">IF($L28="","",INDEX('Price List'!$D$2:$D$1352,$L28)&amp;"")</f>
        <v>Metallized Lamination</v>
      </c>
      <c r="E28" s="11" t="str">
        <f aca="false">IF($L28="","",INDEX('Price List'!$E$2:$E$1352,$L28)&amp;"")</f>
        <v>Gold</v>
      </c>
      <c r="F28" s="10" t="str">
        <f aca="false">IF($L28="","",INDEX('Price List'!$F$2:$F$1352,$L28)&amp;"")</f>
        <v/>
      </c>
      <c r="G28" s="10" t="str">
        <f aca="false">IF($L28="","",INDEX('Price List'!$G$2:$G$1352,$L28)&amp;"")</f>
        <v>Width 31" or 25"</v>
      </c>
      <c r="H28" s="10" t="str">
        <f aca="false">IF($L28="","",INDEX('Price List'!$H$2:$H$1352,$L28)&amp;"")</f>
        <v>per sq. inch</v>
      </c>
      <c r="I28" s="12" t="n">
        <f aca="false">IF($L28="","",IF(INDEX('Price List'!$I$2:$I$1352,$L28)="","",INDEX('Price List'!$I$2:$I$1352,$L28)))</f>
        <v>0.024</v>
      </c>
      <c r="J28" s="11" t="str">
        <f aca="false">IF($L28="","",INDEX('Price List'!$J$2:$J$1352,$L28)&amp;"")</f>
        <v>Min. P2,000.00/job</v>
      </c>
      <c r="K28" s="10" t="str">
        <f aca="false">IF($L28="","",INDEX('Price List'!$K$2:$K$1352,$L28)&amp;"")</f>
        <v>Sep 2018</v>
      </c>
      <c r="L28" s="13" t="n">
        <f aca="false">IF(18&gt;$H$4,"",MATCH(18,'Price List'!$M$2:$M$1352,0))</f>
        <v>18</v>
      </c>
    </row>
    <row r="29" customFormat="false" ht="15" hidden="false" customHeight="false" outlineLevel="0" collapsed="false">
      <c r="A29" s="9" t="n">
        <v>19</v>
      </c>
      <c r="B29" s="10" t="str">
        <f aca="false">IF($L29="","",INDEX('Price List'!$B$2:$B$1352,$L29)&amp;"")</f>
        <v>Hi-Gloss Lamination, Inc.</v>
      </c>
      <c r="C29" s="10" t="str">
        <f aca="false">IF($L29="","",INDEX('Price List'!$C$2:$C$1352,$L29)&amp;"")</f>
        <v>Lamination / Finishing Service</v>
      </c>
      <c r="D29" s="11" t="str">
        <f aca="false">IF($L29="","",INDEX('Price List'!$D$2:$D$1352,$L29)&amp;"")</f>
        <v>Metallized Lamination</v>
      </c>
      <c r="E29" s="11" t="str">
        <f aca="false">IF($L29="","",INDEX('Price List'!$E$2:$E$1352,$L29)&amp;"")</f>
        <v>Red / Green</v>
      </c>
      <c r="F29" s="10" t="str">
        <f aca="false">IF($L29="","",INDEX('Price List'!$F$2:$F$1352,$L29)&amp;"")</f>
        <v/>
      </c>
      <c r="G29" s="10" t="str">
        <f aca="false">IF($L29="","",INDEX('Price List'!$G$2:$G$1352,$L29)&amp;"")</f>
        <v>Width 31"</v>
      </c>
      <c r="H29" s="10" t="str">
        <f aca="false">IF($L29="","",INDEX('Price List'!$H$2:$H$1352,$L29)&amp;"")</f>
        <v>per sq. inch</v>
      </c>
      <c r="I29" s="12" t="n">
        <f aca="false">IF($L29="","",IF(INDEX('Price List'!$I$2:$I$1352,$L29)="","",INDEX('Price List'!$I$2:$I$1352,$L29)))</f>
        <v>0.024</v>
      </c>
      <c r="J29" s="11" t="str">
        <f aca="false">IF($L29="","",INDEX('Price List'!$J$2:$J$1352,$L29)&amp;"")</f>
        <v>Min. P2,000.00/job</v>
      </c>
      <c r="K29" s="10" t="str">
        <f aca="false">IF($L29="","",INDEX('Price List'!$K$2:$K$1352,$L29)&amp;"")</f>
        <v>Sep 2018</v>
      </c>
      <c r="L29" s="13" t="n">
        <f aca="false">IF(19&gt;$H$4,"",MATCH(19,'Price List'!$M$2:$M$1352,0))</f>
        <v>19</v>
      </c>
    </row>
    <row r="30" customFormat="false" ht="23.85" hidden="false" customHeight="false" outlineLevel="0" collapsed="false">
      <c r="A30" s="9" t="n">
        <v>20</v>
      </c>
      <c r="B30" s="10" t="str">
        <f aca="false">IF($L30="","",INDEX('Price List'!$B$2:$B$1352,$L30)&amp;"")</f>
        <v>Hi-Gloss Lamination, Inc.</v>
      </c>
      <c r="C30" s="10" t="str">
        <f aca="false">IF($L30="","",INDEX('Price List'!$C$2:$C$1352,$L30)&amp;"")</f>
        <v>Lamination / Finishing Service</v>
      </c>
      <c r="D30" s="11" t="str">
        <f aca="false">IF($L30="","",INDEX('Price List'!$D$2:$D$1352,$L30)&amp;"")</f>
        <v>Spot UV Blanket Charge (glue lap/expiry date)</v>
      </c>
      <c r="E30" s="11" t="str">
        <f aca="false">IF($L30="","",INDEX('Price List'!$E$2:$E$1352,$L30)&amp;"")</f>
        <v>Small</v>
      </c>
      <c r="F30" s="10" t="str">
        <f aca="false">IF($L30="","",INDEX('Price List'!$F$2:$F$1352,$L30)&amp;"")</f>
        <v/>
      </c>
      <c r="G30" s="10" t="str">
        <f aca="false">IF($L30="","",INDEX('Price List'!$G$2:$G$1352,$L30)&amp;"")</f>
        <v>23" x 28"</v>
      </c>
      <c r="H30" s="10" t="str">
        <f aca="false">IF($L30="","",INDEX('Price List'!$H$2:$H$1352,$L30)&amp;"")</f>
        <v>per job</v>
      </c>
      <c r="I30" s="12" t="n">
        <f aca="false">IF($L30="","",IF(INDEX('Price List'!$I$2:$I$1352,$L30)="","",INDEX('Price List'!$I$2:$I$1352,$L30)))</f>
        <v>1500</v>
      </c>
      <c r="J30" s="11" t="str">
        <f aca="false">IF($L30="","",INDEX('Price List'!$J$2:$J$1352,$L30)&amp;"")</f>
        <v/>
      </c>
      <c r="K30" s="10" t="str">
        <f aca="false">IF($L30="","",INDEX('Price List'!$K$2:$K$1352,$L30)&amp;"")</f>
        <v>Sep 2018</v>
      </c>
      <c r="L30" s="13" t="n">
        <f aca="false">IF(20&gt;$H$4,"",MATCH(20,'Price List'!$M$2:$M$1352,0))</f>
        <v>20</v>
      </c>
    </row>
    <row r="31" customFormat="false" ht="23.85" hidden="false" customHeight="false" outlineLevel="0" collapsed="false">
      <c r="A31" s="9" t="n">
        <v>21</v>
      </c>
      <c r="B31" s="10" t="str">
        <f aca="false">IF($L31="","",INDEX('Price List'!$B$2:$B$1352,$L31)&amp;"")</f>
        <v>Hi-Gloss Lamination, Inc.</v>
      </c>
      <c r="C31" s="10" t="str">
        <f aca="false">IF($L31="","",INDEX('Price List'!$C$2:$C$1352,$L31)&amp;"")</f>
        <v>Lamination / Finishing Service</v>
      </c>
      <c r="D31" s="11" t="str">
        <f aca="false">IF($L31="","",INDEX('Price List'!$D$2:$D$1352,$L31)&amp;"")</f>
        <v>Spot UV Blanket Charge (glue lap/expiry date)</v>
      </c>
      <c r="E31" s="11" t="str">
        <f aca="false">IF($L31="","",INDEX('Price List'!$E$2:$E$1352,$L31)&amp;"")</f>
        <v>Big</v>
      </c>
      <c r="F31" s="10" t="str">
        <f aca="false">IF($L31="","",INDEX('Price List'!$F$2:$F$1352,$L31)&amp;"")</f>
        <v/>
      </c>
      <c r="G31" s="10" t="str">
        <f aca="false">IF($L31="","",INDEX('Price List'!$G$2:$G$1352,$L31)&amp;"")</f>
        <v>34" x 40"</v>
      </c>
      <c r="H31" s="10" t="str">
        <f aca="false">IF($L31="","",INDEX('Price List'!$H$2:$H$1352,$L31)&amp;"")</f>
        <v>per job</v>
      </c>
      <c r="I31" s="12" t="n">
        <f aca="false">IF($L31="","",IF(INDEX('Price List'!$I$2:$I$1352,$L31)="","",INDEX('Price List'!$I$2:$I$1352,$L31)))</f>
        <v>2000</v>
      </c>
      <c r="J31" s="11" t="str">
        <f aca="false">IF($L31="","",INDEX('Price List'!$J$2:$J$1352,$L31)&amp;"")</f>
        <v/>
      </c>
      <c r="K31" s="10" t="str">
        <f aca="false">IF($L31="","",INDEX('Price List'!$K$2:$K$1352,$L31)&amp;"")</f>
        <v>Sep 2018</v>
      </c>
      <c r="L31" s="13" t="n">
        <f aca="false">IF(21&gt;$H$4,"",MATCH(21,'Price List'!$M$2:$M$1352,0))</f>
        <v>21</v>
      </c>
    </row>
    <row r="32" customFormat="false" ht="15" hidden="false" customHeight="false" outlineLevel="0" collapsed="false">
      <c r="A32" s="9" t="n">
        <v>22</v>
      </c>
      <c r="B32" s="10" t="str">
        <f aca="false">IF($L32="","",INDEX('Price List'!$B$2:$B$1352,$L32)&amp;"")</f>
        <v>Hi-Gloss Lamination, Inc.</v>
      </c>
      <c r="C32" s="10" t="str">
        <f aca="false">IF($L32="","",INDEX('Price List'!$C$2:$C$1352,$L32)&amp;"")</f>
        <v>Lamination / Finishing Service</v>
      </c>
      <c r="D32" s="11" t="str">
        <f aca="false">IF($L32="","",INDEX('Price List'!$D$2:$D$1352,$L32)&amp;"")</f>
        <v>3D Spot Exposure Charge</v>
      </c>
      <c r="E32" s="11" t="str">
        <f aca="false">IF($L32="","",INDEX('Price List'!$E$2:$E$1352,$L32)&amp;"")</f>
        <v>Small / medium size</v>
      </c>
      <c r="F32" s="10" t="str">
        <f aca="false">IF($L32="","",INDEX('Price List'!$F$2:$F$1352,$L32)&amp;"")</f>
        <v/>
      </c>
      <c r="G32" s="10" t="str">
        <f aca="false">IF($L32="","",INDEX('Price List'!$G$2:$G$1352,$L32)&amp;"")</f>
        <v>below 20" x 28"</v>
      </c>
      <c r="H32" s="10" t="str">
        <f aca="false">IF($L32="","",INDEX('Price List'!$H$2:$H$1352,$L32)&amp;"")</f>
        <v>per design</v>
      </c>
      <c r="I32" s="12" t="n">
        <f aca="false">IF($L32="","",IF(INDEX('Price List'!$I$2:$I$1352,$L32)="","",INDEX('Price List'!$I$2:$I$1352,$L32)))</f>
        <v>800</v>
      </c>
      <c r="J32" s="11" t="str">
        <f aca="false">IF($L32="","",INDEX('Price List'!$J$2:$J$1352,$L32)&amp;"")</f>
        <v>Requires positive emulsion up film</v>
      </c>
      <c r="K32" s="10" t="str">
        <f aca="false">IF($L32="","",INDEX('Price List'!$K$2:$K$1352,$L32)&amp;"")</f>
        <v>Sep 2018</v>
      </c>
      <c r="L32" s="13" t="n">
        <f aca="false">IF(22&gt;$H$4,"",MATCH(22,'Price List'!$M$2:$M$1352,0))</f>
        <v>22</v>
      </c>
    </row>
    <row r="33" customFormat="false" ht="15" hidden="false" customHeight="false" outlineLevel="0" collapsed="false">
      <c r="A33" s="9" t="n">
        <v>23</v>
      </c>
      <c r="B33" s="10" t="str">
        <f aca="false">IF($L33="","",INDEX('Price List'!$B$2:$B$1352,$L33)&amp;"")</f>
        <v>Hi-Gloss Lamination, Inc.</v>
      </c>
      <c r="C33" s="10" t="str">
        <f aca="false">IF($L33="","",INDEX('Price List'!$C$2:$C$1352,$L33)&amp;"")</f>
        <v>Lamination / Finishing Service</v>
      </c>
      <c r="D33" s="11" t="str">
        <f aca="false">IF($L33="","",INDEX('Price List'!$D$2:$D$1352,$L33)&amp;"")</f>
        <v>3D Spot Exposure Charge</v>
      </c>
      <c r="E33" s="11" t="str">
        <f aca="false">IF($L33="","",INDEX('Price List'!$E$2:$E$1352,$L33)&amp;"")</f>
        <v>Large size</v>
      </c>
      <c r="F33" s="10" t="str">
        <f aca="false">IF($L33="","",INDEX('Price List'!$F$2:$F$1352,$L33)&amp;"")</f>
        <v/>
      </c>
      <c r="G33" s="10" t="str">
        <f aca="false">IF($L33="","",INDEX('Price List'!$G$2:$G$1352,$L33)&amp;"")</f>
        <v>20" x 28" and above</v>
      </c>
      <c r="H33" s="10" t="str">
        <f aca="false">IF($L33="","",INDEX('Price List'!$H$2:$H$1352,$L33)&amp;"")</f>
        <v>per design</v>
      </c>
      <c r="I33" s="12" t="n">
        <f aca="false">IF($L33="","",IF(INDEX('Price List'!$I$2:$I$1352,$L33)="","",INDEX('Price List'!$I$2:$I$1352,$L33)))</f>
        <v>1200</v>
      </c>
      <c r="J33" s="11" t="str">
        <f aca="false">IF($L33="","",INDEX('Price List'!$J$2:$J$1352,$L33)&amp;"")</f>
        <v>Requires positive emulsion up film</v>
      </c>
      <c r="K33" s="10" t="str">
        <f aca="false">IF($L33="","",INDEX('Price List'!$K$2:$K$1352,$L33)&amp;"")</f>
        <v>Sep 2018</v>
      </c>
      <c r="L33" s="13" t="n">
        <f aca="false">IF(23&gt;$H$4,"",MATCH(23,'Price List'!$M$2:$M$1352,0))</f>
        <v>23</v>
      </c>
    </row>
    <row r="34" customFormat="false" ht="15" hidden="false" customHeight="false" outlineLevel="0" collapsed="false">
      <c r="A34" s="9" t="n">
        <v>24</v>
      </c>
      <c r="B34" s="10" t="str">
        <f aca="false">IF($L34="","",INDEX('Price List'!$B$2:$B$1352,$L34)&amp;"")</f>
        <v>Hi-Gloss Lamination, Inc.</v>
      </c>
      <c r="C34" s="10" t="str">
        <f aca="false">IF($L34="","",INDEX('Price List'!$C$2:$C$1352,$L34)&amp;"")</f>
        <v>Lamination / Finishing Service</v>
      </c>
      <c r="D34" s="11" t="str">
        <f aca="false">IF($L34="","",INDEX('Price List'!$D$2:$D$1352,$L34)&amp;"")</f>
        <v>3D Spot - Digital Jobs</v>
      </c>
      <c r="E34" s="11" t="str">
        <f aca="false">IF($L34="","",INDEX('Price List'!$E$2:$E$1352,$L34)&amp;"")</f>
        <v>Minimum charge</v>
      </c>
      <c r="F34" s="10" t="str">
        <f aca="false">IF($L34="","",INDEX('Price List'!$F$2:$F$1352,$L34)&amp;"")</f>
        <v/>
      </c>
      <c r="G34" s="10" t="str">
        <f aca="false">IF($L34="","",INDEX('Price List'!$G$2:$G$1352,$L34)&amp;"")</f>
        <v/>
      </c>
      <c r="H34" s="10" t="str">
        <f aca="false">IF($L34="","",INDEX('Price List'!$H$2:$H$1352,$L34)&amp;"")</f>
        <v>per job</v>
      </c>
      <c r="I34" s="12" t="n">
        <f aca="false">IF($L34="","",IF(INDEX('Price List'!$I$2:$I$1352,$L34)="","",INDEX('Price List'!$I$2:$I$1352,$L34)))</f>
        <v>1500</v>
      </c>
      <c r="J34" s="11" t="str">
        <f aca="false">IF($L34="","",INDEX('Price List'!$J$2:$J$1352,$L34)&amp;"")</f>
        <v/>
      </c>
      <c r="K34" s="10" t="str">
        <f aca="false">IF($L34="","",INDEX('Price List'!$K$2:$K$1352,$L34)&amp;"")</f>
        <v>Sep 2018</v>
      </c>
      <c r="L34" s="13" t="n">
        <f aca="false">IF(24&gt;$H$4,"",MATCH(24,'Price List'!$M$2:$M$1352,0))</f>
        <v>24</v>
      </c>
    </row>
    <row r="35" customFormat="false" ht="15" hidden="false" customHeight="false" outlineLevel="0" collapsed="false">
      <c r="A35" s="9" t="n">
        <v>25</v>
      </c>
      <c r="B35" s="10" t="str">
        <f aca="false">IF($L35="","",INDEX('Price List'!$B$2:$B$1352,$L35)&amp;"")</f>
        <v>Commerce Asia, Inc.</v>
      </c>
      <c r="C35" s="10" t="str">
        <f aca="false">IF($L35="","",INDEX('Price List'!$C$2:$C$1352,$L35)&amp;"")</f>
        <v>Lamination Film</v>
      </c>
      <c r="D35" s="11" t="str">
        <f aca="false">IF($L35="","",INDEX('Price List'!$D$2:$D$1352,$L35)&amp;"")</f>
        <v>Thermal OPP Film (for offset)</v>
      </c>
      <c r="E35" s="11" t="str">
        <f aca="false">IF($L35="","",INDEX('Price List'!$E$2:$E$1352,$L35)&amp;"")</f>
        <v>Glossy/25, 58mm core</v>
      </c>
      <c r="F35" s="10" t="str">
        <f aca="false">IF($L35="","",INDEX('Price List'!$F$2:$F$1352,$L35)&amp;"")</f>
        <v>23110-0305-1000-58</v>
      </c>
      <c r="G35" s="10" t="str">
        <f aca="false">IF($L35="","",INDEX('Price List'!$G$2:$G$1352,$L35)&amp;"")</f>
        <v>305mm (12 in) x 1000M</v>
      </c>
      <c r="H35" s="10" t="str">
        <f aca="false">IF($L35="","",INDEX('Price List'!$H$2:$H$1352,$L35)&amp;"")</f>
        <v>roll</v>
      </c>
      <c r="I35" s="12" t="n">
        <f aca="false">IF($L35="","",IF(INDEX('Price List'!$I$2:$I$1352,$L35)="","",INDEX('Price List'!$I$2:$I$1352,$L35)))</f>
        <v>2716</v>
      </c>
      <c r="J35" s="11" t="str">
        <f aca="false">IF($L35="","",INDEX('Price List'!$J$2:$J$1352,$L35)&amp;"")</f>
        <v>SRP P4,850.00 less 44% discount</v>
      </c>
      <c r="K35" s="10" t="str">
        <f aca="false">IF($L35="","",INDEX('Price List'!$K$2:$K$1352,$L35)&amp;"")</f>
        <v>Jul 20, 2026</v>
      </c>
      <c r="L35" s="13" t="n">
        <f aca="false">IF(25&gt;$H$4,"",MATCH(25,'Price List'!$M$2:$M$1352,0))</f>
        <v>25</v>
      </c>
    </row>
    <row r="36" customFormat="false" ht="15" hidden="false" customHeight="false" outlineLevel="0" collapsed="false">
      <c r="A36" s="9" t="n">
        <v>26</v>
      </c>
      <c r="B36" s="10" t="str">
        <f aca="false">IF($L36="","",INDEX('Price List'!$B$2:$B$1352,$L36)&amp;"")</f>
        <v>Commerce Asia, Inc.</v>
      </c>
      <c r="C36" s="10" t="str">
        <f aca="false">IF($L36="","",INDEX('Price List'!$C$2:$C$1352,$L36)&amp;"")</f>
        <v>Lamination Film</v>
      </c>
      <c r="D36" s="11" t="str">
        <f aca="false">IF($L36="","",INDEX('Price List'!$D$2:$D$1352,$L36)&amp;"")</f>
        <v>Thermal OPP Film (for offset)</v>
      </c>
      <c r="E36" s="11" t="str">
        <f aca="false">IF($L36="","",INDEX('Price List'!$E$2:$E$1352,$L36)&amp;"")</f>
        <v>Glossy/25, 58mm core</v>
      </c>
      <c r="F36" s="10" t="str">
        <f aca="false">IF($L36="","",INDEX('Price List'!$F$2:$F$1352,$L36)&amp;"")</f>
        <v>23110-0320-1000-58</v>
      </c>
      <c r="G36" s="10" t="str">
        <f aca="false">IF($L36="","",INDEX('Price List'!$G$2:$G$1352,$L36)&amp;"")</f>
        <v>320mm (12.6 in) x 1000M</v>
      </c>
      <c r="H36" s="10" t="str">
        <f aca="false">IF($L36="","",INDEX('Price List'!$H$2:$H$1352,$L36)&amp;"")</f>
        <v>roll</v>
      </c>
      <c r="I36" s="12" t="n">
        <f aca="false">IF($L36="","",IF(INDEX('Price List'!$I$2:$I$1352,$L36)="","",INDEX('Price List'!$I$2:$I$1352,$L36)))</f>
        <v>2861.6</v>
      </c>
      <c r="J36" s="11" t="str">
        <f aca="false">IF($L36="","",INDEX('Price List'!$J$2:$J$1352,$L36)&amp;"")</f>
        <v>SRP P5,110.00 less 44% discount</v>
      </c>
      <c r="K36" s="10" t="str">
        <f aca="false">IF($L36="","",INDEX('Price List'!$K$2:$K$1352,$L36)&amp;"")</f>
        <v>Jul 20, 2026</v>
      </c>
      <c r="L36" s="13" t="n">
        <f aca="false">IF(26&gt;$H$4,"",MATCH(26,'Price List'!$M$2:$M$1352,0))</f>
        <v>26</v>
      </c>
    </row>
    <row r="37" customFormat="false" ht="15" hidden="false" customHeight="false" outlineLevel="0" collapsed="false">
      <c r="A37" s="9" t="n">
        <v>27</v>
      </c>
      <c r="B37" s="10" t="str">
        <f aca="false">IF($L37="","",INDEX('Price List'!$B$2:$B$1352,$L37)&amp;"")</f>
        <v>Commerce Asia, Inc.</v>
      </c>
      <c r="C37" s="10" t="str">
        <f aca="false">IF($L37="","",INDEX('Price List'!$C$2:$C$1352,$L37)&amp;"")</f>
        <v>Lamination Film</v>
      </c>
      <c r="D37" s="11" t="str">
        <f aca="false">IF($L37="","",INDEX('Price List'!$D$2:$D$1352,$L37)&amp;"")</f>
        <v>Thermal OPP Film (for offset)</v>
      </c>
      <c r="E37" s="11" t="str">
        <f aca="false">IF($L37="","",INDEX('Price List'!$E$2:$E$1352,$L37)&amp;"")</f>
        <v>Glossy/25, 58mm core</v>
      </c>
      <c r="F37" s="10" t="str">
        <f aca="false">IF($L37="","",INDEX('Price List'!$F$2:$F$1352,$L37)&amp;"")</f>
        <v>23110-0330-1000-58</v>
      </c>
      <c r="G37" s="10" t="str">
        <f aca="false">IF($L37="","",INDEX('Price List'!$G$2:$G$1352,$L37)&amp;"")</f>
        <v>330mm (13 in) x 1000M</v>
      </c>
      <c r="H37" s="10" t="str">
        <f aca="false">IF($L37="","",INDEX('Price List'!$H$2:$H$1352,$L37)&amp;"")</f>
        <v>roll</v>
      </c>
      <c r="I37" s="12" t="n">
        <f aca="false">IF($L37="","",IF(INDEX('Price List'!$I$2:$I$1352,$L37)="","",INDEX('Price List'!$I$2:$I$1352,$L37)))</f>
        <v>2940</v>
      </c>
      <c r="J37" s="11" t="str">
        <f aca="false">IF($L37="","",INDEX('Price List'!$J$2:$J$1352,$L37)&amp;"")</f>
        <v>SRP P5,250.00 less 44% discount</v>
      </c>
      <c r="K37" s="10" t="str">
        <f aca="false">IF($L37="","",INDEX('Price List'!$K$2:$K$1352,$L37)&amp;"")</f>
        <v>Jul 20, 2026</v>
      </c>
      <c r="L37" s="13" t="n">
        <f aca="false">IF(27&gt;$H$4,"",MATCH(27,'Price List'!$M$2:$M$1352,0))</f>
        <v>27</v>
      </c>
    </row>
    <row r="38" customFormat="false" ht="15" hidden="false" customHeight="false" outlineLevel="0" collapsed="false">
      <c r="A38" s="9" t="n">
        <v>28</v>
      </c>
      <c r="B38" s="10" t="str">
        <f aca="false">IF($L38="","",INDEX('Price List'!$B$2:$B$1352,$L38)&amp;"")</f>
        <v>Commerce Asia, Inc.</v>
      </c>
      <c r="C38" s="10" t="str">
        <f aca="false">IF($L38="","",INDEX('Price List'!$C$2:$C$1352,$L38)&amp;"")</f>
        <v>Lamination Film</v>
      </c>
      <c r="D38" s="11" t="str">
        <f aca="false">IF($L38="","",INDEX('Price List'!$D$2:$D$1352,$L38)&amp;"")</f>
        <v>Thermal OPP Film (for offset)</v>
      </c>
      <c r="E38" s="11" t="str">
        <f aca="false">IF($L38="","",INDEX('Price List'!$E$2:$E$1352,$L38)&amp;"")</f>
        <v>Glossy/25, 58mm core</v>
      </c>
      <c r="F38" s="10" t="str">
        <f aca="false">IF($L38="","",INDEX('Price List'!$F$2:$F$1352,$L38)&amp;"")</f>
        <v>23110-0360-1000-58</v>
      </c>
      <c r="G38" s="10" t="str">
        <f aca="false">IF($L38="","",INDEX('Price List'!$G$2:$G$1352,$L38)&amp;"")</f>
        <v>360mm (14.17 in) x 1000M</v>
      </c>
      <c r="H38" s="10" t="str">
        <f aca="false">IF($L38="","",INDEX('Price List'!$H$2:$H$1352,$L38)&amp;"")</f>
        <v>roll</v>
      </c>
      <c r="I38" s="12" t="n">
        <f aca="false">IF($L38="","",IF(INDEX('Price List'!$I$2:$I$1352,$L38)="","",INDEX('Price List'!$I$2:$I$1352,$L38)))</f>
        <v>3203.2</v>
      </c>
      <c r="J38" s="11" t="str">
        <f aca="false">IF($L38="","",INDEX('Price List'!$J$2:$J$1352,$L38)&amp;"")</f>
        <v>SRP P5,720.00 less 44% discount</v>
      </c>
      <c r="K38" s="10" t="str">
        <f aca="false">IF($L38="","",INDEX('Price List'!$K$2:$K$1352,$L38)&amp;"")</f>
        <v>Jul 20, 2026</v>
      </c>
      <c r="L38" s="13" t="n">
        <f aca="false">IF(28&gt;$H$4,"",MATCH(28,'Price List'!$M$2:$M$1352,0))</f>
        <v>28</v>
      </c>
    </row>
    <row r="39" customFormat="false" ht="15" hidden="false" customHeight="false" outlineLevel="0" collapsed="false">
      <c r="A39" s="9" t="n">
        <v>29</v>
      </c>
      <c r="B39" s="10" t="str">
        <f aca="false">IF($L39="","",INDEX('Price List'!$B$2:$B$1352,$L39)&amp;"")</f>
        <v>Commerce Asia, Inc.</v>
      </c>
      <c r="C39" s="10" t="str">
        <f aca="false">IF($L39="","",INDEX('Price List'!$C$2:$C$1352,$L39)&amp;"")</f>
        <v>Lamination Film</v>
      </c>
      <c r="D39" s="11" t="str">
        <f aca="false">IF($L39="","",INDEX('Price List'!$D$2:$D$1352,$L39)&amp;"")</f>
        <v>Thermal OPP Film (for offset)</v>
      </c>
      <c r="E39" s="11" t="str">
        <f aca="false">IF($L39="","",INDEX('Price List'!$E$2:$E$1352,$L39)&amp;"")</f>
        <v>Glossy/25, 58mm core</v>
      </c>
      <c r="F39" s="10" t="str">
        <f aca="false">IF($L39="","",INDEX('Price List'!$F$2:$F$1352,$L39)&amp;"")</f>
        <v>23110-0385-1000-58</v>
      </c>
      <c r="G39" s="10" t="str">
        <f aca="false">IF($L39="","",INDEX('Price List'!$G$2:$G$1352,$L39)&amp;"")</f>
        <v>385mm (15.16 in) x 1000M</v>
      </c>
      <c r="H39" s="10" t="str">
        <f aca="false">IF($L39="","",INDEX('Price List'!$H$2:$H$1352,$L39)&amp;"")</f>
        <v>roll</v>
      </c>
      <c r="I39" s="12" t="n">
        <f aca="false">IF($L39="","",IF(INDEX('Price List'!$I$2:$I$1352,$L39)="","",INDEX('Price List'!$I$2:$I$1352,$L39)))</f>
        <v>3444</v>
      </c>
      <c r="J39" s="11" t="str">
        <f aca="false">IF($L39="","",INDEX('Price List'!$J$2:$J$1352,$L39)&amp;"")</f>
        <v>SRP P6,150.00 less 44% discount</v>
      </c>
      <c r="K39" s="10" t="str">
        <f aca="false">IF($L39="","",INDEX('Price List'!$K$2:$K$1352,$L39)&amp;"")</f>
        <v>Jul 20, 2026</v>
      </c>
      <c r="L39" s="13" t="n">
        <f aca="false">IF(29&gt;$H$4,"",MATCH(29,'Price List'!$M$2:$M$1352,0))</f>
        <v>29</v>
      </c>
    </row>
    <row r="40" customFormat="false" ht="15" hidden="false" customHeight="false" outlineLevel="0" collapsed="false">
      <c r="A40" s="9" t="n">
        <v>30</v>
      </c>
      <c r="B40" s="10" t="str">
        <f aca="false">IF($L40="","",INDEX('Price List'!$B$2:$B$1352,$L40)&amp;"")</f>
        <v>Commerce Asia, Inc.</v>
      </c>
      <c r="C40" s="10" t="str">
        <f aca="false">IF($L40="","",INDEX('Price List'!$C$2:$C$1352,$L40)&amp;"")</f>
        <v>Lamination Film</v>
      </c>
      <c r="D40" s="11" t="str">
        <f aca="false">IF($L40="","",INDEX('Price List'!$D$2:$D$1352,$L40)&amp;"")</f>
        <v>Thermal OPP Film (for offset)</v>
      </c>
      <c r="E40" s="11" t="str">
        <f aca="false">IF($L40="","",INDEX('Price List'!$E$2:$E$1352,$L40)&amp;"")</f>
        <v>Glossy/25, 58mm core</v>
      </c>
      <c r="F40" s="10" t="str">
        <f aca="false">IF($L40="","",INDEX('Price List'!$F$2:$F$1352,$L40)&amp;"")</f>
        <v>23110-0410-1000-58</v>
      </c>
      <c r="G40" s="10" t="str">
        <f aca="false">IF($L40="","",INDEX('Price List'!$G$2:$G$1352,$L40)&amp;"")</f>
        <v>410mm (16.14 in) x 1000M</v>
      </c>
      <c r="H40" s="10" t="str">
        <f aca="false">IF($L40="","",INDEX('Price List'!$H$2:$H$1352,$L40)&amp;"")</f>
        <v>roll</v>
      </c>
      <c r="I40" s="12" t="n">
        <f aca="false">IF($L40="","",IF(INDEX('Price List'!$I$2:$I$1352,$L40)="","",INDEX('Price List'!$I$2:$I$1352,$L40)))</f>
        <v>3651.2</v>
      </c>
      <c r="J40" s="11" t="str">
        <f aca="false">IF($L40="","",INDEX('Price List'!$J$2:$J$1352,$L40)&amp;"")</f>
        <v>SRP P6,520.00 less 44% discount</v>
      </c>
      <c r="K40" s="10" t="str">
        <f aca="false">IF($L40="","",INDEX('Price List'!$K$2:$K$1352,$L40)&amp;"")</f>
        <v>Jul 20, 2026</v>
      </c>
      <c r="L40" s="13" t="n">
        <f aca="false">IF(30&gt;$H$4,"",MATCH(30,'Price List'!$M$2:$M$1352,0))</f>
        <v>30</v>
      </c>
    </row>
    <row r="41" customFormat="false" ht="15" hidden="false" customHeight="false" outlineLevel="0" collapsed="false">
      <c r="A41" s="9" t="n">
        <v>31</v>
      </c>
      <c r="B41" s="10" t="str">
        <f aca="false">IF($L41="","",INDEX('Price List'!$B$2:$B$1352,$L41)&amp;"")</f>
        <v>Commerce Asia, Inc.</v>
      </c>
      <c r="C41" s="10" t="str">
        <f aca="false">IF($L41="","",INDEX('Price List'!$C$2:$C$1352,$L41)&amp;"")</f>
        <v>Lamination Film</v>
      </c>
      <c r="D41" s="11" t="str">
        <f aca="false">IF($L41="","",INDEX('Price List'!$D$2:$D$1352,$L41)&amp;"")</f>
        <v>Thermal OPP Film (for offset)</v>
      </c>
      <c r="E41" s="11" t="str">
        <f aca="false">IF($L41="","",INDEX('Price List'!$E$2:$E$1352,$L41)&amp;"")</f>
        <v>Glossy/25, 58mm core</v>
      </c>
      <c r="F41" s="10" t="str">
        <f aca="false">IF($L41="","",INDEX('Price List'!$F$2:$F$1352,$L41)&amp;"")</f>
        <v>23110-0432-1000-58</v>
      </c>
      <c r="G41" s="10" t="str">
        <f aca="false">IF($L41="","",INDEX('Price List'!$G$2:$G$1352,$L41)&amp;"")</f>
        <v>432mm (17 in) x 1000M</v>
      </c>
      <c r="H41" s="10" t="str">
        <f aca="false">IF($L41="","",INDEX('Price List'!$H$2:$H$1352,$L41)&amp;"")</f>
        <v>roll</v>
      </c>
      <c r="I41" s="12" t="n">
        <f aca="false">IF($L41="","",IF(INDEX('Price List'!$I$2:$I$1352,$L41)="","",INDEX('Price List'!$I$2:$I$1352,$L41)))</f>
        <v>3864</v>
      </c>
      <c r="J41" s="11" t="str">
        <f aca="false">IF($L41="","",INDEX('Price List'!$J$2:$J$1352,$L41)&amp;"")</f>
        <v>SRP P6,900.00 less 44% discount</v>
      </c>
      <c r="K41" s="10" t="str">
        <f aca="false">IF($L41="","",INDEX('Price List'!$K$2:$K$1352,$L41)&amp;"")</f>
        <v>Jul 20, 2026</v>
      </c>
      <c r="L41" s="13" t="n">
        <f aca="false">IF(31&gt;$H$4,"",MATCH(31,'Price List'!$M$2:$M$1352,0))</f>
        <v>31</v>
      </c>
    </row>
    <row r="42" customFormat="false" ht="15" hidden="false" customHeight="false" outlineLevel="0" collapsed="false">
      <c r="A42" s="9" t="n">
        <v>32</v>
      </c>
      <c r="B42" s="10" t="str">
        <f aca="false">IF($L42="","",INDEX('Price List'!$B$2:$B$1352,$L42)&amp;"")</f>
        <v>Commerce Asia, Inc.</v>
      </c>
      <c r="C42" s="10" t="str">
        <f aca="false">IF($L42="","",INDEX('Price List'!$C$2:$C$1352,$L42)&amp;"")</f>
        <v>Lamination Film</v>
      </c>
      <c r="D42" s="11" t="str">
        <f aca="false">IF($L42="","",INDEX('Price List'!$D$2:$D$1352,$L42)&amp;"")</f>
        <v>Thermal OPP Film (for offset)</v>
      </c>
      <c r="E42" s="11" t="str">
        <f aca="false">IF($L42="","",INDEX('Price List'!$E$2:$E$1352,$L42)&amp;"")</f>
        <v>Glossy/25, 58mm core</v>
      </c>
      <c r="F42" s="10" t="str">
        <f aca="false">IF($L42="","",INDEX('Price List'!$F$2:$F$1352,$L42)&amp;"")</f>
        <v>23110-0460-1000-58</v>
      </c>
      <c r="G42" s="10" t="str">
        <f aca="false">IF($L42="","",INDEX('Price List'!$G$2:$G$1352,$L42)&amp;"")</f>
        <v>460mm (18.11 in) x 1000M</v>
      </c>
      <c r="H42" s="10" t="str">
        <f aca="false">IF($L42="","",INDEX('Price List'!$H$2:$H$1352,$L42)&amp;"")</f>
        <v>roll</v>
      </c>
      <c r="I42" s="12" t="n">
        <f aca="false">IF($L42="","",IF(INDEX('Price List'!$I$2:$I$1352,$L42)="","",INDEX('Price List'!$I$2:$I$1352,$L42)))</f>
        <v>4088</v>
      </c>
      <c r="J42" s="11" t="str">
        <f aca="false">IF($L42="","",INDEX('Price List'!$J$2:$J$1352,$L42)&amp;"")</f>
        <v>SRP P7,300.00 less 44% discount</v>
      </c>
      <c r="K42" s="10" t="str">
        <f aca="false">IF($L42="","",INDEX('Price List'!$K$2:$K$1352,$L42)&amp;"")</f>
        <v>Jul 20, 2026</v>
      </c>
      <c r="L42" s="13" t="n">
        <f aca="false">IF(32&gt;$H$4,"",MATCH(32,'Price List'!$M$2:$M$1352,0))</f>
        <v>32</v>
      </c>
    </row>
    <row r="43" customFormat="false" ht="15" hidden="false" customHeight="false" outlineLevel="0" collapsed="false">
      <c r="A43" s="9" t="n">
        <v>33</v>
      </c>
      <c r="B43" s="10" t="str">
        <f aca="false">IF($L43="","",INDEX('Price List'!$B$2:$B$1352,$L43)&amp;"")</f>
        <v>Commerce Asia, Inc.</v>
      </c>
      <c r="C43" s="10" t="str">
        <f aca="false">IF($L43="","",INDEX('Price List'!$C$2:$C$1352,$L43)&amp;"")</f>
        <v>Lamination Film</v>
      </c>
      <c r="D43" s="11" t="str">
        <f aca="false">IF($L43="","",INDEX('Price List'!$D$2:$D$1352,$L43)&amp;"")</f>
        <v>Thermal OPP Film (for offset)</v>
      </c>
      <c r="E43" s="11" t="str">
        <f aca="false">IF($L43="","",INDEX('Price List'!$E$2:$E$1352,$L43)&amp;"")</f>
        <v>Glossy/25, 58mm core</v>
      </c>
      <c r="F43" s="10" t="str">
        <f aca="false">IF($L43="","",INDEX('Price List'!$F$2:$F$1352,$L43)&amp;"")</f>
        <v>23110-0485-1000-58</v>
      </c>
      <c r="G43" s="10" t="str">
        <f aca="false">IF($L43="","",INDEX('Price List'!$G$2:$G$1352,$L43)&amp;"")</f>
        <v>485mm (19.09 in) x 1000M</v>
      </c>
      <c r="H43" s="10" t="str">
        <f aca="false">IF($L43="","",INDEX('Price List'!$H$2:$H$1352,$L43)&amp;"")</f>
        <v>roll</v>
      </c>
      <c r="I43" s="12" t="n">
        <f aca="false">IF($L43="","",IF(INDEX('Price List'!$I$2:$I$1352,$L43)="","",INDEX('Price List'!$I$2:$I$1352,$L43)))</f>
        <v>4340</v>
      </c>
      <c r="J43" s="11" t="str">
        <f aca="false">IF($L43="","",INDEX('Price List'!$J$2:$J$1352,$L43)&amp;"")</f>
        <v>SRP P7,750.00 less 44% discount</v>
      </c>
      <c r="K43" s="10" t="str">
        <f aca="false">IF($L43="","",INDEX('Price List'!$K$2:$K$1352,$L43)&amp;"")</f>
        <v>Jul 20, 2026</v>
      </c>
      <c r="L43" s="13" t="n">
        <f aca="false">IF(33&gt;$H$4,"",MATCH(33,'Price List'!$M$2:$M$1352,0))</f>
        <v>33</v>
      </c>
    </row>
    <row r="44" customFormat="false" ht="15" hidden="false" customHeight="false" outlineLevel="0" collapsed="false">
      <c r="A44" s="9" t="n">
        <v>34</v>
      </c>
      <c r="B44" s="10" t="str">
        <f aca="false">IF($L44="","",INDEX('Price List'!$B$2:$B$1352,$L44)&amp;"")</f>
        <v>Commerce Asia, Inc.</v>
      </c>
      <c r="C44" s="10" t="str">
        <f aca="false">IF($L44="","",INDEX('Price List'!$C$2:$C$1352,$L44)&amp;"")</f>
        <v>Lamination Film</v>
      </c>
      <c r="D44" s="11" t="str">
        <f aca="false">IF($L44="","",INDEX('Price List'!$D$2:$D$1352,$L44)&amp;"")</f>
        <v>Thermal OPP Film (for offset)</v>
      </c>
      <c r="E44" s="11" t="str">
        <f aca="false">IF($L44="","",INDEX('Price List'!$E$2:$E$1352,$L44)&amp;"")</f>
        <v>Glossy/25, 58mm core</v>
      </c>
      <c r="F44" s="10" t="str">
        <f aca="false">IF($L44="","",INDEX('Price List'!$F$2:$F$1352,$L44)&amp;"")</f>
        <v>23110-0635-1000-58</v>
      </c>
      <c r="G44" s="10" t="str">
        <f aca="false">IF($L44="","",INDEX('Price List'!$G$2:$G$1352,$L44)&amp;"")</f>
        <v>635mm (25 in) x 1000M</v>
      </c>
      <c r="H44" s="10" t="str">
        <f aca="false">IF($L44="","",INDEX('Price List'!$H$2:$H$1352,$L44)&amp;"")</f>
        <v>roll</v>
      </c>
      <c r="I44" s="12" t="n">
        <f aca="false">IF($L44="","",IF(INDEX('Price List'!$I$2:$I$1352,$L44)="","",INDEX('Price List'!$I$2:$I$1352,$L44)))</f>
        <v>5656</v>
      </c>
      <c r="J44" s="11" t="str">
        <f aca="false">IF($L44="","",INDEX('Price List'!$J$2:$J$1352,$L44)&amp;"")</f>
        <v>SRP P10,100.00 less 44% discount</v>
      </c>
      <c r="K44" s="10" t="str">
        <f aca="false">IF($L44="","",INDEX('Price List'!$K$2:$K$1352,$L44)&amp;"")</f>
        <v>Jul 20, 2026</v>
      </c>
      <c r="L44" s="13" t="n">
        <f aca="false">IF(34&gt;$H$4,"",MATCH(34,'Price List'!$M$2:$M$1352,0))</f>
        <v>34</v>
      </c>
    </row>
    <row r="45" customFormat="false" ht="15" hidden="false" customHeight="false" outlineLevel="0" collapsed="false">
      <c r="A45" s="9" t="n">
        <v>35</v>
      </c>
      <c r="B45" s="10" t="str">
        <f aca="false">IF($L45="","",INDEX('Price List'!$B$2:$B$1352,$L45)&amp;"")</f>
        <v>Commerce Asia, Inc.</v>
      </c>
      <c r="C45" s="10" t="str">
        <f aca="false">IF($L45="","",INDEX('Price List'!$C$2:$C$1352,$L45)&amp;"")</f>
        <v>Lamination Film</v>
      </c>
      <c r="D45" s="11" t="str">
        <f aca="false">IF($L45="","",INDEX('Price List'!$D$2:$D$1352,$L45)&amp;"")</f>
        <v>Thermal OPP Film (for offset)</v>
      </c>
      <c r="E45" s="11" t="str">
        <f aca="false">IF($L45="","",INDEX('Price List'!$E$2:$E$1352,$L45)&amp;"")</f>
        <v>Matt/28, 58mm core</v>
      </c>
      <c r="F45" s="10" t="str">
        <f aca="false">IF($L45="","",INDEX('Price List'!$F$2:$F$1352,$L45)&amp;"")</f>
        <v>23111-0305-1000-58</v>
      </c>
      <c r="G45" s="10" t="str">
        <f aca="false">IF($L45="","",INDEX('Price List'!$G$2:$G$1352,$L45)&amp;"")</f>
        <v>305mm (12 in) x 1000M</v>
      </c>
      <c r="H45" s="10" t="str">
        <f aca="false">IF($L45="","",INDEX('Price List'!$H$2:$H$1352,$L45)&amp;"")</f>
        <v>roll</v>
      </c>
      <c r="I45" s="12" t="n">
        <f aca="false">IF($L45="","",IF(INDEX('Price List'!$I$2:$I$1352,$L45)="","",INDEX('Price List'!$I$2:$I$1352,$L45)))</f>
        <v>3528</v>
      </c>
      <c r="J45" s="11" t="str">
        <f aca="false">IF($L45="","",INDEX('Price List'!$J$2:$J$1352,$L45)&amp;"")</f>
        <v>SRP P6,300.00 less 44% discount</v>
      </c>
      <c r="K45" s="10" t="str">
        <f aca="false">IF($L45="","",INDEX('Price List'!$K$2:$K$1352,$L45)&amp;"")</f>
        <v>Jul 20, 2026</v>
      </c>
      <c r="L45" s="13" t="n">
        <f aca="false">IF(35&gt;$H$4,"",MATCH(35,'Price List'!$M$2:$M$1352,0))</f>
        <v>35</v>
      </c>
    </row>
    <row r="46" customFormat="false" ht="15" hidden="false" customHeight="false" outlineLevel="0" collapsed="false">
      <c r="A46" s="9" t="n">
        <v>36</v>
      </c>
      <c r="B46" s="10" t="str">
        <f aca="false">IF($L46="","",INDEX('Price List'!$B$2:$B$1352,$L46)&amp;"")</f>
        <v>Commerce Asia, Inc.</v>
      </c>
      <c r="C46" s="10" t="str">
        <f aca="false">IF($L46="","",INDEX('Price List'!$C$2:$C$1352,$L46)&amp;"")</f>
        <v>Lamination Film</v>
      </c>
      <c r="D46" s="11" t="str">
        <f aca="false">IF($L46="","",INDEX('Price List'!$D$2:$D$1352,$L46)&amp;"")</f>
        <v>Thermal OPP Film (for offset)</v>
      </c>
      <c r="E46" s="11" t="str">
        <f aca="false">IF($L46="","",INDEX('Price List'!$E$2:$E$1352,$L46)&amp;"")</f>
        <v>Matt/28, 58mm core</v>
      </c>
      <c r="F46" s="10" t="str">
        <f aca="false">IF($L46="","",INDEX('Price List'!$F$2:$F$1352,$L46)&amp;"")</f>
        <v>23111-0320-1000-58</v>
      </c>
      <c r="G46" s="10" t="str">
        <f aca="false">IF($L46="","",INDEX('Price List'!$G$2:$G$1352,$L46)&amp;"")</f>
        <v>320mm (12.6 in) x 1000M</v>
      </c>
      <c r="H46" s="10" t="str">
        <f aca="false">IF($L46="","",INDEX('Price List'!$H$2:$H$1352,$L46)&amp;"")</f>
        <v>roll</v>
      </c>
      <c r="I46" s="12" t="n">
        <f aca="false">IF($L46="","",IF(INDEX('Price List'!$I$2:$I$1352,$L46)="","",INDEX('Price List'!$I$2:$I$1352,$L46)))</f>
        <v>3690.4</v>
      </c>
      <c r="J46" s="11" t="str">
        <f aca="false">IF($L46="","",INDEX('Price List'!$J$2:$J$1352,$L46)&amp;"")</f>
        <v>SRP P6,590.00 less 44% discount</v>
      </c>
      <c r="K46" s="10" t="str">
        <f aca="false">IF($L46="","",INDEX('Price List'!$K$2:$K$1352,$L46)&amp;"")</f>
        <v>Jul 20, 2026</v>
      </c>
      <c r="L46" s="13" t="n">
        <f aca="false">IF(36&gt;$H$4,"",MATCH(36,'Price List'!$M$2:$M$1352,0))</f>
        <v>36</v>
      </c>
    </row>
    <row r="47" customFormat="false" ht="15" hidden="false" customHeight="false" outlineLevel="0" collapsed="false">
      <c r="A47" s="9" t="n">
        <v>37</v>
      </c>
      <c r="B47" s="10" t="str">
        <f aca="false">IF($L47="","",INDEX('Price List'!$B$2:$B$1352,$L47)&amp;"")</f>
        <v>Commerce Asia, Inc.</v>
      </c>
      <c r="C47" s="10" t="str">
        <f aca="false">IF($L47="","",INDEX('Price List'!$C$2:$C$1352,$L47)&amp;"")</f>
        <v>Lamination Film</v>
      </c>
      <c r="D47" s="11" t="str">
        <f aca="false">IF($L47="","",INDEX('Price List'!$D$2:$D$1352,$L47)&amp;"")</f>
        <v>Thermal OPP Film (for offset)</v>
      </c>
      <c r="E47" s="11" t="str">
        <f aca="false">IF($L47="","",INDEX('Price List'!$E$2:$E$1352,$L47)&amp;"")</f>
        <v>Matt/28, 58mm core</v>
      </c>
      <c r="F47" s="10" t="str">
        <f aca="false">IF($L47="","",INDEX('Price List'!$F$2:$F$1352,$L47)&amp;"")</f>
        <v>23111-0330-1000-58</v>
      </c>
      <c r="G47" s="10" t="str">
        <f aca="false">IF($L47="","",INDEX('Price List'!$G$2:$G$1352,$L47)&amp;"")</f>
        <v>330mm (13 in) x 1000M</v>
      </c>
      <c r="H47" s="10" t="str">
        <f aca="false">IF($L47="","",INDEX('Price List'!$H$2:$H$1352,$L47)&amp;"")</f>
        <v>roll</v>
      </c>
      <c r="I47" s="12" t="n">
        <f aca="false">IF($L47="","",IF(INDEX('Price List'!$I$2:$I$1352,$L47)="","",INDEX('Price List'!$I$2:$I$1352,$L47)))</f>
        <v>3780</v>
      </c>
      <c r="J47" s="11" t="str">
        <f aca="false">IF($L47="","",INDEX('Price List'!$J$2:$J$1352,$L47)&amp;"")</f>
        <v>SRP P6,750.00 less 44% discount</v>
      </c>
      <c r="K47" s="10" t="str">
        <f aca="false">IF($L47="","",INDEX('Price List'!$K$2:$K$1352,$L47)&amp;"")</f>
        <v>Jul 20, 2026</v>
      </c>
      <c r="L47" s="13" t="n">
        <f aca="false">IF(37&gt;$H$4,"",MATCH(37,'Price List'!$M$2:$M$1352,0))</f>
        <v>37</v>
      </c>
    </row>
    <row r="48" customFormat="false" ht="15" hidden="false" customHeight="false" outlineLevel="0" collapsed="false">
      <c r="A48" s="9" t="n">
        <v>38</v>
      </c>
      <c r="B48" s="10" t="str">
        <f aca="false">IF($L48="","",INDEX('Price List'!$B$2:$B$1352,$L48)&amp;"")</f>
        <v>Commerce Asia, Inc.</v>
      </c>
      <c r="C48" s="10" t="str">
        <f aca="false">IF($L48="","",INDEX('Price List'!$C$2:$C$1352,$L48)&amp;"")</f>
        <v>Lamination Film</v>
      </c>
      <c r="D48" s="11" t="str">
        <f aca="false">IF($L48="","",INDEX('Price List'!$D$2:$D$1352,$L48)&amp;"")</f>
        <v>Thermal OPP Film (for offset)</v>
      </c>
      <c r="E48" s="11" t="str">
        <f aca="false">IF($L48="","",INDEX('Price List'!$E$2:$E$1352,$L48)&amp;"")</f>
        <v>Matt/28, 58mm core</v>
      </c>
      <c r="F48" s="10" t="str">
        <f aca="false">IF($L48="","",INDEX('Price List'!$F$2:$F$1352,$L48)&amp;"")</f>
        <v>23111-0385-1000-58</v>
      </c>
      <c r="G48" s="10" t="str">
        <f aca="false">IF($L48="","",INDEX('Price List'!$G$2:$G$1352,$L48)&amp;"")</f>
        <v>385mm (15.16 in) x 1000M</v>
      </c>
      <c r="H48" s="10" t="str">
        <f aca="false">IF($L48="","",INDEX('Price List'!$H$2:$H$1352,$L48)&amp;"")</f>
        <v>roll</v>
      </c>
      <c r="I48" s="12" t="n">
        <f aca="false">IF($L48="","",IF(INDEX('Price List'!$I$2:$I$1352,$L48)="","",INDEX('Price List'!$I$2:$I$1352,$L48)))</f>
        <v>4452</v>
      </c>
      <c r="J48" s="11" t="str">
        <f aca="false">IF($L48="","",INDEX('Price List'!$J$2:$J$1352,$L48)&amp;"")</f>
        <v>SRP P7,950.00 less 44% discount</v>
      </c>
      <c r="K48" s="10" t="str">
        <f aca="false">IF($L48="","",INDEX('Price List'!$K$2:$K$1352,$L48)&amp;"")</f>
        <v>Jul 20, 2026</v>
      </c>
      <c r="L48" s="13" t="n">
        <f aca="false">IF(38&gt;$H$4,"",MATCH(38,'Price List'!$M$2:$M$1352,0))</f>
        <v>38</v>
      </c>
    </row>
    <row r="49" customFormat="false" ht="15" hidden="false" customHeight="false" outlineLevel="0" collapsed="false">
      <c r="A49" s="9" t="n">
        <v>39</v>
      </c>
      <c r="B49" s="10" t="str">
        <f aca="false">IF($L49="","",INDEX('Price List'!$B$2:$B$1352,$L49)&amp;"")</f>
        <v>Commerce Asia, Inc.</v>
      </c>
      <c r="C49" s="10" t="str">
        <f aca="false">IF($L49="","",INDEX('Price List'!$C$2:$C$1352,$L49)&amp;"")</f>
        <v>Lamination Film</v>
      </c>
      <c r="D49" s="11" t="str">
        <f aca="false">IF($L49="","",INDEX('Price List'!$D$2:$D$1352,$L49)&amp;"")</f>
        <v>Thermal OPP Film (for offset)</v>
      </c>
      <c r="E49" s="11" t="str">
        <f aca="false">IF($L49="","",INDEX('Price List'!$E$2:$E$1352,$L49)&amp;"")</f>
        <v>Matt/28, 58mm core</v>
      </c>
      <c r="F49" s="10" t="str">
        <f aca="false">IF($L49="","",INDEX('Price List'!$F$2:$F$1352,$L49)&amp;"")</f>
        <v>23111-0460-1000-58</v>
      </c>
      <c r="G49" s="10" t="str">
        <f aca="false">IF($L49="","",INDEX('Price List'!$G$2:$G$1352,$L49)&amp;"")</f>
        <v>460mm (18.11 in) x 1000M</v>
      </c>
      <c r="H49" s="10" t="str">
        <f aca="false">IF($L49="","",INDEX('Price List'!$H$2:$H$1352,$L49)&amp;"")</f>
        <v>roll</v>
      </c>
      <c r="I49" s="12" t="n">
        <f aca="false">IF($L49="","",IF(INDEX('Price List'!$I$2:$I$1352,$L49)="","",INDEX('Price List'!$I$2:$I$1352,$L49)))</f>
        <v>5320</v>
      </c>
      <c r="J49" s="11" t="str">
        <f aca="false">IF($L49="","",INDEX('Price List'!$J$2:$J$1352,$L49)&amp;"")</f>
        <v>SRP P9,500.00 less 44% discount</v>
      </c>
      <c r="K49" s="10" t="str">
        <f aca="false">IF($L49="","",INDEX('Price List'!$K$2:$K$1352,$L49)&amp;"")</f>
        <v>Jul 20, 2026</v>
      </c>
      <c r="L49" s="13" t="n">
        <f aca="false">IF(39&gt;$H$4,"",MATCH(39,'Price List'!$M$2:$M$1352,0))</f>
        <v>39</v>
      </c>
    </row>
    <row r="50" customFormat="false" ht="15" hidden="false" customHeight="false" outlineLevel="0" collapsed="false">
      <c r="A50" s="9" t="n">
        <v>40</v>
      </c>
      <c r="B50" s="10" t="str">
        <f aca="false">IF($L50="","",INDEX('Price List'!$B$2:$B$1352,$L50)&amp;"")</f>
        <v>Commerce Asia, Inc.</v>
      </c>
      <c r="C50" s="10" t="str">
        <f aca="false">IF($L50="","",INDEX('Price List'!$C$2:$C$1352,$L50)&amp;"")</f>
        <v>Lamination Film</v>
      </c>
      <c r="D50" s="11" t="str">
        <f aca="false">IF($L50="","",INDEX('Price List'!$D$2:$D$1352,$L50)&amp;"")</f>
        <v>Thermal OPP Film (for offset)</v>
      </c>
      <c r="E50" s="11" t="str">
        <f aca="false">IF($L50="","",INDEX('Price List'!$E$2:$E$1352,$L50)&amp;"")</f>
        <v>Matt/28, 58mm core</v>
      </c>
      <c r="F50" s="10" t="str">
        <f aca="false">IF($L50="","",INDEX('Price List'!$F$2:$F$1352,$L50)&amp;"")</f>
        <v>23111-0485-1000-58</v>
      </c>
      <c r="G50" s="10" t="str">
        <f aca="false">IF($L50="","",INDEX('Price List'!$G$2:$G$1352,$L50)&amp;"")</f>
        <v>485mm (19.09 in) x 1000M</v>
      </c>
      <c r="H50" s="10" t="str">
        <f aca="false">IF($L50="","",INDEX('Price List'!$H$2:$H$1352,$L50)&amp;"")</f>
        <v>roll</v>
      </c>
      <c r="I50" s="12" t="n">
        <f aca="false">IF($L50="","",IF(INDEX('Price List'!$I$2:$I$1352,$L50)="","",INDEX('Price List'!$I$2:$I$1352,$L50)))</f>
        <v>5628</v>
      </c>
      <c r="J50" s="11" t="str">
        <f aca="false">IF($L50="","",INDEX('Price List'!$J$2:$J$1352,$L50)&amp;"")</f>
        <v>SRP P10,050.00 less 44% discount</v>
      </c>
      <c r="K50" s="10" t="str">
        <f aca="false">IF($L50="","",INDEX('Price List'!$K$2:$K$1352,$L50)&amp;"")</f>
        <v>Jul 20, 2026</v>
      </c>
      <c r="L50" s="13" t="n">
        <f aca="false">IF(40&gt;$H$4,"",MATCH(40,'Price List'!$M$2:$M$1352,0))</f>
        <v>40</v>
      </c>
    </row>
    <row r="51" customFormat="false" ht="15" hidden="false" customHeight="false" outlineLevel="0" collapsed="false">
      <c r="A51" s="9" t="n">
        <v>41</v>
      </c>
      <c r="B51" s="10" t="str">
        <f aca="false">IF($L51="","",INDEX('Price List'!$B$2:$B$1352,$L51)&amp;"")</f>
        <v>Commerce Asia, Inc.</v>
      </c>
      <c r="C51" s="10" t="str">
        <f aca="false">IF($L51="","",INDEX('Price List'!$C$2:$C$1352,$L51)&amp;"")</f>
        <v>Lamination Film</v>
      </c>
      <c r="D51" s="11" t="str">
        <f aca="false">IF($L51="","",INDEX('Price List'!$D$2:$D$1352,$L51)&amp;"")</f>
        <v>Thermal OPP Film (for offset)</v>
      </c>
      <c r="E51" s="11" t="str">
        <f aca="false">IF($L51="","",INDEX('Price List'!$E$2:$E$1352,$L51)&amp;"")</f>
        <v>Matt/28, 58mm core</v>
      </c>
      <c r="F51" s="10" t="str">
        <f aca="false">IF($L51="","",INDEX('Price List'!$F$2:$F$1352,$L51)&amp;"")</f>
        <v>23111-0635-1000-58</v>
      </c>
      <c r="G51" s="10" t="str">
        <f aca="false">IF($L51="","",INDEX('Price List'!$G$2:$G$1352,$L51)&amp;"")</f>
        <v>635mm (25 in) x 1000M</v>
      </c>
      <c r="H51" s="10" t="str">
        <f aca="false">IF($L51="","",INDEX('Price List'!$H$2:$H$1352,$L51)&amp;"")</f>
        <v>roll</v>
      </c>
      <c r="I51" s="12" t="n">
        <f aca="false">IF($L51="","",IF(INDEX('Price List'!$I$2:$I$1352,$L51)="","",INDEX('Price List'!$I$2:$I$1352,$L51)))</f>
        <v>7280</v>
      </c>
      <c r="J51" s="11" t="str">
        <f aca="false">IF($L51="","",INDEX('Price List'!$J$2:$J$1352,$L51)&amp;"")</f>
        <v>SRP P13,000.00 less 44% discount</v>
      </c>
      <c r="K51" s="10" t="str">
        <f aca="false">IF($L51="","",INDEX('Price List'!$K$2:$K$1352,$L51)&amp;"")</f>
        <v>Jul 20, 2026</v>
      </c>
      <c r="L51" s="13" t="n">
        <f aca="false">IF(41&gt;$H$4,"",MATCH(41,'Price List'!$M$2:$M$1352,0))</f>
        <v>41</v>
      </c>
    </row>
    <row r="52" customFormat="false" ht="15" hidden="false" customHeight="false" outlineLevel="0" collapsed="false">
      <c r="A52" s="9" t="n">
        <v>42</v>
      </c>
      <c r="B52" s="10" t="str">
        <f aca="false">IF($L52="","",INDEX('Price List'!$B$2:$B$1352,$L52)&amp;"")</f>
        <v>Commerce Asia, Inc.</v>
      </c>
      <c r="C52" s="10" t="str">
        <f aca="false">IF($L52="","",INDEX('Price List'!$C$2:$C$1352,$L52)&amp;"")</f>
        <v>Lamination Film</v>
      </c>
      <c r="D52" s="11" t="str">
        <f aca="false">IF($L52="","",INDEX('Price List'!$D$2:$D$1352,$L52)&amp;"")</f>
        <v>Tigerbond Film (for digital)</v>
      </c>
      <c r="E52" s="11" t="str">
        <f aca="false">IF($L52="","",INDEX('Price List'!$E$2:$E$1352,$L52)&amp;"")</f>
        <v>Polynex Tigerbond PT Glossy/40</v>
      </c>
      <c r="F52" s="10" t="str">
        <f aca="false">IF($L52="","",INDEX('Price List'!$F$2:$F$1352,$L52)&amp;"")</f>
        <v>23010-0330-1000-58-VT</v>
      </c>
      <c r="G52" s="10" t="str">
        <f aca="false">IF($L52="","",INDEX('Price List'!$G$2:$G$1352,$L52)&amp;"")</f>
        <v>330mm (13 in) x 1000M</v>
      </c>
      <c r="H52" s="10" t="str">
        <f aca="false">IF($L52="","",INDEX('Price List'!$H$2:$H$1352,$L52)&amp;"")</f>
        <v>roll</v>
      </c>
      <c r="I52" s="12" t="n">
        <f aca="false">IF($L52="","",IF(INDEX('Price List'!$I$2:$I$1352,$L52)="","",INDEX('Price List'!$I$2:$I$1352,$L52)))</f>
        <v>10906.93</v>
      </c>
      <c r="J52" s="11" t="str">
        <f aca="false">IF($L52="","",INDEX('Price List'!$J$2:$J$1352,$L52)&amp;"")</f>
        <v>SRP P16,279.00 less 33% discount</v>
      </c>
      <c r="K52" s="10" t="str">
        <f aca="false">IF($L52="","",INDEX('Price List'!$K$2:$K$1352,$L52)&amp;"")</f>
        <v>Jul 20, 2026</v>
      </c>
      <c r="L52" s="13" t="n">
        <f aca="false">IF(42&gt;$H$4,"",MATCH(42,'Price List'!$M$2:$M$1352,0))</f>
        <v>42</v>
      </c>
    </row>
    <row r="53" customFormat="false" ht="15" hidden="false" customHeight="false" outlineLevel="0" collapsed="false">
      <c r="A53" s="9" t="n">
        <v>43</v>
      </c>
      <c r="B53" s="10" t="str">
        <f aca="false">IF($L53="","",INDEX('Price List'!$B$2:$B$1352,$L53)&amp;"")</f>
        <v>Commerce Asia, Inc.</v>
      </c>
      <c r="C53" s="10" t="str">
        <f aca="false">IF($L53="","",INDEX('Price List'!$C$2:$C$1352,$L53)&amp;"")</f>
        <v>Lamination Film</v>
      </c>
      <c r="D53" s="11" t="str">
        <f aca="false">IF($L53="","",INDEX('Price List'!$D$2:$D$1352,$L53)&amp;"")</f>
        <v>Tigerbond Film (for digital)</v>
      </c>
      <c r="E53" s="11" t="str">
        <f aca="false">IF($L53="","",INDEX('Price List'!$E$2:$E$1352,$L53)&amp;"")</f>
        <v>Polynex Tigerbond PT Glossy/40</v>
      </c>
      <c r="F53" s="10" t="str">
        <f aca="false">IF($L53="","",INDEX('Price List'!$F$2:$F$1352,$L53)&amp;"")</f>
        <v>23010-0457-1000-58-VT</v>
      </c>
      <c r="G53" s="10" t="str">
        <f aca="false">IF($L53="","",INDEX('Price List'!$G$2:$G$1352,$L53)&amp;"")</f>
        <v>457mm (18 in) x 1000M</v>
      </c>
      <c r="H53" s="10" t="str">
        <f aca="false">IF($L53="","",INDEX('Price List'!$H$2:$H$1352,$L53)&amp;"")</f>
        <v>roll</v>
      </c>
      <c r="I53" s="12" t="n">
        <f aca="false">IF($L53="","",IF(INDEX('Price List'!$I$2:$I$1352,$L53)="","",INDEX('Price List'!$I$2:$I$1352,$L53)))</f>
        <v>14951.72</v>
      </c>
      <c r="J53" s="11" t="str">
        <f aca="false">IF($L53="","",INDEX('Price List'!$J$2:$J$1352,$L53)&amp;"")</f>
        <v>SRP P22,316.00 less 33% discount</v>
      </c>
      <c r="K53" s="10" t="str">
        <f aca="false">IF($L53="","",INDEX('Price List'!$K$2:$K$1352,$L53)&amp;"")</f>
        <v>Jul 20, 2026</v>
      </c>
      <c r="L53" s="13" t="n">
        <f aca="false">IF(43&gt;$H$4,"",MATCH(43,'Price List'!$M$2:$M$1352,0))</f>
        <v>43</v>
      </c>
    </row>
    <row r="54" customFormat="false" ht="15" hidden="false" customHeight="false" outlineLevel="0" collapsed="false">
      <c r="A54" s="9" t="n">
        <v>44</v>
      </c>
      <c r="B54" s="10" t="str">
        <f aca="false">IF($L54="","",INDEX('Price List'!$B$2:$B$1352,$L54)&amp;"")</f>
        <v>Commerce Asia, Inc.</v>
      </c>
      <c r="C54" s="10" t="str">
        <f aca="false">IF($L54="","",INDEX('Price List'!$C$2:$C$1352,$L54)&amp;"")</f>
        <v>Lamination Film</v>
      </c>
      <c r="D54" s="11" t="str">
        <f aca="false">IF($L54="","",INDEX('Price List'!$D$2:$D$1352,$L54)&amp;"")</f>
        <v>Tigerbond Film (for digital)</v>
      </c>
      <c r="E54" s="11" t="str">
        <f aca="false">IF($L54="","",INDEX('Price List'!$E$2:$E$1352,$L54)&amp;"")</f>
        <v>Polynex Tigerbond PT Glossy/40</v>
      </c>
      <c r="F54" s="10" t="str">
        <f aca="false">IF($L54="","",INDEX('Price List'!$F$2:$F$1352,$L54)&amp;"")</f>
        <v>23010-0483-1000-58-VT</v>
      </c>
      <c r="G54" s="10" t="str">
        <f aca="false">IF($L54="","",INDEX('Price List'!$G$2:$G$1352,$L54)&amp;"")</f>
        <v>483mm (19 in) x 1000M</v>
      </c>
      <c r="H54" s="10" t="str">
        <f aca="false">IF($L54="","",INDEX('Price List'!$H$2:$H$1352,$L54)&amp;"")</f>
        <v>roll</v>
      </c>
      <c r="I54" s="12" t="n">
        <f aca="false">IF($L54="","",IF(INDEX('Price List'!$I$2:$I$1352,$L54)="","",INDEX('Price List'!$I$2:$I$1352,$L54)))</f>
        <v>15803.96</v>
      </c>
      <c r="J54" s="11" t="str">
        <f aca="false">IF($L54="","",INDEX('Price List'!$J$2:$J$1352,$L54)&amp;"")</f>
        <v>SRP P23,588.00 less 33% discount</v>
      </c>
      <c r="K54" s="10" t="str">
        <f aca="false">IF($L54="","",INDEX('Price List'!$K$2:$K$1352,$L54)&amp;"")</f>
        <v>Jul 20, 2026</v>
      </c>
      <c r="L54" s="13" t="n">
        <f aca="false">IF(44&gt;$H$4,"",MATCH(44,'Price List'!$M$2:$M$1352,0))</f>
        <v>44</v>
      </c>
    </row>
    <row r="55" customFormat="false" ht="15" hidden="false" customHeight="false" outlineLevel="0" collapsed="false">
      <c r="A55" s="9" t="n">
        <v>45</v>
      </c>
      <c r="B55" s="10" t="str">
        <f aca="false">IF($L55="","",INDEX('Price List'!$B$2:$B$1352,$L55)&amp;"")</f>
        <v>Commerce Asia, Inc.</v>
      </c>
      <c r="C55" s="10" t="str">
        <f aca="false">IF($L55="","",INDEX('Price List'!$C$2:$C$1352,$L55)&amp;"")</f>
        <v>Lamination Film</v>
      </c>
      <c r="D55" s="11" t="str">
        <f aca="false">IF($L55="","",INDEX('Price List'!$D$2:$D$1352,$L55)&amp;"")</f>
        <v>Tigerbond Film (for digital)</v>
      </c>
      <c r="E55" s="11" t="str">
        <f aca="false">IF($L55="","",INDEX('Price List'!$E$2:$E$1352,$L55)&amp;"")</f>
        <v>Polynex Tigerbond PT Matt/40</v>
      </c>
      <c r="F55" s="10" t="str">
        <f aca="false">IF($L55="","",INDEX('Price List'!$F$2:$F$1352,$L55)&amp;"")</f>
        <v>23011-0330-1000-58-VT</v>
      </c>
      <c r="G55" s="10" t="str">
        <f aca="false">IF($L55="","",INDEX('Price List'!$G$2:$G$1352,$L55)&amp;"")</f>
        <v>330mm (13 in) x 1000M</v>
      </c>
      <c r="H55" s="10" t="str">
        <f aca="false">IF($L55="","",INDEX('Price List'!$H$2:$H$1352,$L55)&amp;"")</f>
        <v>roll</v>
      </c>
      <c r="I55" s="12" t="n">
        <f aca="false">IF($L55="","",IF(INDEX('Price List'!$I$2:$I$1352,$L55)="","",INDEX('Price List'!$I$2:$I$1352,$L55)))</f>
        <v>12015.11</v>
      </c>
      <c r="J55" s="11" t="str">
        <f aca="false">IF($L55="","",INDEX('Price List'!$J$2:$J$1352,$L55)&amp;"")</f>
        <v>SRP P17,933.00 less 33% discount</v>
      </c>
      <c r="K55" s="10" t="str">
        <f aca="false">IF($L55="","",INDEX('Price List'!$K$2:$K$1352,$L55)&amp;"")</f>
        <v>Jul 20, 2026</v>
      </c>
      <c r="L55" s="13" t="n">
        <f aca="false">IF(45&gt;$H$4,"",MATCH(45,'Price List'!$M$2:$M$1352,0))</f>
        <v>45</v>
      </c>
    </row>
    <row r="56" customFormat="false" ht="15" hidden="false" customHeight="false" outlineLevel="0" collapsed="false">
      <c r="A56" s="9" t="n">
        <v>46</v>
      </c>
      <c r="B56" s="10" t="str">
        <f aca="false">IF($L56="","",INDEX('Price List'!$B$2:$B$1352,$L56)&amp;"")</f>
        <v>Commerce Asia, Inc.</v>
      </c>
      <c r="C56" s="10" t="str">
        <f aca="false">IF($L56="","",INDEX('Price List'!$C$2:$C$1352,$L56)&amp;"")</f>
        <v>Lamination Film</v>
      </c>
      <c r="D56" s="11" t="str">
        <f aca="false">IF($L56="","",INDEX('Price List'!$D$2:$D$1352,$L56)&amp;"")</f>
        <v>Tigerbond Film (for digital)</v>
      </c>
      <c r="E56" s="11" t="str">
        <f aca="false">IF($L56="","",INDEX('Price List'!$E$2:$E$1352,$L56)&amp;"")</f>
        <v>Polynex Tigerbond PT Matt/40</v>
      </c>
      <c r="F56" s="10" t="str">
        <f aca="false">IF($L56="","",INDEX('Price List'!$F$2:$F$1352,$L56)&amp;"")</f>
        <v>23011-0457-1000-58-VT</v>
      </c>
      <c r="G56" s="10" t="str">
        <f aca="false">IF($L56="","",INDEX('Price List'!$G$2:$G$1352,$L56)&amp;"")</f>
        <v>457mm (18 in) x 1000M</v>
      </c>
      <c r="H56" s="10" t="str">
        <f aca="false">IF($L56="","",INDEX('Price List'!$H$2:$H$1352,$L56)&amp;"")</f>
        <v>roll</v>
      </c>
      <c r="I56" s="12" t="n">
        <f aca="false">IF($L56="","",IF(INDEX('Price List'!$I$2:$I$1352,$L56)="","",INDEX('Price List'!$I$2:$I$1352,$L56)))</f>
        <v>16639.45</v>
      </c>
      <c r="J56" s="11" t="str">
        <f aca="false">IF($L56="","",INDEX('Price List'!$J$2:$J$1352,$L56)&amp;"")</f>
        <v>SRP P24,835.00 less 33% discount</v>
      </c>
      <c r="K56" s="10" t="str">
        <f aca="false">IF($L56="","",INDEX('Price List'!$K$2:$K$1352,$L56)&amp;"")</f>
        <v>Jul 20, 2026</v>
      </c>
      <c r="L56" s="13" t="n">
        <f aca="false">IF(46&gt;$H$4,"",MATCH(46,'Price List'!$M$2:$M$1352,0))</f>
        <v>46</v>
      </c>
    </row>
    <row r="57" customFormat="false" ht="15" hidden="false" customHeight="false" outlineLevel="0" collapsed="false">
      <c r="A57" s="9" t="n">
        <v>47</v>
      </c>
      <c r="B57" s="10" t="str">
        <f aca="false">IF($L57="","",INDEX('Price List'!$B$2:$B$1352,$L57)&amp;"")</f>
        <v>Commerce Asia, Inc.</v>
      </c>
      <c r="C57" s="10" t="str">
        <f aca="false">IF($L57="","",INDEX('Price List'!$C$2:$C$1352,$L57)&amp;"")</f>
        <v>Lamination Film</v>
      </c>
      <c r="D57" s="11" t="str">
        <f aca="false">IF($L57="","",INDEX('Price List'!$D$2:$D$1352,$L57)&amp;"")</f>
        <v>Tigerbond Film (for digital)</v>
      </c>
      <c r="E57" s="11" t="str">
        <f aca="false">IF($L57="","",INDEX('Price List'!$E$2:$E$1352,$L57)&amp;"")</f>
        <v>Polynex Tigerbond PT Matt/40</v>
      </c>
      <c r="F57" s="10" t="str">
        <f aca="false">IF($L57="","",INDEX('Price List'!$F$2:$F$1352,$L57)&amp;"")</f>
        <v>23011-0483-1000-58-VT</v>
      </c>
      <c r="G57" s="10" t="str">
        <f aca="false">IF($L57="","",INDEX('Price List'!$G$2:$G$1352,$L57)&amp;"")</f>
        <v>483mm (19 in) x 1000M</v>
      </c>
      <c r="H57" s="10" t="str">
        <f aca="false">IF($L57="","",INDEX('Price List'!$H$2:$H$1352,$L57)&amp;"")</f>
        <v>roll</v>
      </c>
      <c r="I57" s="12" t="n">
        <f aca="false">IF($L57="","",IF(INDEX('Price List'!$I$2:$I$1352,$L57)="","",INDEX('Price List'!$I$2:$I$1352,$L57)))</f>
        <v>17586.16</v>
      </c>
      <c r="J57" s="11" t="str">
        <f aca="false">IF($L57="","",INDEX('Price List'!$J$2:$J$1352,$L57)&amp;"")</f>
        <v>SRP P26,248.00 less 33% discount</v>
      </c>
      <c r="K57" s="10" t="str">
        <f aca="false">IF($L57="","",INDEX('Price List'!$K$2:$K$1352,$L57)&amp;"")</f>
        <v>Jul 20, 2026</v>
      </c>
      <c r="L57" s="13" t="n">
        <f aca="false">IF(47&gt;$H$4,"",MATCH(47,'Price List'!$M$2:$M$1352,0))</f>
        <v>47</v>
      </c>
    </row>
    <row r="58" customFormat="false" ht="15" hidden="false" customHeight="false" outlineLevel="0" collapsed="false">
      <c r="A58" s="9" t="n">
        <v>48</v>
      </c>
      <c r="B58" s="10" t="str">
        <f aca="false">IF($L58="","",INDEX('Price List'!$B$2:$B$1352,$L58)&amp;"")</f>
        <v>Commerce Asia, Inc.</v>
      </c>
      <c r="C58" s="10" t="str">
        <f aca="false">IF($L58="","",INDEX('Price List'!$C$2:$C$1352,$L58)&amp;"")</f>
        <v>Lamination Film</v>
      </c>
      <c r="D58" s="11" t="str">
        <f aca="false">IF($L58="","",INDEX('Price List'!$D$2:$D$1352,$L58)&amp;"")</f>
        <v>Thermal PET Film (offset &amp; digital)</v>
      </c>
      <c r="E58" s="11" t="str">
        <f aca="false">IF($L58="","",INDEX('Price List'!$E$2:$E$1352,$L58)&amp;"")</f>
        <v>Glossy/32-G, 58mm core</v>
      </c>
      <c r="F58" s="10" t="str">
        <f aca="false">IF($L58="","",INDEX('Price List'!$F$2:$F$1352,$L58)&amp;"")</f>
        <v>21003-0330-150-G58</v>
      </c>
      <c r="G58" s="10" t="str">
        <f aca="false">IF($L58="","",INDEX('Price List'!$G$2:$G$1352,$L58)&amp;"")</f>
        <v>330mm (13 in) x 150M</v>
      </c>
      <c r="H58" s="10" t="str">
        <f aca="false">IF($L58="","",INDEX('Price List'!$H$2:$H$1352,$L58)&amp;"")</f>
        <v>roll</v>
      </c>
      <c r="I58" s="12" t="n">
        <f aca="false">IF($L58="","",IF(INDEX('Price List'!$I$2:$I$1352,$L58)="","",INDEX('Price List'!$I$2:$I$1352,$L58)))</f>
        <v>1185</v>
      </c>
      <c r="J58" s="11" t="str">
        <f aca="false">IF($L58="","",INDEX('Price List'!$J$2:$J$1352,$L58)&amp;"")</f>
        <v>SRP P1,580.00 less 25% discount</v>
      </c>
      <c r="K58" s="10" t="str">
        <f aca="false">IF($L58="","",INDEX('Price List'!$K$2:$K$1352,$L58)&amp;"")</f>
        <v>Jul 20, 2026</v>
      </c>
      <c r="L58" s="13" t="n">
        <f aca="false">IF(48&gt;$H$4,"",MATCH(48,'Price List'!$M$2:$M$1352,0))</f>
        <v>48</v>
      </c>
    </row>
    <row r="59" customFormat="false" ht="15" hidden="false" customHeight="false" outlineLevel="0" collapsed="false">
      <c r="A59" s="9" t="n">
        <v>49</v>
      </c>
      <c r="B59" s="10" t="str">
        <f aca="false">IF($L59="","",INDEX('Price List'!$B$2:$B$1352,$L59)&amp;"")</f>
        <v>Commerce Asia, Inc.</v>
      </c>
      <c r="C59" s="10" t="str">
        <f aca="false">IF($L59="","",INDEX('Price List'!$C$2:$C$1352,$L59)&amp;"")</f>
        <v>Lamination Film</v>
      </c>
      <c r="D59" s="11" t="str">
        <f aca="false">IF($L59="","",INDEX('Price List'!$D$2:$D$1352,$L59)&amp;"")</f>
        <v>Thermal PET Film (offset &amp; digital)</v>
      </c>
      <c r="E59" s="11" t="str">
        <f aca="false">IF($L59="","",INDEX('Price List'!$E$2:$E$1352,$L59)&amp;"")</f>
        <v>Glossy/32-G, 58mm core</v>
      </c>
      <c r="F59" s="10" t="str">
        <f aca="false">IF($L59="","",INDEX('Price List'!$F$2:$F$1352,$L59)&amp;"")</f>
        <v>21003-0457-150-G58</v>
      </c>
      <c r="G59" s="10" t="str">
        <f aca="false">IF($L59="","",INDEX('Price List'!$G$2:$G$1352,$L59)&amp;"")</f>
        <v>457mm (18 in) x 150M</v>
      </c>
      <c r="H59" s="10" t="str">
        <f aca="false">IF($L59="","",INDEX('Price List'!$H$2:$H$1352,$L59)&amp;"")</f>
        <v>roll</v>
      </c>
      <c r="I59" s="12" t="n">
        <f aca="false">IF($L59="","",IF(INDEX('Price List'!$I$2:$I$1352,$L59)="","",INDEX('Price List'!$I$2:$I$1352,$L59)))</f>
        <v>1642.5</v>
      </c>
      <c r="J59" s="11" t="str">
        <f aca="false">IF($L59="","",INDEX('Price List'!$J$2:$J$1352,$L59)&amp;"")</f>
        <v>SRP P2,190.00 less 25% discount</v>
      </c>
      <c r="K59" s="10" t="str">
        <f aca="false">IF($L59="","",INDEX('Price List'!$K$2:$K$1352,$L59)&amp;"")</f>
        <v>Jul 20, 2026</v>
      </c>
      <c r="L59" s="13" t="n">
        <f aca="false">IF(49&gt;$H$4,"",MATCH(49,'Price List'!$M$2:$M$1352,0))</f>
        <v>49</v>
      </c>
    </row>
    <row r="60" customFormat="false" ht="15" hidden="false" customHeight="false" outlineLevel="0" collapsed="false">
      <c r="A60" s="9" t="n">
        <v>50</v>
      </c>
      <c r="B60" s="10" t="str">
        <f aca="false">IF($L60="","",INDEX('Price List'!$B$2:$B$1352,$L60)&amp;"")</f>
        <v>Commerce Asia, Inc.</v>
      </c>
      <c r="C60" s="10" t="str">
        <f aca="false">IF($L60="","",INDEX('Price List'!$C$2:$C$1352,$L60)&amp;"")</f>
        <v>Lamination Film</v>
      </c>
      <c r="D60" s="11" t="str">
        <f aca="false">IF($L60="","",INDEX('Price List'!$D$2:$D$1352,$L60)&amp;"")</f>
        <v>Thermal PET Film (offset &amp; digital)</v>
      </c>
      <c r="E60" s="11" t="str">
        <f aca="false">IF($L60="","",INDEX('Price List'!$E$2:$E$1352,$L60)&amp;"")</f>
        <v>Matt/32-G, 58mm core</v>
      </c>
      <c r="F60" s="10" t="str">
        <f aca="false">IF($L60="","",INDEX('Price List'!$F$2:$F$1352,$L60)&amp;"")</f>
        <v>21103-0330-150-G58</v>
      </c>
      <c r="G60" s="10" t="str">
        <f aca="false">IF($L60="","",INDEX('Price List'!$G$2:$G$1352,$L60)&amp;"")</f>
        <v>330mm (13 in) x 150M</v>
      </c>
      <c r="H60" s="10" t="str">
        <f aca="false">IF($L60="","",INDEX('Price List'!$H$2:$H$1352,$L60)&amp;"")</f>
        <v>roll</v>
      </c>
      <c r="I60" s="12" t="n">
        <f aca="false">IF($L60="","",IF(INDEX('Price List'!$I$2:$I$1352,$L60)="","",INDEX('Price List'!$I$2:$I$1352,$L60)))</f>
        <v>3195</v>
      </c>
      <c r="J60" s="11" t="str">
        <f aca="false">IF($L60="","",INDEX('Price List'!$J$2:$J$1352,$L60)&amp;"")</f>
        <v>SRP P4,260.00 less 25% discount</v>
      </c>
      <c r="K60" s="10" t="str">
        <f aca="false">IF($L60="","",INDEX('Price List'!$K$2:$K$1352,$L60)&amp;"")</f>
        <v>Jul 20, 2026</v>
      </c>
      <c r="L60" s="13" t="n">
        <f aca="false">IF(50&gt;$H$4,"",MATCH(50,'Price List'!$M$2:$M$1352,0))</f>
        <v>50</v>
      </c>
    </row>
    <row r="61" customFormat="false" ht="15" hidden="false" customHeight="false" outlineLevel="0" collapsed="false">
      <c r="A61" s="9" t="n">
        <v>51</v>
      </c>
      <c r="B61" s="10" t="str">
        <f aca="false">IF($L61="","",INDEX('Price List'!$B$2:$B$1352,$L61)&amp;"")</f>
        <v>Commerce Asia, Inc.</v>
      </c>
      <c r="C61" s="10" t="str">
        <f aca="false">IF($L61="","",INDEX('Price List'!$C$2:$C$1352,$L61)&amp;"")</f>
        <v>Lamination Film</v>
      </c>
      <c r="D61" s="11" t="str">
        <f aca="false">IF($L61="","",INDEX('Price List'!$D$2:$D$1352,$L61)&amp;"")</f>
        <v>Thermal PET Film (offset &amp; digital)</v>
      </c>
      <c r="E61" s="11" t="str">
        <f aca="false">IF($L61="","",INDEX('Price List'!$E$2:$E$1352,$L61)&amp;"")</f>
        <v>Matt/32-G, 58mm core</v>
      </c>
      <c r="F61" s="10" t="str">
        <f aca="false">IF($L61="","",INDEX('Price List'!$F$2:$F$1352,$L61)&amp;"")</f>
        <v>21103-0457-150-G58</v>
      </c>
      <c r="G61" s="10" t="str">
        <f aca="false">IF($L61="","",INDEX('Price List'!$G$2:$G$1352,$L61)&amp;"")</f>
        <v>457mm (18 in) x 150M</v>
      </c>
      <c r="H61" s="10" t="str">
        <f aca="false">IF($L61="","",INDEX('Price List'!$H$2:$H$1352,$L61)&amp;"")</f>
        <v>roll</v>
      </c>
      <c r="I61" s="12" t="n">
        <f aca="false">IF($L61="","",IF(INDEX('Price List'!$I$2:$I$1352,$L61)="","",INDEX('Price List'!$I$2:$I$1352,$L61)))</f>
        <v>4425</v>
      </c>
      <c r="J61" s="11" t="str">
        <f aca="false">IF($L61="","",INDEX('Price List'!$J$2:$J$1352,$L61)&amp;"")</f>
        <v>SRP P5,900.00 less 25% discount</v>
      </c>
      <c r="K61" s="10" t="str">
        <f aca="false">IF($L61="","",INDEX('Price List'!$K$2:$K$1352,$L61)&amp;"")</f>
        <v>Jul 20, 2026</v>
      </c>
      <c r="L61" s="13" t="n">
        <f aca="false">IF(51&gt;$H$4,"",MATCH(51,'Price List'!$M$2:$M$1352,0))</f>
        <v>51</v>
      </c>
    </row>
    <row r="62" customFormat="false" ht="15" hidden="false" customHeight="false" outlineLevel="0" collapsed="false">
      <c r="A62" s="9" t="n">
        <v>52</v>
      </c>
      <c r="B62" s="10" t="str">
        <f aca="false">IF($L62="","",INDEX('Price List'!$B$2:$B$1352,$L62)&amp;"")</f>
        <v>Crosspoint Paper (Silang, Cavite)</v>
      </c>
      <c r="C62" s="10" t="str">
        <f aca="false">IF($L62="","",INDEX('Price List'!$C$2:$C$1352,$L62)&amp;"")</f>
        <v>Newsprint</v>
      </c>
      <c r="D62" s="11" t="str">
        <f aca="false">IF($L62="","",INDEX('Price List'!$D$2:$D$1352,$L62)&amp;"")</f>
        <v>Newsprint</v>
      </c>
      <c r="E62" s="11" t="str">
        <f aca="false">IF($L62="","",INDEX('Price List'!$E$2:$E$1352,$L62)&amp;"")</f>
        <v/>
      </c>
      <c r="F62" s="10" t="str">
        <f aca="false">IF($L62="","",INDEX('Price List'!$F$2:$F$1352,$L62)&amp;"")</f>
        <v>52 gsm</v>
      </c>
      <c r="G62" s="10" t="str">
        <f aca="false">IF($L62="","",INDEX('Price List'!$G$2:$G$1352,$L62)&amp;"")</f>
        <v>24 x 36</v>
      </c>
      <c r="H62" s="10" t="str">
        <f aca="false">IF($L62="","",INDEX('Price List'!$H$2:$H$1352,$L62)&amp;"")</f>
        <v>ream</v>
      </c>
      <c r="I62" s="12" t="n">
        <f aca="false">IF($L62="","",IF(INDEX('Price List'!$I$2:$I$1352,$L62)="","",INDEX('Price List'!$I$2:$I$1352,$L62)))</f>
        <v>730</v>
      </c>
      <c r="J62" s="11" t="str">
        <f aca="false">IF($L62="","",INDEX('Price List'!$J$2:$J$1352,$L62)&amp;"")</f>
        <v/>
      </c>
      <c r="K62" s="10" t="str">
        <f aca="false">IF($L62="","",INDEX('Price List'!$K$2:$K$1352,$L62)&amp;"")</f>
        <v>2025</v>
      </c>
      <c r="L62" s="13" t="n">
        <f aca="false">IF(52&gt;$H$4,"",MATCH(52,'Price List'!$M$2:$M$1352,0))</f>
        <v>52</v>
      </c>
    </row>
    <row r="63" customFormat="false" ht="15" hidden="false" customHeight="false" outlineLevel="0" collapsed="false">
      <c r="A63" s="9" t="n">
        <v>53</v>
      </c>
      <c r="B63" s="10" t="str">
        <f aca="false">IF($L63="","",INDEX('Price List'!$B$2:$B$1352,$L63)&amp;"")</f>
        <v>Crosspoint Paper (Silang, Cavite)</v>
      </c>
      <c r="C63" s="10" t="str">
        <f aca="false">IF($L63="","",INDEX('Price List'!$C$2:$C$1352,$L63)&amp;"")</f>
        <v>Newsprint</v>
      </c>
      <c r="D63" s="11" t="str">
        <f aca="false">IF($L63="","",INDEX('Price List'!$D$2:$D$1352,$L63)&amp;"")</f>
        <v>Newsprint</v>
      </c>
      <c r="E63" s="11" t="str">
        <f aca="false">IF($L63="","",INDEX('Price List'!$E$2:$E$1352,$L63)&amp;"")</f>
        <v/>
      </c>
      <c r="F63" s="10" t="str">
        <f aca="false">IF($L63="","",INDEX('Price List'!$F$2:$F$1352,$L63)&amp;"")</f>
        <v>52 gsm</v>
      </c>
      <c r="G63" s="10" t="str">
        <f aca="false">IF($L63="","",INDEX('Price List'!$G$2:$G$1352,$L63)&amp;"")</f>
        <v>34 x 28</v>
      </c>
      <c r="H63" s="10" t="str">
        <f aca="false">IF($L63="","",INDEX('Price List'!$H$2:$H$1352,$L63)&amp;"")</f>
        <v>ream</v>
      </c>
      <c r="I63" s="12" t="n">
        <f aca="false">IF($L63="","",IF(INDEX('Price List'!$I$2:$I$1352,$L63)="","",INDEX('Price List'!$I$2:$I$1352,$L63)))</f>
        <v>804.35</v>
      </c>
      <c r="J63" s="11" t="str">
        <f aca="false">IF($L63="","",INDEX('Price List'!$J$2:$J$1352,$L63)&amp;"")</f>
        <v/>
      </c>
      <c r="K63" s="10" t="str">
        <f aca="false">IF($L63="","",INDEX('Price List'!$K$2:$K$1352,$L63)&amp;"")</f>
        <v>2025</v>
      </c>
      <c r="L63" s="13" t="n">
        <f aca="false">IF(53&gt;$H$4,"",MATCH(53,'Price List'!$M$2:$M$1352,0))</f>
        <v>53</v>
      </c>
    </row>
    <row r="64" customFormat="false" ht="15" hidden="false" customHeight="false" outlineLevel="0" collapsed="false">
      <c r="A64" s="9" t="n">
        <v>54</v>
      </c>
      <c r="B64" s="10" t="str">
        <f aca="false">IF($L64="","",INDEX('Price List'!$B$2:$B$1352,$L64)&amp;"")</f>
        <v>Crosspoint Paper (Silang, Cavite)</v>
      </c>
      <c r="C64" s="10" t="str">
        <f aca="false">IF($L64="","",INDEX('Price List'!$C$2:$C$1352,$L64)&amp;"")</f>
        <v>Newsprint</v>
      </c>
      <c r="D64" s="11" t="str">
        <f aca="false">IF($L64="","",INDEX('Price List'!$D$2:$D$1352,$L64)&amp;"")</f>
        <v>Newsprint</v>
      </c>
      <c r="E64" s="11" t="str">
        <f aca="false">IF($L64="","",INDEX('Price List'!$E$2:$E$1352,$L64)&amp;"")</f>
        <v/>
      </c>
      <c r="F64" s="10" t="str">
        <f aca="false">IF($L64="","",INDEX('Price List'!$F$2:$F$1352,$L64)&amp;"")</f>
        <v>52 gsm</v>
      </c>
      <c r="G64" s="10" t="str">
        <f aca="false">IF($L64="","",INDEX('Price List'!$G$2:$G$1352,$L64)&amp;"")</f>
        <v>34 x 22</v>
      </c>
      <c r="H64" s="10" t="str">
        <f aca="false">IF($L64="","",INDEX('Price List'!$H$2:$H$1352,$L64)&amp;"")</f>
        <v>ream</v>
      </c>
      <c r="I64" s="12" t="n">
        <f aca="false">IF($L64="","",IF(INDEX('Price List'!$I$2:$I$1352,$L64)="","",INDEX('Price List'!$I$2:$I$1352,$L64)))</f>
        <v>632</v>
      </c>
      <c r="J64" s="11" t="str">
        <f aca="false">IF($L64="","",INDEX('Price List'!$J$2:$J$1352,$L64)&amp;"")</f>
        <v/>
      </c>
      <c r="K64" s="10" t="str">
        <f aca="false">IF($L64="","",INDEX('Price List'!$K$2:$K$1352,$L64)&amp;"")</f>
        <v>2025</v>
      </c>
      <c r="L64" s="13" t="n">
        <f aca="false">IF(54&gt;$H$4,"",MATCH(54,'Price List'!$M$2:$M$1352,0))</f>
        <v>54</v>
      </c>
    </row>
    <row r="65" customFormat="false" ht="15" hidden="false" customHeight="false" outlineLevel="0" collapsed="false">
      <c r="A65" s="9" t="n">
        <v>55</v>
      </c>
      <c r="B65" s="10" t="str">
        <f aca="false">IF($L65="","",INDEX('Price List'!$B$2:$B$1352,$L65)&amp;"")</f>
        <v>Crosspoint Paper (Silang, Cavite)</v>
      </c>
      <c r="C65" s="10" t="str">
        <f aca="false">IF($L65="","",INDEX('Price List'!$C$2:$C$1352,$L65)&amp;"")</f>
        <v>Newsprint</v>
      </c>
      <c r="D65" s="11" t="str">
        <f aca="false">IF($L65="","",INDEX('Price List'!$D$2:$D$1352,$L65)&amp;"")</f>
        <v>Newsprint</v>
      </c>
      <c r="E65" s="11" t="str">
        <f aca="false">IF($L65="","",INDEX('Price List'!$E$2:$E$1352,$L65)&amp;"")</f>
        <v/>
      </c>
      <c r="F65" s="10" t="str">
        <f aca="false">IF($L65="","",INDEX('Price List'!$F$2:$F$1352,$L65)&amp;"")</f>
        <v>48.8 gsm</v>
      </c>
      <c r="G65" s="10" t="str">
        <f aca="false">IF($L65="","",INDEX('Price List'!$G$2:$G$1352,$L65)&amp;"")</f>
        <v>24 x 36</v>
      </c>
      <c r="H65" s="10" t="str">
        <f aca="false">IF($L65="","",INDEX('Price List'!$H$2:$H$1352,$L65)&amp;"")</f>
        <v>ream</v>
      </c>
      <c r="I65" s="12" t="n">
        <f aca="false">IF($L65="","",IF(INDEX('Price List'!$I$2:$I$1352,$L65)="","",INDEX('Price List'!$I$2:$I$1352,$L65)))</f>
        <v>698.83</v>
      </c>
      <c r="J65" s="11" t="str">
        <f aca="false">IF($L65="","",INDEX('Price List'!$J$2:$J$1352,$L65)&amp;"")</f>
        <v/>
      </c>
      <c r="K65" s="10" t="str">
        <f aca="false">IF($L65="","",INDEX('Price List'!$K$2:$K$1352,$L65)&amp;"")</f>
        <v>2025</v>
      </c>
      <c r="L65" s="13" t="n">
        <f aca="false">IF(55&gt;$H$4,"",MATCH(55,'Price List'!$M$2:$M$1352,0))</f>
        <v>55</v>
      </c>
    </row>
    <row r="66" customFormat="false" ht="15" hidden="false" customHeight="false" outlineLevel="0" collapsed="false">
      <c r="A66" s="9" t="n">
        <v>56</v>
      </c>
      <c r="B66" s="10" t="str">
        <f aca="false">IF($L66="","",INDEX('Price List'!$B$2:$B$1352,$L66)&amp;"")</f>
        <v>Crosspoint Paper (Silang, Cavite)</v>
      </c>
      <c r="C66" s="10" t="str">
        <f aca="false">IF($L66="","",INDEX('Price List'!$C$2:$C$1352,$L66)&amp;"")</f>
        <v>Newsprint</v>
      </c>
      <c r="D66" s="11" t="str">
        <f aca="false">IF($L66="","",INDEX('Price List'!$D$2:$D$1352,$L66)&amp;"")</f>
        <v>Newsprint</v>
      </c>
      <c r="E66" s="11" t="str">
        <f aca="false">IF($L66="","",INDEX('Price List'!$E$2:$E$1352,$L66)&amp;"")</f>
        <v/>
      </c>
      <c r="F66" s="10" t="str">
        <f aca="false">IF($L66="","",INDEX('Price List'!$F$2:$F$1352,$L66)&amp;"")</f>
        <v>48.8 gsm</v>
      </c>
      <c r="G66" s="10" t="str">
        <f aca="false">IF($L66="","",INDEX('Price List'!$G$2:$G$1352,$L66)&amp;"")</f>
        <v>34 x 28</v>
      </c>
      <c r="H66" s="10" t="str">
        <f aca="false">IF($L66="","",INDEX('Price List'!$H$2:$H$1352,$L66)&amp;"")</f>
        <v>ream</v>
      </c>
      <c r="I66" s="12" t="n">
        <f aca="false">IF($L66="","",IF(INDEX('Price List'!$I$2:$I$1352,$L66)="","",INDEX('Price List'!$I$2:$I$1352,$L66)))</f>
        <v>770</v>
      </c>
      <c r="J66" s="11" t="str">
        <f aca="false">IF($L66="","",INDEX('Price List'!$J$2:$J$1352,$L66)&amp;"")</f>
        <v/>
      </c>
      <c r="K66" s="10" t="str">
        <f aca="false">IF($L66="","",INDEX('Price List'!$K$2:$K$1352,$L66)&amp;"")</f>
        <v>2025</v>
      </c>
      <c r="L66" s="13" t="n">
        <f aca="false">IF(56&gt;$H$4,"",MATCH(56,'Price List'!$M$2:$M$1352,0))</f>
        <v>56</v>
      </c>
    </row>
    <row r="67" customFormat="false" ht="15" hidden="false" customHeight="false" outlineLevel="0" collapsed="false">
      <c r="A67" s="9" t="n">
        <v>57</v>
      </c>
      <c r="B67" s="10" t="str">
        <f aca="false">IF($L67="","",INDEX('Price List'!$B$2:$B$1352,$L67)&amp;"")</f>
        <v>Crosspoint Paper (Silang, Cavite)</v>
      </c>
      <c r="C67" s="10" t="str">
        <f aca="false">IF($L67="","",INDEX('Price List'!$C$2:$C$1352,$L67)&amp;"")</f>
        <v>Newsprint</v>
      </c>
      <c r="D67" s="11" t="str">
        <f aca="false">IF($L67="","",INDEX('Price List'!$D$2:$D$1352,$L67)&amp;"")</f>
        <v>Newsprint</v>
      </c>
      <c r="E67" s="11" t="str">
        <f aca="false">IF($L67="","",INDEX('Price List'!$E$2:$E$1352,$L67)&amp;"")</f>
        <v/>
      </c>
      <c r="F67" s="10" t="str">
        <f aca="false">IF($L67="","",INDEX('Price List'!$F$2:$F$1352,$L67)&amp;"")</f>
        <v>48.8 gsm</v>
      </c>
      <c r="G67" s="10" t="str">
        <f aca="false">IF($L67="","",INDEX('Price List'!$G$2:$G$1352,$L67)&amp;"")</f>
        <v>34 x 22</v>
      </c>
      <c r="H67" s="10" t="str">
        <f aca="false">IF($L67="","",INDEX('Price List'!$H$2:$H$1352,$L67)&amp;"")</f>
        <v>ream</v>
      </c>
      <c r="I67" s="12" t="n">
        <f aca="false">IF($L67="","",IF(INDEX('Price List'!$I$2:$I$1352,$L67)="","",INDEX('Price List'!$I$2:$I$1352,$L67)))</f>
        <v>605</v>
      </c>
      <c r="J67" s="11" t="str">
        <f aca="false">IF($L67="","",INDEX('Price List'!$J$2:$J$1352,$L67)&amp;"")</f>
        <v/>
      </c>
      <c r="K67" s="10" t="str">
        <f aca="false">IF($L67="","",INDEX('Price List'!$K$2:$K$1352,$L67)&amp;"")</f>
        <v>2025</v>
      </c>
      <c r="L67" s="13" t="n">
        <f aca="false">IF(57&gt;$H$4,"",MATCH(57,'Price List'!$M$2:$M$1352,0))</f>
        <v>57</v>
      </c>
    </row>
    <row r="68" customFormat="false" ht="15" hidden="false" customHeight="false" outlineLevel="0" collapsed="false">
      <c r="A68" s="9" t="n">
        <v>58</v>
      </c>
      <c r="B68" s="10" t="str">
        <f aca="false">IF($L68="","",INDEX('Price List'!$B$2:$B$1352,$L68)&amp;"")</f>
        <v>Crosspoint Paper (Silang, Cavite)</v>
      </c>
      <c r="C68" s="10" t="str">
        <f aca="false">IF($L68="","",INDEX('Price List'!$C$2:$C$1352,$L68)&amp;"")</f>
        <v>Book Paper</v>
      </c>
      <c r="D68" s="11" t="str">
        <f aca="false">IF($L68="","",INDEX('Price List'!$D$2:$D$1352,$L68)&amp;"")</f>
        <v>Book 40#</v>
      </c>
      <c r="E68" s="11" t="str">
        <f aca="false">IF($L68="","",INDEX('Price List'!$E$2:$E$1352,$L68)&amp;"")</f>
        <v>Ream weight 32 lbs</v>
      </c>
      <c r="F68" s="10" t="str">
        <f aca="false">IF($L68="","",INDEX('Price List'!$F$2:$F$1352,$L68)&amp;"")</f>
        <v>sub 18 / 60 gsm</v>
      </c>
      <c r="G68" s="10" t="str">
        <f aca="false">IF($L68="","",INDEX('Price List'!$G$2:$G$1352,$L68)&amp;"")</f>
        <v>22 x 34</v>
      </c>
      <c r="H68" s="10" t="str">
        <f aca="false">IF($L68="","",INDEX('Price List'!$H$2:$H$1352,$L68)&amp;"")</f>
        <v>ream</v>
      </c>
      <c r="I68" s="12" t="n">
        <f aca="false">IF($L68="","",IF(INDEX('Price List'!$I$2:$I$1352,$L68)="","",INDEX('Price List'!$I$2:$I$1352,$L68)))</f>
        <v>880</v>
      </c>
      <c r="J68" s="11" t="str">
        <f aca="false">IF($L68="","",INDEX('Price List'!$J$2:$J$1352,$L68)&amp;"")</f>
        <v/>
      </c>
      <c r="K68" s="10" t="str">
        <f aca="false">IF($L68="","",INDEX('Price List'!$K$2:$K$1352,$L68)&amp;"")</f>
        <v>2025</v>
      </c>
      <c r="L68" s="13" t="n">
        <f aca="false">IF(58&gt;$H$4,"",MATCH(58,'Price List'!$M$2:$M$1352,0))</f>
        <v>58</v>
      </c>
    </row>
    <row r="69" customFormat="false" ht="15" hidden="false" customHeight="false" outlineLevel="0" collapsed="false">
      <c r="A69" s="9" t="n">
        <v>59</v>
      </c>
      <c r="B69" s="10" t="str">
        <f aca="false">IF($L69="","",INDEX('Price List'!$B$2:$B$1352,$L69)&amp;"")</f>
        <v>Crosspoint Paper (Silang, Cavite)</v>
      </c>
      <c r="C69" s="10" t="str">
        <f aca="false">IF($L69="","",INDEX('Price List'!$C$2:$C$1352,$L69)&amp;"")</f>
        <v>Book Paper</v>
      </c>
      <c r="D69" s="11" t="str">
        <f aca="false">IF($L69="","",INDEX('Price List'!$D$2:$D$1352,$L69)&amp;"")</f>
        <v>Book 40#</v>
      </c>
      <c r="E69" s="11" t="str">
        <f aca="false">IF($L69="","",INDEX('Price List'!$E$2:$E$1352,$L69)&amp;"")</f>
        <v>Ream weight 32 lbs</v>
      </c>
      <c r="F69" s="10" t="str">
        <f aca="false">IF($L69="","",INDEX('Price List'!$F$2:$F$1352,$L69)&amp;"")</f>
        <v>sub 18 / 60 gsm</v>
      </c>
      <c r="G69" s="10" t="str">
        <f aca="false">IF($L69="","",INDEX('Price List'!$G$2:$G$1352,$L69)&amp;"")</f>
        <v>34 x 22</v>
      </c>
      <c r="H69" s="10" t="str">
        <f aca="false">IF($L69="","",INDEX('Price List'!$H$2:$H$1352,$L69)&amp;"")</f>
        <v>ream</v>
      </c>
      <c r="I69" s="12" t="n">
        <f aca="false">IF($L69="","",IF(INDEX('Price List'!$I$2:$I$1352,$L69)="","",INDEX('Price List'!$I$2:$I$1352,$L69)))</f>
        <v>880</v>
      </c>
      <c r="J69" s="11" t="str">
        <f aca="false">IF($L69="","",INDEX('Price List'!$J$2:$J$1352,$L69)&amp;"")</f>
        <v/>
      </c>
      <c r="K69" s="10" t="str">
        <f aca="false">IF($L69="","",INDEX('Price List'!$K$2:$K$1352,$L69)&amp;"")</f>
        <v>2025</v>
      </c>
      <c r="L69" s="13" t="n">
        <f aca="false">IF(59&gt;$H$4,"",MATCH(59,'Price List'!$M$2:$M$1352,0))</f>
        <v>59</v>
      </c>
    </row>
    <row r="70" customFormat="false" ht="15" hidden="false" customHeight="false" outlineLevel="0" collapsed="false">
      <c r="A70" s="9" t="n">
        <v>60</v>
      </c>
      <c r="B70" s="10" t="str">
        <f aca="false">IF($L70="","",INDEX('Price List'!$B$2:$B$1352,$L70)&amp;"")</f>
        <v>Crosspoint Paper (Silang, Cavite)</v>
      </c>
      <c r="C70" s="10" t="str">
        <f aca="false">IF($L70="","",INDEX('Price List'!$C$2:$C$1352,$L70)&amp;"")</f>
        <v>Book Paper</v>
      </c>
      <c r="D70" s="11" t="str">
        <f aca="false">IF($L70="","",INDEX('Price List'!$D$2:$D$1352,$L70)&amp;"")</f>
        <v>Book 40#</v>
      </c>
      <c r="E70" s="11" t="str">
        <f aca="false">IF($L70="","",INDEX('Price List'!$E$2:$E$1352,$L70)&amp;"")</f>
        <v>Ream weight 41 lbs</v>
      </c>
      <c r="F70" s="10" t="str">
        <f aca="false">IF($L70="","",INDEX('Price List'!$F$2:$F$1352,$L70)&amp;"")</f>
        <v>sub 18 / 60 gsm</v>
      </c>
      <c r="G70" s="10" t="str">
        <f aca="false">IF($L70="","",INDEX('Price List'!$G$2:$G$1352,$L70)&amp;"")</f>
        <v>34 x 28</v>
      </c>
      <c r="H70" s="10" t="str">
        <f aca="false">IF($L70="","",INDEX('Price List'!$H$2:$H$1352,$L70)&amp;"")</f>
        <v>ream</v>
      </c>
      <c r="I70" s="12" t="n">
        <f aca="false">IF($L70="","",IF(INDEX('Price List'!$I$2:$I$1352,$L70)="","",INDEX('Price List'!$I$2:$I$1352,$L70)))</f>
        <v>1127.5</v>
      </c>
      <c r="J70" s="11" t="str">
        <f aca="false">IF($L70="","",INDEX('Price List'!$J$2:$J$1352,$L70)&amp;"")</f>
        <v/>
      </c>
      <c r="K70" s="10" t="str">
        <f aca="false">IF($L70="","",INDEX('Price List'!$K$2:$K$1352,$L70)&amp;"")</f>
        <v>2025</v>
      </c>
      <c r="L70" s="13" t="n">
        <f aca="false">IF(60&gt;$H$4,"",MATCH(60,'Price List'!$M$2:$M$1352,0))</f>
        <v>60</v>
      </c>
    </row>
    <row r="71" customFormat="false" ht="15" hidden="false" customHeight="false" outlineLevel="0" collapsed="false">
      <c r="A71" s="9" t="n">
        <v>61</v>
      </c>
      <c r="B71" s="10" t="str">
        <f aca="false">IF($L71="","",INDEX('Price List'!$B$2:$B$1352,$L71)&amp;"")</f>
        <v>Crosspoint Paper (Silang, Cavite)</v>
      </c>
      <c r="C71" s="10" t="str">
        <f aca="false">IF($L71="","",INDEX('Price List'!$C$2:$C$1352,$L71)&amp;"")</f>
        <v>Book Paper</v>
      </c>
      <c r="D71" s="11" t="str">
        <f aca="false">IF($L71="","",INDEX('Price List'!$D$2:$D$1352,$L71)&amp;"")</f>
        <v>Book 40#</v>
      </c>
      <c r="E71" s="11" t="str">
        <f aca="false">IF($L71="","",INDEX('Price List'!$E$2:$E$1352,$L71)&amp;"")</f>
        <v>Ream weight 40 lbs</v>
      </c>
      <c r="F71" s="10" t="str">
        <f aca="false">IF($L71="","",INDEX('Price List'!$F$2:$F$1352,$L71)&amp;"")</f>
        <v>sub 18 / 60 gsm</v>
      </c>
      <c r="G71" s="10" t="str">
        <f aca="false">IF($L71="","",INDEX('Price List'!$G$2:$G$1352,$L71)&amp;"")</f>
        <v>25 x 38</v>
      </c>
      <c r="H71" s="10" t="str">
        <f aca="false">IF($L71="","",INDEX('Price List'!$H$2:$H$1352,$L71)&amp;"")</f>
        <v>ream</v>
      </c>
      <c r="I71" s="12" t="n">
        <f aca="false">IF($L71="","",IF(INDEX('Price List'!$I$2:$I$1352,$L71)="","",INDEX('Price List'!$I$2:$I$1352,$L71)))</f>
        <v>1100</v>
      </c>
      <c r="J71" s="11" t="str">
        <f aca="false">IF($L71="","",INDEX('Price List'!$J$2:$J$1352,$L71)&amp;"")</f>
        <v/>
      </c>
      <c r="K71" s="10" t="str">
        <f aca="false">IF($L71="","",INDEX('Price List'!$K$2:$K$1352,$L71)&amp;"")</f>
        <v>2025</v>
      </c>
      <c r="L71" s="13" t="n">
        <f aca="false">IF(61&gt;$H$4,"",MATCH(61,'Price List'!$M$2:$M$1352,0))</f>
        <v>61</v>
      </c>
    </row>
    <row r="72" customFormat="false" ht="15" hidden="false" customHeight="false" outlineLevel="0" collapsed="false">
      <c r="A72" s="9" t="n">
        <v>62</v>
      </c>
      <c r="B72" s="10" t="str">
        <f aca="false">IF($L72="","",INDEX('Price List'!$B$2:$B$1352,$L72)&amp;"")</f>
        <v>Crosspoint Paper (Silang, Cavite)</v>
      </c>
      <c r="C72" s="10" t="str">
        <f aca="false">IF($L72="","",INDEX('Price List'!$C$2:$C$1352,$L72)&amp;"")</f>
        <v>Book Paper</v>
      </c>
      <c r="D72" s="11" t="str">
        <f aca="false">IF($L72="","",INDEX('Price List'!$D$2:$D$1352,$L72)&amp;"")</f>
        <v>Book 40#</v>
      </c>
      <c r="E72" s="11" t="str">
        <f aca="false">IF($L72="","",INDEX('Price List'!$E$2:$E$1352,$L72)&amp;"")</f>
        <v>Ream weight 40 lbs</v>
      </c>
      <c r="F72" s="10" t="str">
        <f aca="false">IF($L72="","",INDEX('Price List'!$F$2:$F$1352,$L72)&amp;"")</f>
        <v>sub 18 / 60 gsm</v>
      </c>
      <c r="G72" s="10" t="str">
        <f aca="false">IF($L72="","",INDEX('Price List'!$G$2:$G$1352,$L72)&amp;"")</f>
        <v>38 x 25</v>
      </c>
      <c r="H72" s="10" t="str">
        <f aca="false">IF($L72="","",INDEX('Price List'!$H$2:$H$1352,$L72)&amp;"")</f>
        <v>ream</v>
      </c>
      <c r="I72" s="12" t="n">
        <f aca="false">IF($L72="","",IF(INDEX('Price List'!$I$2:$I$1352,$L72)="","",INDEX('Price List'!$I$2:$I$1352,$L72)))</f>
        <v>1100</v>
      </c>
      <c r="J72" s="11" t="str">
        <f aca="false">IF($L72="","",INDEX('Price List'!$J$2:$J$1352,$L72)&amp;"")</f>
        <v/>
      </c>
      <c r="K72" s="10" t="str">
        <f aca="false">IF($L72="","",INDEX('Price List'!$K$2:$K$1352,$L72)&amp;"")</f>
        <v>2025</v>
      </c>
      <c r="L72" s="13" t="n">
        <f aca="false">IF(62&gt;$H$4,"",MATCH(62,'Price List'!$M$2:$M$1352,0))</f>
        <v>62</v>
      </c>
    </row>
    <row r="73" customFormat="false" ht="15" hidden="false" customHeight="false" outlineLevel="0" collapsed="false">
      <c r="A73" s="9" t="n">
        <v>63</v>
      </c>
      <c r="B73" s="10" t="str">
        <f aca="false">IF($L73="","",INDEX('Price List'!$B$2:$B$1352,$L73)&amp;"")</f>
        <v>Crosspoint Paper (Silang, Cavite)</v>
      </c>
      <c r="C73" s="10" t="str">
        <f aca="false">IF($L73="","",INDEX('Price List'!$C$2:$C$1352,$L73)&amp;"")</f>
        <v>Book Paper</v>
      </c>
      <c r="D73" s="11" t="str">
        <f aca="false">IF($L73="","",INDEX('Price List'!$D$2:$D$1352,$L73)&amp;"")</f>
        <v>Book 40#</v>
      </c>
      <c r="E73" s="11" t="str">
        <f aca="false">IF($L73="","",INDEX('Price List'!$E$2:$E$1352,$L73)&amp;"")</f>
        <v>Ream weight 40 lbs</v>
      </c>
      <c r="F73" s="10" t="str">
        <f aca="false">IF($L73="","",INDEX('Price List'!$F$2:$F$1352,$L73)&amp;"")</f>
        <v>sub 18 / 60 gsm</v>
      </c>
      <c r="G73" s="10" t="str">
        <f aca="false">IF($L73="","",INDEX('Price List'!$G$2:$G$1352,$L73)&amp;"")</f>
        <v>25 x 34</v>
      </c>
      <c r="H73" s="10" t="str">
        <f aca="false">IF($L73="","",INDEX('Price List'!$H$2:$H$1352,$L73)&amp;"")</f>
        <v>ream</v>
      </c>
      <c r="I73" s="12" t="n">
        <f aca="false">IF($L73="","",IF(INDEX('Price List'!$I$2:$I$1352,$L73)="","",INDEX('Price List'!$I$2:$I$1352,$L73)))</f>
        <v>984.21</v>
      </c>
      <c r="J73" s="11" t="str">
        <f aca="false">IF($L73="","",INDEX('Price List'!$J$2:$J$1352,$L73)&amp;"")</f>
        <v/>
      </c>
      <c r="K73" s="10" t="str">
        <f aca="false">IF($L73="","",INDEX('Price List'!$K$2:$K$1352,$L73)&amp;"")</f>
        <v>2025</v>
      </c>
      <c r="L73" s="13" t="n">
        <f aca="false">IF(63&gt;$H$4,"",MATCH(63,'Price List'!$M$2:$M$1352,0))</f>
        <v>63</v>
      </c>
    </row>
    <row r="74" customFormat="false" ht="15" hidden="false" customHeight="false" outlineLevel="0" collapsed="false">
      <c r="A74" s="9" t="n">
        <v>64</v>
      </c>
      <c r="B74" s="10" t="str">
        <f aca="false">IF($L74="","",INDEX('Price List'!$B$2:$B$1352,$L74)&amp;"")</f>
        <v>Crosspoint Paper (Silang, Cavite)</v>
      </c>
      <c r="C74" s="10" t="str">
        <f aca="false">IF($L74="","",INDEX('Price List'!$C$2:$C$1352,$L74)&amp;"")</f>
        <v>Book Paper</v>
      </c>
      <c r="D74" s="11" t="str">
        <f aca="false">IF($L74="","",INDEX('Price List'!$D$2:$D$1352,$L74)&amp;"")</f>
        <v>Book 50#</v>
      </c>
      <c r="E74" s="11" t="str">
        <f aca="false">IF($L74="","",INDEX('Price List'!$E$2:$E$1352,$L74)&amp;"")</f>
        <v>Ream weight 40 lbs</v>
      </c>
      <c r="F74" s="10" t="str">
        <f aca="false">IF($L74="","",INDEX('Price List'!$F$2:$F$1352,$L74)&amp;"")</f>
        <v>sub 20 / 70 gsm</v>
      </c>
      <c r="G74" s="10" t="str">
        <f aca="false">IF($L74="","",INDEX('Price List'!$G$2:$G$1352,$L74)&amp;"")</f>
        <v>34 x 22</v>
      </c>
      <c r="H74" s="10" t="str">
        <f aca="false">IF($L74="","",INDEX('Price List'!$H$2:$H$1352,$L74)&amp;"")</f>
        <v>ream</v>
      </c>
      <c r="I74" s="12" t="n">
        <f aca="false">IF($L74="","",IF(INDEX('Price List'!$I$2:$I$1352,$L74)="","",INDEX('Price List'!$I$2:$I$1352,$L74)))</f>
        <v>1040</v>
      </c>
      <c r="J74" s="11" t="str">
        <f aca="false">IF($L74="","",INDEX('Price List'!$J$2:$J$1352,$L74)&amp;"")</f>
        <v/>
      </c>
      <c r="K74" s="10" t="str">
        <f aca="false">IF($L74="","",INDEX('Price List'!$K$2:$K$1352,$L74)&amp;"")</f>
        <v>2025</v>
      </c>
      <c r="L74" s="13" t="n">
        <f aca="false">IF(64&gt;$H$4,"",MATCH(64,'Price List'!$M$2:$M$1352,0))</f>
        <v>64</v>
      </c>
    </row>
    <row r="75" customFormat="false" ht="15" hidden="false" customHeight="false" outlineLevel="0" collapsed="false">
      <c r="A75" s="9" t="n">
        <v>65</v>
      </c>
      <c r="B75" s="10" t="str">
        <f aca="false">IF($L75="","",INDEX('Price List'!$B$2:$B$1352,$L75)&amp;"")</f>
        <v>Crosspoint Paper (Silang, Cavite)</v>
      </c>
      <c r="C75" s="10" t="str">
        <f aca="false">IF($L75="","",INDEX('Price List'!$C$2:$C$1352,$L75)&amp;"")</f>
        <v>Book Paper</v>
      </c>
      <c r="D75" s="11" t="str">
        <f aca="false">IF($L75="","",INDEX('Price List'!$D$2:$D$1352,$L75)&amp;"")</f>
        <v>Book 50#</v>
      </c>
      <c r="E75" s="11" t="str">
        <f aca="false">IF($L75="","",INDEX('Price List'!$E$2:$E$1352,$L75)&amp;"")</f>
        <v>Ream weight 40 lbs</v>
      </c>
      <c r="F75" s="10" t="str">
        <f aca="false">IF($L75="","",INDEX('Price List'!$F$2:$F$1352,$L75)&amp;"")</f>
        <v>sub 20 / 70 gsm</v>
      </c>
      <c r="G75" s="10" t="str">
        <f aca="false">IF($L75="","",INDEX('Price List'!$G$2:$G$1352,$L75)&amp;"")</f>
        <v>22 x 34</v>
      </c>
      <c r="H75" s="10" t="str">
        <f aca="false">IF($L75="","",INDEX('Price List'!$H$2:$H$1352,$L75)&amp;"")</f>
        <v>ream</v>
      </c>
      <c r="I75" s="12" t="n">
        <f aca="false">IF($L75="","",IF(INDEX('Price List'!$I$2:$I$1352,$L75)="","",INDEX('Price List'!$I$2:$I$1352,$L75)))</f>
        <v>1040</v>
      </c>
      <c r="J75" s="11" t="str">
        <f aca="false">IF($L75="","",INDEX('Price List'!$J$2:$J$1352,$L75)&amp;"")</f>
        <v/>
      </c>
      <c r="K75" s="10" t="str">
        <f aca="false">IF($L75="","",INDEX('Price List'!$K$2:$K$1352,$L75)&amp;"")</f>
        <v>2025</v>
      </c>
      <c r="L75" s="13" t="n">
        <f aca="false">IF(65&gt;$H$4,"",MATCH(65,'Price List'!$M$2:$M$1352,0))</f>
        <v>65</v>
      </c>
    </row>
    <row r="76" customFormat="false" ht="15" hidden="false" customHeight="false" outlineLevel="0" collapsed="false">
      <c r="A76" s="9" t="n">
        <v>66</v>
      </c>
      <c r="B76" s="10" t="str">
        <f aca="false">IF($L76="","",INDEX('Price List'!$B$2:$B$1352,$L76)&amp;"")</f>
        <v>Crosspoint Paper (Silang, Cavite)</v>
      </c>
      <c r="C76" s="10" t="str">
        <f aca="false">IF($L76="","",INDEX('Price List'!$C$2:$C$1352,$L76)&amp;"")</f>
        <v>Book Paper</v>
      </c>
      <c r="D76" s="11" t="str">
        <f aca="false">IF($L76="","",INDEX('Price List'!$D$2:$D$1352,$L76)&amp;"")</f>
        <v>Book 50#</v>
      </c>
      <c r="E76" s="11" t="str">
        <f aca="false">IF($L76="","",INDEX('Price List'!$E$2:$E$1352,$L76)&amp;"")</f>
        <v>Ream weight 51 lbs</v>
      </c>
      <c r="F76" s="10" t="str">
        <f aca="false">IF($L76="","",INDEX('Price List'!$F$2:$F$1352,$L76)&amp;"")</f>
        <v>sub 20 / 70 gsm</v>
      </c>
      <c r="G76" s="10" t="str">
        <f aca="false">IF($L76="","",INDEX('Price List'!$G$2:$G$1352,$L76)&amp;"")</f>
        <v>34 x 28</v>
      </c>
      <c r="H76" s="10" t="str">
        <f aca="false">IF($L76="","",INDEX('Price List'!$H$2:$H$1352,$L76)&amp;"")</f>
        <v>ream</v>
      </c>
      <c r="I76" s="12" t="n">
        <f aca="false">IF($L76="","",IF(INDEX('Price List'!$I$2:$I$1352,$L76)="","",INDEX('Price List'!$I$2:$I$1352,$L76)))</f>
        <v>1326</v>
      </c>
      <c r="J76" s="11" t="str">
        <f aca="false">IF($L76="","",INDEX('Price List'!$J$2:$J$1352,$L76)&amp;"")</f>
        <v/>
      </c>
      <c r="K76" s="10" t="str">
        <f aca="false">IF($L76="","",INDEX('Price List'!$K$2:$K$1352,$L76)&amp;"")</f>
        <v>2025</v>
      </c>
      <c r="L76" s="13" t="n">
        <f aca="false">IF(66&gt;$H$4,"",MATCH(66,'Price List'!$M$2:$M$1352,0))</f>
        <v>66</v>
      </c>
    </row>
    <row r="77" customFormat="false" ht="15" hidden="false" customHeight="false" outlineLevel="0" collapsed="false">
      <c r="A77" s="9" t="n">
        <v>67</v>
      </c>
      <c r="B77" s="10" t="str">
        <f aca="false">IF($L77="","",INDEX('Price List'!$B$2:$B$1352,$L77)&amp;"")</f>
        <v>Crosspoint Paper (Silang, Cavite)</v>
      </c>
      <c r="C77" s="10" t="str">
        <f aca="false">IF($L77="","",INDEX('Price List'!$C$2:$C$1352,$L77)&amp;"")</f>
        <v>Book Paper</v>
      </c>
      <c r="D77" s="11" t="str">
        <f aca="false">IF($L77="","",INDEX('Price List'!$D$2:$D$1352,$L77)&amp;"")</f>
        <v>Book 50#</v>
      </c>
      <c r="E77" s="11" t="str">
        <f aca="false">IF($L77="","",INDEX('Price List'!$E$2:$E$1352,$L77)&amp;"")</f>
        <v>Ream weight 50 lbs</v>
      </c>
      <c r="F77" s="10" t="str">
        <f aca="false">IF($L77="","",INDEX('Price List'!$F$2:$F$1352,$L77)&amp;"")</f>
        <v>sub 20 / 70 gsm</v>
      </c>
      <c r="G77" s="10" t="str">
        <f aca="false">IF($L77="","",INDEX('Price List'!$G$2:$G$1352,$L77)&amp;"")</f>
        <v>25 x 38</v>
      </c>
      <c r="H77" s="10" t="str">
        <f aca="false">IF($L77="","",INDEX('Price List'!$H$2:$H$1352,$L77)&amp;"")</f>
        <v>ream</v>
      </c>
      <c r="I77" s="12" t="n">
        <f aca="false">IF($L77="","",IF(INDEX('Price List'!$I$2:$I$1352,$L77)="","",INDEX('Price List'!$I$2:$I$1352,$L77)))</f>
        <v>1300</v>
      </c>
      <c r="J77" s="11" t="str">
        <f aca="false">IF($L77="","",INDEX('Price List'!$J$2:$J$1352,$L77)&amp;"")</f>
        <v/>
      </c>
      <c r="K77" s="10" t="str">
        <f aca="false">IF($L77="","",INDEX('Price List'!$K$2:$K$1352,$L77)&amp;"")</f>
        <v>2025</v>
      </c>
      <c r="L77" s="13" t="n">
        <f aca="false">IF(67&gt;$H$4,"",MATCH(67,'Price List'!$M$2:$M$1352,0))</f>
        <v>67</v>
      </c>
    </row>
    <row r="78" customFormat="false" ht="15" hidden="false" customHeight="false" outlineLevel="0" collapsed="false">
      <c r="A78" s="9" t="n">
        <v>68</v>
      </c>
      <c r="B78" s="10" t="str">
        <f aca="false">IF($L78="","",INDEX('Price List'!$B$2:$B$1352,$L78)&amp;"")</f>
        <v>Crosspoint Paper (Silang, Cavite)</v>
      </c>
      <c r="C78" s="10" t="str">
        <f aca="false">IF($L78="","",INDEX('Price List'!$C$2:$C$1352,$L78)&amp;"")</f>
        <v>Book Paper</v>
      </c>
      <c r="D78" s="11" t="str">
        <f aca="false">IF($L78="","",INDEX('Price List'!$D$2:$D$1352,$L78)&amp;"")</f>
        <v>Book 50#</v>
      </c>
      <c r="E78" s="11" t="str">
        <f aca="false">IF($L78="","",INDEX('Price List'!$E$2:$E$1352,$L78)&amp;"")</f>
        <v>Ream weight 50 lbs</v>
      </c>
      <c r="F78" s="10" t="str">
        <f aca="false">IF($L78="","",INDEX('Price List'!$F$2:$F$1352,$L78)&amp;"")</f>
        <v>sub 20 / 70 gsm</v>
      </c>
      <c r="G78" s="10" t="str">
        <f aca="false">IF($L78="","",INDEX('Price List'!$G$2:$G$1352,$L78)&amp;"")</f>
        <v>38 x 25</v>
      </c>
      <c r="H78" s="10" t="str">
        <f aca="false">IF($L78="","",INDEX('Price List'!$H$2:$H$1352,$L78)&amp;"")</f>
        <v>ream</v>
      </c>
      <c r="I78" s="12" t="n">
        <f aca="false">IF($L78="","",IF(INDEX('Price List'!$I$2:$I$1352,$L78)="","",INDEX('Price List'!$I$2:$I$1352,$L78)))</f>
        <v>1300</v>
      </c>
      <c r="J78" s="11" t="str">
        <f aca="false">IF($L78="","",INDEX('Price List'!$J$2:$J$1352,$L78)&amp;"")</f>
        <v/>
      </c>
      <c r="K78" s="10" t="str">
        <f aca="false">IF($L78="","",INDEX('Price List'!$K$2:$K$1352,$L78)&amp;"")</f>
        <v>2025</v>
      </c>
      <c r="L78" s="13" t="n">
        <f aca="false">IF(68&gt;$H$4,"",MATCH(68,'Price List'!$M$2:$M$1352,0))</f>
        <v>68</v>
      </c>
    </row>
    <row r="79" customFormat="false" ht="15" hidden="false" customHeight="false" outlineLevel="0" collapsed="false">
      <c r="A79" s="9" t="n">
        <v>69</v>
      </c>
      <c r="B79" s="10" t="str">
        <f aca="false">IF($L79="","",INDEX('Price List'!$B$2:$B$1352,$L79)&amp;"")</f>
        <v>Crosspoint Paper (Silang, Cavite)</v>
      </c>
      <c r="C79" s="10" t="str">
        <f aca="false">IF($L79="","",INDEX('Price List'!$C$2:$C$1352,$L79)&amp;"")</f>
        <v>Book Paper</v>
      </c>
      <c r="D79" s="11" t="str">
        <f aca="false">IF($L79="","",INDEX('Price List'!$D$2:$D$1352,$L79)&amp;"")</f>
        <v>Book 60#</v>
      </c>
      <c r="E79" s="11" t="str">
        <f aca="false">IF($L79="","",INDEX('Price List'!$E$2:$E$1352,$L79)&amp;"")</f>
        <v>Ream weight 48 lbs</v>
      </c>
      <c r="F79" s="10" t="str">
        <f aca="false">IF($L79="","",INDEX('Price List'!$F$2:$F$1352,$L79)&amp;"")</f>
        <v>sub 24 / 80 gsm</v>
      </c>
      <c r="G79" s="10" t="str">
        <f aca="false">IF($L79="","",INDEX('Price List'!$G$2:$G$1352,$L79)&amp;"")</f>
        <v>34 x 22</v>
      </c>
      <c r="H79" s="10" t="str">
        <f aca="false">IF($L79="","",INDEX('Price List'!$H$2:$H$1352,$L79)&amp;"")</f>
        <v>ream</v>
      </c>
      <c r="I79" s="12" t="n">
        <f aca="false">IF($L79="","",IF(INDEX('Price List'!$I$2:$I$1352,$L79)="","",INDEX('Price List'!$I$2:$I$1352,$L79)))</f>
        <v>1224</v>
      </c>
      <c r="J79" s="11" t="str">
        <f aca="false">IF($L79="","",INDEX('Price List'!$J$2:$J$1352,$L79)&amp;"")</f>
        <v/>
      </c>
      <c r="K79" s="10" t="str">
        <f aca="false">IF($L79="","",INDEX('Price List'!$K$2:$K$1352,$L79)&amp;"")</f>
        <v>2025</v>
      </c>
      <c r="L79" s="13" t="n">
        <f aca="false">IF(69&gt;$H$4,"",MATCH(69,'Price List'!$M$2:$M$1352,0))</f>
        <v>69</v>
      </c>
    </row>
    <row r="80" customFormat="false" ht="15" hidden="false" customHeight="false" outlineLevel="0" collapsed="false">
      <c r="A80" s="9" t="n">
        <v>70</v>
      </c>
      <c r="B80" s="10" t="str">
        <f aca="false">IF($L80="","",INDEX('Price List'!$B$2:$B$1352,$L80)&amp;"")</f>
        <v>Crosspoint Paper (Silang, Cavite)</v>
      </c>
      <c r="C80" s="10" t="str">
        <f aca="false">IF($L80="","",INDEX('Price List'!$C$2:$C$1352,$L80)&amp;"")</f>
        <v>Book Paper</v>
      </c>
      <c r="D80" s="11" t="str">
        <f aca="false">IF($L80="","",INDEX('Price List'!$D$2:$D$1352,$L80)&amp;"")</f>
        <v>Book 60#</v>
      </c>
      <c r="E80" s="11" t="str">
        <f aca="false">IF($L80="","",INDEX('Price List'!$E$2:$E$1352,$L80)&amp;"")</f>
        <v>Ream weight 61 lbs</v>
      </c>
      <c r="F80" s="10" t="str">
        <f aca="false">IF($L80="","",INDEX('Price List'!$F$2:$F$1352,$L80)&amp;"")</f>
        <v>sub 24 / 80 gsm</v>
      </c>
      <c r="G80" s="10" t="str">
        <f aca="false">IF($L80="","",INDEX('Price List'!$G$2:$G$1352,$L80)&amp;"")</f>
        <v>34 x 28</v>
      </c>
      <c r="H80" s="10" t="str">
        <f aca="false">IF($L80="","",INDEX('Price List'!$H$2:$H$1352,$L80)&amp;"")</f>
        <v>ream</v>
      </c>
      <c r="I80" s="12" t="n">
        <f aca="false">IF($L80="","",IF(INDEX('Price List'!$I$2:$I$1352,$L80)="","",INDEX('Price List'!$I$2:$I$1352,$L80)))</f>
        <v>1555.5</v>
      </c>
      <c r="J80" s="11" t="str">
        <f aca="false">IF($L80="","",INDEX('Price List'!$J$2:$J$1352,$L80)&amp;"")</f>
        <v/>
      </c>
      <c r="K80" s="10" t="str">
        <f aca="false">IF($L80="","",INDEX('Price List'!$K$2:$K$1352,$L80)&amp;"")</f>
        <v>2025</v>
      </c>
      <c r="L80" s="13" t="n">
        <f aca="false">IF(70&gt;$H$4,"",MATCH(70,'Price List'!$M$2:$M$1352,0))</f>
        <v>70</v>
      </c>
    </row>
    <row r="81" customFormat="false" ht="15" hidden="false" customHeight="false" outlineLevel="0" collapsed="false">
      <c r="A81" s="9" t="n">
        <v>71</v>
      </c>
      <c r="B81" s="10" t="str">
        <f aca="false">IF($L81="","",INDEX('Price List'!$B$2:$B$1352,$L81)&amp;"")</f>
        <v>Crosspoint Paper (Silang, Cavite)</v>
      </c>
      <c r="C81" s="10" t="str">
        <f aca="false">IF($L81="","",INDEX('Price List'!$C$2:$C$1352,$L81)&amp;"")</f>
        <v>Book Paper</v>
      </c>
      <c r="D81" s="11" t="str">
        <f aca="false">IF($L81="","",INDEX('Price List'!$D$2:$D$1352,$L81)&amp;"")</f>
        <v>Book 60#</v>
      </c>
      <c r="E81" s="11" t="str">
        <f aca="false">IF($L81="","",INDEX('Price List'!$E$2:$E$1352,$L81)&amp;"")</f>
        <v>Ream weight 60 lbs</v>
      </c>
      <c r="F81" s="10" t="str">
        <f aca="false">IF($L81="","",INDEX('Price List'!$F$2:$F$1352,$L81)&amp;"")</f>
        <v>sub 24 / 80 gsm</v>
      </c>
      <c r="G81" s="10" t="str">
        <f aca="false">IF($L81="","",INDEX('Price List'!$G$2:$G$1352,$L81)&amp;"")</f>
        <v>25 x 38</v>
      </c>
      <c r="H81" s="10" t="str">
        <f aca="false">IF($L81="","",INDEX('Price List'!$H$2:$H$1352,$L81)&amp;"")</f>
        <v>ream</v>
      </c>
      <c r="I81" s="12" t="n">
        <f aca="false">IF($L81="","",IF(INDEX('Price List'!$I$2:$I$1352,$L81)="","",INDEX('Price List'!$I$2:$I$1352,$L81)))</f>
        <v>1530</v>
      </c>
      <c r="J81" s="11" t="str">
        <f aca="false">IF($L81="","",INDEX('Price List'!$J$2:$J$1352,$L81)&amp;"")</f>
        <v/>
      </c>
      <c r="K81" s="10" t="str">
        <f aca="false">IF($L81="","",INDEX('Price List'!$K$2:$K$1352,$L81)&amp;"")</f>
        <v>2025</v>
      </c>
      <c r="L81" s="13" t="n">
        <f aca="false">IF(71&gt;$H$4,"",MATCH(71,'Price List'!$M$2:$M$1352,0))</f>
        <v>71</v>
      </c>
    </row>
    <row r="82" customFormat="false" ht="15" hidden="false" customHeight="false" outlineLevel="0" collapsed="false">
      <c r="A82" s="9" t="n">
        <v>72</v>
      </c>
      <c r="B82" s="10" t="str">
        <f aca="false">IF($L82="","",INDEX('Price List'!$B$2:$B$1352,$L82)&amp;"")</f>
        <v>Crosspoint Paper (Silang, Cavite)</v>
      </c>
      <c r="C82" s="10" t="str">
        <f aca="false">IF($L82="","",INDEX('Price List'!$C$2:$C$1352,$L82)&amp;"")</f>
        <v>Book Paper</v>
      </c>
      <c r="D82" s="11" t="str">
        <f aca="false">IF($L82="","",INDEX('Price List'!$D$2:$D$1352,$L82)&amp;"")</f>
        <v>Book 60#</v>
      </c>
      <c r="E82" s="11" t="str">
        <f aca="false">IF($L82="","",INDEX('Price List'!$E$2:$E$1352,$L82)&amp;"")</f>
        <v>Ream weight 60 lbs</v>
      </c>
      <c r="F82" s="10" t="str">
        <f aca="false">IF($L82="","",INDEX('Price List'!$F$2:$F$1352,$L82)&amp;"")</f>
        <v>sub 24 / 80 gsm</v>
      </c>
      <c r="G82" s="10" t="str">
        <f aca="false">IF($L82="","",INDEX('Price List'!$G$2:$G$1352,$L82)&amp;"")</f>
        <v>38 x 25</v>
      </c>
      <c r="H82" s="10" t="str">
        <f aca="false">IF($L82="","",INDEX('Price List'!$H$2:$H$1352,$L82)&amp;"")</f>
        <v>ream</v>
      </c>
      <c r="I82" s="12" t="n">
        <f aca="false">IF($L82="","",IF(INDEX('Price List'!$I$2:$I$1352,$L82)="","",INDEX('Price List'!$I$2:$I$1352,$L82)))</f>
        <v>1530</v>
      </c>
      <c r="J82" s="11" t="str">
        <f aca="false">IF($L82="","",INDEX('Price List'!$J$2:$J$1352,$L82)&amp;"")</f>
        <v/>
      </c>
      <c r="K82" s="10" t="str">
        <f aca="false">IF($L82="","",INDEX('Price List'!$K$2:$K$1352,$L82)&amp;"")</f>
        <v>2025</v>
      </c>
      <c r="L82" s="13" t="n">
        <f aca="false">IF(72&gt;$H$4,"",MATCH(72,'Price List'!$M$2:$M$1352,0))</f>
        <v>72</v>
      </c>
    </row>
    <row r="83" customFormat="false" ht="15" hidden="false" customHeight="false" outlineLevel="0" collapsed="false">
      <c r="A83" s="9" t="n">
        <v>73</v>
      </c>
      <c r="B83" s="10" t="str">
        <f aca="false">IF($L83="","",INDEX('Price List'!$B$2:$B$1352,$L83)&amp;"")</f>
        <v>Crosspoint Paper (Silang, Cavite)</v>
      </c>
      <c r="C83" s="10" t="str">
        <f aca="false">IF($L83="","",INDEX('Price List'!$C$2:$C$1352,$L83)&amp;"")</f>
        <v>Book Paper</v>
      </c>
      <c r="D83" s="11" t="str">
        <f aca="false">IF($L83="","",INDEX('Price List'!$D$2:$D$1352,$L83)&amp;"")</f>
        <v>Book 70#</v>
      </c>
      <c r="E83" s="11" t="str">
        <f aca="false">IF($L83="","",INDEX('Price List'!$E$2:$E$1352,$L83)&amp;"")</f>
        <v>Ream weight 56 lbs</v>
      </c>
      <c r="F83" s="10" t="str">
        <f aca="false">IF($L83="","",INDEX('Price List'!$F$2:$F$1352,$L83)&amp;"")</f>
        <v>100 gsm</v>
      </c>
      <c r="G83" s="10" t="str">
        <f aca="false">IF($L83="","",INDEX('Price List'!$G$2:$G$1352,$L83)&amp;"")</f>
        <v>34 x 22</v>
      </c>
      <c r="H83" s="10" t="str">
        <f aca="false">IF($L83="","",INDEX('Price List'!$H$2:$H$1352,$L83)&amp;"")</f>
        <v>ream</v>
      </c>
      <c r="I83" s="12" t="n">
        <f aca="false">IF($L83="","",IF(INDEX('Price List'!$I$2:$I$1352,$L83)="","",INDEX('Price List'!$I$2:$I$1352,$L83)))</f>
        <v>1428</v>
      </c>
      <c r="J83" s="11" t="str">
        <f aca="false">IF($L83="","",INDEX('Price List'!$J$2:$J$1352,$L83)&amp;"")</f>
        <v/>
      </c>
      <c r="K83" s="10" t="str">
        <f aca="false">IF($L83="","",INDEX('Price List'!$K$2:$K$1352,$L83)&amp;"")</f>
        <v>2025</v>
      </c>
      <c r="L83" s="13" t="n">
        <f aca="false">IF(73&gt;$H$4,"",MATCH(73,'Price List'!$M$2:$M$1352,0))</f>
        <v>73</v>
      </c>
    </row>
    <row r="84" customFormat="false" ht="15" hidden="false" customHeight="false" outlineLevel="0" collapsed="false">
      <c r="A84" s="9" t="n">
        <v>74</v>
      </c>
      <c r="B84" s="10" t="str">
        <f aca="false">IF($L84="","",INDEX('Price List'!$B$2:$B$1352,$L84)&amp;"")</f>
        <v>Crosspoint Paper (Silang, Cavite)</v>
      </c>
      <c r="C84" s="10" t="str">
        <f aca="false">IF($L84="","",INDEX('Price List'!$C$2:$C$1352,$L84)&amp;"")</f>
        <v>Book Paper</v>
      </c>
      <c r="D84" s="11" t="str">
        <f aca="false">IF($L84="","",INDEX('Price List'!$D$2:$D$1352,$L84)&amp;"")</f>
        <v>Book 70#</v>
      </c>
      <c r="E84" s="11" t="str">
        <f aca="false">IF($L84="","",INDEX('Price List'!$E$2:$E$1352,$L84)&amp;"")</f>
        <v>Ream weight 71 lbs</v>
      </c>
      <c r="F84" s="10" t="str">
        <f aca="false">IF($L84="","",INDEX('Price List'!$F$2:$F$1352,$L84)&amp;"")</f>
        <v>100 gsm</v>
      </c>
      <c r="G84" s="10" t="str">
        <f aca="false">IF($L84="","",INDEX('Price List'!$G$2:$G$1352,$L84)&amp;"")</f>
        <v>34 x 28</v>
      </c>
      <c r="H84" s="10" t="str">
        <f aca="false">IF($L84="","",INDEX('Price List'!$H$2:$H$1352,$L84)&amp;"")</f>
        <v>ream</v>
      </c>
      <c r="I84" s="12" t="n">
        <f aca="false">IF($L84="","",IF(INDEX('Price List'!$I$2:$I$1352,$L84)="","",INDEX('Price List'!$I$2:$I$1352,$L84)))</f>
        <v>1810.5</v>
      </c>
      <c r="J84" s="11" t="str">
        <f aca="false">IF($L84="","",INDEX('Price List'!$J$2:$J$1352,$L84)&amp;"")</f>
        <v/>
      </c>
      <c r="K84" s="10" t="str">
        <f aca="false">IF($L84="","",INDEX('Price List'!$K$2:$K$1352,$L84)&amp;"")</f>
        <v>2025</v>
      </c>
      <c r="L84" s="13" t="n">
        <f aca="false">IF(74&gt;$H$4,"",MATCH(74,'Price List'!$M$2:$M$1352,0))</f>
        <v>74</v>
      </c>
    </row>
    <row r="85" customFormat="false" ht="15" hidden="false" customHeight="false" outlineLevel="0" collapsed="false">
      <c r="A85" s="9" t="n">
        <v>75</v>
      </c>
      <c r="B85" s="10" t="str">
        <f aca="false">IF($L85="","",INDEX('Price List'!$B$2:$B$1352,$L85)&amp;"")</f>
        <v>Crosspoint Paper (Silang, Cavite)</v>
      </c>
      <c r="C85" s="10" t="str">
        <f aca="false">IF($L85="","",INDEX('Price List'!$C$2:$C$1352,$L85)&amp;"")</f>
        <v>Book Paper</v>
      </c>
      <c r="D85" s="11" t="str">
        <f aca="false">IF($L85="","",INDEX('Price List'!$D$2:$D$1352,$L85)&amp;"")</f>
        <v>Book 70#</v>
      </c>
      <c r="E85" s="11" t="str">
        <f aca="false">IF($L85="","",INDEX('Price List'!$E$2:$E$1352,$L85)&amp;"")</f>
        <v>Ream weight 70 lbs</v>
      </c>
      <c r="F85" s="10" t="str">
        <f aca="false">IF($L85="","",INDEX('Price List'!$F$2:$F$1352,$L85)&amp;"")</f>
        <v>100 gsm</v>
      </c>
      <c r="G85" s="10" t="str">
        <f aca="false">IF($L85="","",INDEX('Price List'!$G$2:$G$1352,$L85)&amp;"")</f>
        <v>25 x 38</v>
      </c>
      <c r="H85" s="10" t="str">
        <f aca="false">IF($L85="","",INDEX('Price List'!$H$2:$H$1352,$L85)&amp;"")</f>
        <v>ream</v>
      </c>
      <c r="I85" s="12" t="n">
        <f aca="false">IF($L85="","",IF(INDEX('Price List'!$I$2:$I$1352,$L85)="","",INDEX('Price List'!$I$2:$I$1352,$L85)))</f>
        <v>1785</v>
      </c>
      <c r="J85" s="11" t="str">
        <f aca="false">IF($L85="","",INDEX('Price List'!$J$2:$J$1352,$L85)&amp;"")</f>
        <v/>
      </c>
      <c r="K85" s="10" t="str">
        <f aca="false">IF($L85="","",INDEX('Price List'!$K$2:$K$1352,$L85)&amp;"")</f>
        <v>2025</v>
      </c>
      <c r="L85" s="13" t="n">
        <f aca="false">IF(75&gt;$H$4,"",MATCH(75,'Price List'!$M$2:$M$1352,0))</f>
        <v>75</v>
      </c>
    </row>
    <row r="86" customFormat="false" ht="15" hidden="false" customHeight="false" outlineLevel="0" collapsed="false">
      <c r="A86" s="9" t="n">
        <v>76</v>
      </c>
      <c r="B86" s="10" t="str">
        <f aca="false">IF($L86="","",INDEX('Price List'!$B$2:$B$1352,$L86)&amp;"")</f>
        <v>Crosspoint Paper (Silang, Cavite)</v>
      </c>
      <c r="C86" s="10" t="str">
        <f aca="false">IF($L86="","",INDEX('Price List'!$C$2:$C$1352,$L86)&amp;"")</f>
        <v>Book Paper</v>
      </c>
      <c r="D86" s="11" t="str">
        <f aca="false">IF($L86="","",INDEX('Price List'!$D$2:$D$1352,$L86)&amp;"")</f>
        <v>Book 80#</v>
      </c>
      <c r="E86" s="11" t="str">
        <f aca="false">IF($L86="","",INDEX('Price List'!$E$2:$E$1352,$L86)&amp;"")</f>
        <v>Ream weight 64 lbs</v>
      </c>
      <c r="F86" s="10" t="str">
        <f aca="false">IF($L86="","",INDEX('Price List'!$F$2:$F$1352,$L86)&amp;"")</f>
        <v>120 gsm</v>
      </c>
      <c r="G86" s="10" t="str">
        <f aca="false">IF($L86="","",INDEX('Price List'!$G$2:$G$1352,$L86)&amp;"")</f>
        <v>34 x 22</v>
      </c>
      <c r="H86" s="10" t="str">
        <f aca="false">IF($L86="","",INDEX('Price List'!$H$2:$H$1352,$L86)&amp;"")</f>
        <v>ream</v>
      </c>
      <c r="I86" s="12" t="n">
        <f aca="false">IF($L86="","",IF(INDEX('Price List'!$I$2:$I$1352,$L86)="","",INDEX('Price List'!$I$2:$I$1352,$L86)))</f>
        <v>1664</v>
      </c>
      <c r="J86" s="11" t="str">
        <f aca="false">IF($L86="","",INDEX('Price List'!$J$2:$J$1352,$L86)&amp;"")</f>
        <v/>
      </c>
      <c r="K86" s="10" t="str">
        <f aca="false">IF($L86="","",INDEX('Price List'!$K$2:$K$1352,$L86)&amp;"")</f>
        <v>2025</v>
      </c>
      <c r="L86" s="13" t="n">
        <f aca="false">IF(76&gt;$H$4,"",MATCH(76,'Price List'!$M$2:$M$1352,0))</f>
        <v>76</v>
      </c>
    </row>
    <row r="87" customFormat="false" ht="15" hidden="false" customHeight="false" outlineLevel="0" collapsed="false">
      <c r="A87" s="9" t="n">
        <v>77</v>
      </c>
      <c r="B87" s="10" t="str">
        <f aca="false">IF($L87="","",INDEX('Price List'!$B$2:$B$1352,$L87)&amp;"")</f>
        <v>Crosspoint Paper (Silang, Cavite)</v>
      </c>
      <c r="C87" s="10" t="str">
        <f aca="false">IF($L87="","",INDEX('Price List'!$C$2:$C$1352,$L87)&amp;"")</f>
        <v>Book Paper</v>
      </c>
      <c r="D87" s="11" t="str">
        <f aca="false">IF($L87="","",INDEX('Price List'!$D$2:$D$1352,$L87)&amp;"")</f>
        <v>Book 80#</v>
      </c>
      <c r="E87" s="11" t="str">
        <f aca="false">IF($L87="","",INDEX('Price List'!$E$2:$E$1352,$L87)&amp;"")</f>
        <v>Ream weight 81 lbs</v>
      </c>
      <c r="F87" s="10" t="str">
        <f aca="false">IF($L87="","",INDEX('Price List'!$F$2:$F$1352,$L87)&amp;"")</f>
        <v>120 gsm</v>
      </c>
      <c r="G87" s="10" t="str">
        <f aca="false">IF($L87="","",INDEX('Price List'!$G$2:$G$1352,$L87)&amp;"")</f>
        <v>34 x 28</v>
      </c>
      <c r="H87" s="10" t="str">
        <f aca="false">IF($L87="","",INDEX('Price List'!$H$2:$H$1352,$L87)&amp;"")</f>
        <v>ream</v>
      </c>
      <c r="I87" s="12" t="n">
        <f aca="false">IF($L87="","",IF(INDEX('Price List'!$I$2:$I$1352,$L87)="","",INDEX('Price List'!$I$2:$I$1352,$L87)))</f>
        <v>2106</v>
      </c>
      <c r="J87" s="11" t="str">
        <f aca="false">IF($L87="","",INDEX('Price List'!$J$2:$J$1352,$L87)&amp;"")</f>
        <v/>
      </c>
      <c r="K87" s="10" t="str">
        <f aca="false">IF($L87="","",INDEX('Price List'!$K$2:$K$1352,$L87)&amp;"")</f>
        <v>2025</v>
      </c>
      <c r="L87" s="13" t="n">
        <f aca="false">IF(77&gt;$H$4,"",MATCH(77,'Price List'!$M$2:$M$1352,0))</f>
        <v>77</v>
      </c>
    </row>
    <row r="88" customFormat="false" ht="15" hidden="false" customHeight="false" outlineLevel="0" collapsed="false">
      <c r="A88" s="9" t="n">
        <v>78</v>
      </c>
      <c r="B88" s="10" t="str">
        <f aca="false">IF($L88="","",INDEX('Price List'!$B$2:$B$1352,$L88)&amp;"")</f>
        <v>Crosspoint Paper (Silang, Cavite)</v>
      </c>
      <c r="C88" s="10" t="str">
        <f aca="false">IF($L88="","",INDEX('Price List'!$C$2:$C$1352,$L88)&amp;"")</f>
        <v>Book Paper</v>
      </c>
      <c r="D88" s="11" t="str">
        <f aca="false">IF($L88="","",INDEX('Price List'!$D$2:$D$1352,$L88)&amp;"")</f>
        <v>Book 80#</v>
      </c>
      <c r="E88" s="11" t="str">
        <f aca="false">IF($L88="","",INDEX('Price List'!$E$2:$E$1352,$L88)&amp;"")</f>
        <v>Ream weight 80 lbs</v>
      </c>
      <c r="F88" s="10" t="str">
        <f aca="false">IF($L88="","",INDEX('Price List'!$F$2:$F$1352,$L88)&amp;"")</f>
        <v>120 gsm</v>
      </c>
      <c r="G88" s="10" t="str">
        <f aca="false">IF($L88="","",INDEX('Price List'!$G$2:$G$1352,$L88)&amp;"")</f>
        <v>25 x 38</v>
      </c>
      <c r="H88" s="10" t="str">
        <f aca="false">IF($L88="","",INDEX('Price List'!$H$2:$H$1352,$L88)&amp;"")</f>
        <v>ream</v>
      </c>
      <c r="I88" s="12" t="n">
        <f aca="false">IF($L88="","",IF(INDEX('Price List'!$I$2:$I$1352,$L88)="","",INDEX('Price List'!$I$2:$I$1352,$L88)))</f>
        <v>2080</v>
      </c>
      <c r="J88" s="11" t="str">
        <f aca="false">IF($L88="","",INDEX('Price List'!$J$2:$J$1352,$L88)&amp;"")</f>
        <v/>
      </c>
      <c r="K88" s="10" t="str">
        <f aca="false">IF($L88="","",INDEX('Price List'!$K$2:$K$1352,$L88)&amp;"")</f>
        <v>2025</v>
      </c>
      <c r="L88" s="13" t="n">
        <f aca="false">IF(78&gt;$H$4,"",MATCH(78,'Price List'!$M$2:$M$1352,0))</f>
        <v>78</v>
      </c>
    </row>
    <row r="89" customFormat="false" ht="15" hidden="false" customHeight="false" outlineLevel="0" collapsed="false">
      <c r="A89" s="9" t="n">
        <v>79</v>
      </c>
      <c r="B89" s="10" t="str">
        <f aca="false">IF($L89="","",INDEX('Price List'!$B$2:$B$1352,$L89)&amp;"")</f>
        <v>Crosspoint Paper (Silang, Cavite)</v>
      </c>
      <c r="C89" s="10" t="str">
        <f aca="false">IF($L89="","",INDEX('Price List'!$C$2:$C$1352,$L89)&amp;"")</f>
        <v>Book Paper</v>
      </c>
      <c r="D89" s="11" t="str">
        <f aca="false">IF($L89="","",INDEX('Price List'!$D$2:$D$1352,$L89)&amp;"")</f>
        <v>Book 50#</v>
      </c>
      <c r="E89" s="11" t="str">
        <f aca="false">IF($L89="","",INDEX('Price List'!$E$2:$E$1352,$L89)&amp;"")</f>
        <v>Price per lb (reference)</v>
      </c>
      <c r="F89" s="10" t="str">
        <f aca="false">IF($L89="","",INDEX('Price List'!$F$2:$F$1352,$L89)&amp;"")</f>
        <v>70 gsm</v>
      </c>
      <c r="G89" s="10" t="str">
        <f aca="false">IF($L89="","",INDEX('Price List'!$G$2:$G$1352,$L89)&amp;"")</f>
        <v/>
      </c>
      <c r="H89" s="10" t="str">
        <f aca="false">IF($L89="","",INDEX('Price List'!$H$2:$H$1352,$L89)&amp;"")</f>
        <v>per lb</v>
      </c>
      <c r="I89" s="12" t="n">
        <f aca="false">IF($L89="","",IF(INDEX('Price List'!$I$2:$I$1352,$L89)="","",INDEX('Price List'!$I$2:$I$1352,$L89)))</f>
        <v>26</v>
      </c>
      <c r="J89" s="11" t="str">
        <f aca="false">IF($L89="","",INDEX('Price List'!$J$2:$J$1352,$L89)&amp;"")</f>
        <v>Per-lb rate shown on price list</v>
      </c>
      <c r="K89" s="10" t="str">
        <f aca="false">IF($L89="","",INDEX('Price List'!$K$2:$K$1352,$L89)&amp;"")</f>
        <v>2025</v>
      </c>
      <c r="L89" s="13" t="n">
        <f aca="false">IF(79&gt;$H$4,"",MATCH(79,'Price List'!$M$2:$M$1352,0))</f>
        <v>79</v>
      </c>
    </row>
    <row r="90" customFormat="false" ht="15" hidden="false" customHeight="false" outlineLevel="0" collapsed="false">
      <c r="A90" s="9" t="n">
        <v>80</v>
      </c>
      <c r="B90" s="10" t="str">
        <f aca="false">IF($L90="","",INDEX('Price List'!$B$2:$B$1352,$L90)&amp;"")</f>
        <v>Crosspoint Paper (Silang, Cavite)</v>
      </c>
      <c r="C90" s="10" t="str">
        <f aca="false">IF($L90="","",INDEX('Price List'!$C$2:$C$1352,$L90)&amp;"")</f>
        <v>Book Paper</v>
      </c>
      <c r="D90" s="11" t="str">
        <f aca="false">IF($L90="","",INDEX('Price List'!$D$2:$D$1352,$L90)&amp;"")</f>
        <v>Book 70#</v>
      </c>
      <c r="E90" s="11" t="str">
        <f aca="false">IF($L90="","",INDEX('Price List'!$E$2:$E$1352,$L90)&amp;"")</f>
        <v>Price per lb (reference)</v>
      </c>
      <c r="F90" s="10" t="str">
        <f aca="false">IF($L90="","",INDEX('Price List'!$F$2:$F$1352,$L90)&amp;"")</f>
        <v>100 gsm</v>
      </c>
      <c r="G90" s="10" t="str">
        <f aca="false">IF($L90="","",INDEX('Price List'!$G$2:$G$1352,$L90)&amp;"")</f>
        <v>22 x 34</v>
      </c>
      <c r="H90" s="10" t="str">
        <f aca="false">IF($L90="","",INDEX('Price List'!$H$2:$H$1352,$L90)&amp;"")</f>
        <v>per lb</v>
      </c>
      <c r="I90" s="12" t="n">
        <f aca="false">IF($L90="","",IF(INDEX('Price List'!$I$2:$I$1352,$L90)="","",INDEX('Price List'!$I$2:$I$1352,$L90)))</f>
        <v>25.5</v>
      </c>
      <c r="J90" s="11" t="str">
        <f aca="false">IF($L90="","",INDEX('Price List'!$J$2:$J$1352,$L90)&amp;"")</f>
        <v>Per-lb rate shown on price list</v>
      </c>
      <c r="K90" s="10" t="str">
        <f aca="false">IF($L90="","",INDEX('Price List'!$K$2:$K$1352,$L90)&amp;"")</f>
        <v>2025</v>
      </c>
      <c r="L90" s="13" t="n">
        <f aca="false">IF(80&gt;$H$4,"",MATCH(80,'Price List'!$M$2:$M$1352,0))</f>
        <v>80</v>
      </c>
    </row>
    <row r="91" customFormat="false" ht="15" hidden="false" customHeight="false" outlineLevel="0" collapsed="false">
      <c r="A91" s="9" t="n">
        <v>81</v>
      </c>
      <c r="B91" s="10" t="str">
        <f aca="false">IF($L91="","",INDEX('Price List'!$B$2:$B$1352,$L91)&amp;"")</f>
        <v>Crosspoint Paper (Silang, Cavite)</v>
      </c>
      <c r="C91" s="10" t="str">
        <f aca="false">IF($L91="","",INDEX('Price List'!$C$2:$C$1352,$L91)&amp;"")</f>
        <v>Book Paper</v>
      </c>
      <c r="D91" s="11" t="str">
        <f aca="false">IF($L91="","",INDEX('Price List'!$D$2:$D$1352,$L91)&amp;"")</f>
        <v>Book 80#</v>
      </c>
      <c r="E91" s="11" t="str">
        <f aca="false">IF($L91="","",INDEX('Price List'!$E$2:$E$1352,$L91)&amp;"")</f>
        <v>Price per lb (reference)</v>
      </c>
      <c r="F91" s="10" t="str">
        <f aca="false">IF($L91="","",INDEX('Price List'!$F$2:$F$1352,$L91)&amp;"")</f>
        <v>120 gsm</v>
      </c>
      <c r="G91" s="10" t="str">
        <f aca="false">IF($L91="","",INDEX('Price List'!$G$2:$G$1352,$L91)&amp;"")</f>
        <v/>
      </c>
      <c r="H91" s="10" t="str">
        <f aca="false">IF($L91="","",INDEX('Price List'!$H$2:$H$1352,$L91)&amp;"")</f>
        <v>per lb</v>
      </c>
      <c r="I91" s="12" t="n">
        <f aca="false">IF($L91="","",IF(INDEX('Price List'!$I$2:$I$1352,$L91)="","",INDEX('Price List'!$I$2:$I$1352,$L91)))</f>
        <v>26</v>
      </c>
      <c r="J91" s="11" t="str">
        <f aca="false">IF($L91="","",INDEX('Price List'!$J$2:$J$1352,$L91)&amp;"")</f>
        <v>Per-lb rate shown on price list</v>
      </c>
      <c r="K91" s="10" t="str">
        <f aca="false">IF($L91="","",INDEX('Price List'!$K$2:$K$1352,$L91)&amp;"")</f>
        <v>2025</v>
      </c>
      <c r="L91" s="13" t="n">
        <f aca="false">IF(81&gt;$H$4,"",MATCH(81,'Price List'!$M$2:$M$1352,0))</f>
        <v>81</v>
      </c>
    </row>
    <row r="92" customFormat="false" ht="15" hidden="false" customHeight="false" outlineLevel="0" collapsed="false">
      <c r="A92" s="9" t="n">
        <v>82</v>
      </c>
      <c r="B92" s="10" t="str">
        <f aca="false">IF($L92="","",INDEX('Price List'!$B$2:$B$1352,$L92)&amp;"")</f>
        <v>NAPPCO (Nov 7, 2023 list)</v>
      </c>
      <c r="C92" s="10" t="str">
        <f aca="false">IF($L92="","",INDEX('Price List'!$C$2:$C$1352,$L92)&amp;"")</f>
        <v>Paperboard</v>
      </c>
      <c r="D92" s="11" t="str">
        <f aca="false">IF($L92="","",INDEX('Price List'!$D$2:$D$1352,$L92)&amp;"")</f>
        <v>Foldcote - Sandwich</v>
      </c>
      <c r="E92" s="11" t="str">
        <f aca="false">IF($L92="","",INDEX('Price List'!$E$2:$E$1352,$L92)&amp;"")</f>
        <v/>
      </c>
      <c r="F92" s="10" t="str">
        <f aca="false">IF($L92="","",INDEX('Price List'!$F$2:$F$1352,$L92)&amp;"")</f>
        <v>Cal. 10</v>
      </c>
      <c r="G92" s="10" t="str">
        <f aca="false">IF($L92="","",INDEX('Price List'!$G$2:$G$1352,$L92)&amp;"")</f>
        <v/>
      </c>
      <c r="H92" s="10" t="str">
        <f aca="false">IF($L92="","",INDEX('Price List'!$H$2:$H$1352,$L92)&amp;"")</f>
        <v>sheet</v>
      </c>
      <c r="I92" s="12" t="n">
        <f aca="false">IF($L92="","",IF(INDEX('Price List'!$I$2:$I$1352,$L92)="","",INDEX('Price List'!$I$2:$I$1352,$L92)))</f>
        <v>11</v>
      </c>
      <c r="J92" s="11" t="str">
        <f aca="false">IF($L92="","",INDEX('Price List'!$J$2:$J$1352,$L92)&amp;"")</f>
        <v/>
      </c>
      <c r="K92" s="10" t="str">
        <f aca="false">IF($L92="","",INDEX('Price List'!$K$2:$K$1352,$L92)&amp;"")</f>
        <v>Nov 7, 2023</v>
      </c>
      <c r="L92" s="13" t="n">
        <f aca="false">IF(82&gt;$H$4,"",MATCH(82,'Price List'!$M$2:$M$1352,0))</f>
        <v>82</v>
      </c>
    </row>
    <row r="93" customFormat="false" ht="15" hidden="false" customHeight="false" outlineLevel="0" collapsed="false">
      <c r="A93" s="9" t="n">
        <v>83</v>
      </c>
      <c r="B93" s="10" t="str">
        <f aca="false">IF($L93="","",INDEX('Price List'!$B$2:$B$1352,$L93)&amp;"")</f>
        <v>NAPPCO (Nov 7, 2023 list)</v>
      </c>
      <c r="C93" s="10" t="str">
        <f aca="false">IF($L93="","",INDEX('Price List'!$C$2:$C$1352,$L93)&amp;"")</f>
        <v>Paperboard</v>
      </c>
      <c r="D93" s="11" t="str">
        <f aca="false">IF($L93="","",INDEX('Price List'!$D$2:$D$1352,$L93)&amp;"")</f>
        <v>Foldcote - Solid</v>
      </c>
      <c r="E93" s="11" t="str">
        <f aca="false">IF($L93="","",INDEX('Price List'!$E$2:$E$1352,$L93)&amp;"")</f>
        <v/>
      </c>
      <c r="F93" s="10" t="str">
        <f aca="false">IF($L93="","",INDEX('Price List'!$F$2:$F$1352,$L93)&amp;"")</f>
        <v>Cal. 10</v>
      </c>
      <c r="G93" s="10" t="str">
        <f aca="false">IF($L93="","",INDEX('Price List'!$G$2:$G$1352,$L93)&amp;"")</f>
        <v/>
      </c>
      <c r="H93" s="10" t="str">
        <f aca="false">IF($L93="","",INDEX('Price List'!$H$2:$H$1352,$L93)&amp;"")</f>
        <v>sheet</v>
      </c>
      <c r="I93" s="12" t="n">
        <f aca="false">IF($L93="","",IF(INDEX('Price List'!$I$2:$I$1352,$L93)="","",INDEX('Price List'!$I$2:$I$1352,$L93)))</f>
        <v>18</v>
      </c>
      <c r="J93" s="11" t="str">
        <f aca="false">IF($L93="","",INDEX('Price List'!$J$2:$J$1352,$L93)&amp;"")</f>
        <v/>
      </c>
      <c r="K93" s="10" t="str">
        <f aca="false">IF($L93="","",INDEX('Price List'!$K$2:$K$1352,$L93)&amp;"")</f>
        <v>Nov 7, 2023</v>
      </c>
      <c r="L93" s="13" t="n">
        <f aca="false">IF(83&gt;$H$4,"",MATCH(83,'Price List'!$M$2:$M$1352,0))</f>
        <v>83</v>
      </c>
    </row>
    <row r="94" customFormat="false" ht="15" hidden="false" customHeight="false" outlineLevel="0" collapsed="false">
      <c r="A94" s="9" t="n">
        <v>84</v>
      </c>
      <c r="B94" s="10" t="str">
        <f aca="false">IF($L94="","",INDEX('Price List'!$B$2:$B$1352,$L94)&amp;"")</f>
        <v>NAPPCO (Nov 7, 2023 list)</v>
      </c>
      <c r="C94" s="10" t="str">
        <f aca="false">IF($L94="","",INDEX('Price List'!$C$2:$C$1352,$L94)&amp;"")</f>
        <v>Paperboard</v>
      </c>
      <c r="D94" s="11" t="str">
        <f aca="false">IF($L94="","",INDEX('Price List'!$D$2:$D$1352,$L94)&amp;"")</f>
        <v>Claycoat</v>
      </c>
      <c r="E94" s="11" t="str">
        <f aca="false">IF($L94="","",INDEX('Price List'!$E$2:$E$1352,$L94)&amp;"")</f>
        <v>KR / TW</v>
      </c>
      <c r="F94" s="10" t="str">
        <f aca="false">IF($L94="","",INDEX('Price List'!$F$2:$F$1352,$L94)&amp;"")</f>
        <v>Cal. 10</v>
      </c>
      <c r="G94" s="10" t="str">
        <f aca="false">IF($L94="","",INDEX('Price List'!$G$2:$G$1352,$L94)&amp;"")</f>
        <v/>
      </c>
      <c r="H94" s="10" t="str">
        <f aca="false">IF($L94="","",INDEX('Price List'!$H$2:$H$1352,$L94)&amp;"")</f>
        <v>sheet</v>
      </c>
      <c r="I94" s="12" t="n">
        <f aca="false">IF($L94="","",IF(INDEX('Price List'!$I$2:$I$1352,$L94)="","",INDEX('Price List'!$I$2:$I$1352,$L94)))</f>
        <v>9.5</v>
      </c>
      <c r="J94" s="11" t="str">
        <f aca="false">IF($L94="","",INDEX('Price List'!$J$2:$J$1352,$L94)&amp;"")</f>
        <v/>
      </c>
      <c r="K94" s="10" t="str">
        <f aca="false">IF($L94="","",INDEX('Price List'!$K$2:$K$1352,$L94)&amp;"")</f>
        <v>Nov 7, 2023</v>
      </c>
      <c r="L94" s="13" t="n">
        <f aca="false">IF(84&gt;$H$4,"",MATCH(84,'Price List'!$M$2:$M$1352,0))</f>
        <v>84</v>
      </c>
    </row>
    <row r="95" customFormat="false" ht="15" hidden="false" customHeight="false" outlineLevel="0" collapsed="false">
      <c r="A95" s="9" t="n">
        <v>85</v>
      </c>
      <c r="B95" s="10" t="str">
        <f aca="false">IF($L95="","",INDEX('Price List'!$B$2:$B$1352,$L95)&amp;"")</f>
        <v>NAPPCO (Nov 7, 2023 list)</v>
      </c>
      <c r="C95" s="10" t="str">
        <f aca="false">IF($L95="","",INDEX('Price List'!$C$2:$C$1352,$L95)&amp;"")</f>
        <v>Paperboard</v>
      </c>
      <c r="D95" s="11" t="str">
        <f aca="false">IF($L95="","",INDEX('Price List'!$D$2:$D$1352,$L95)&amp;"")</f>
        <v>Carrier (All Kinds)</v>
      </c>
      <c r="E95" s="11" t="str">
        <f aca="false">IF($L95="","",INDEX('Price List'!$E$2:$E$1352,$L95)&amp;"")</f>
        <v/>
      </c>
      <c r="F95" s="10" t="str">
        <f aca="false">IF($L95="","",INDEX('Price List'!$F$2:$F$1352,$L95)&amp;"")</f>
        <v>Cal. 10</v>
      </c>
      <c r="G95" s="10" t="str">
        <f aca="false">IF($L95="","",INDEX('Price List'!$G$2:$G$1352,$L95)&amp;"")</f>
        <v/>
      </c>
      <c r="H95" s="10" t="str">
        <f aca="false">IF($L95="","",INDEX('Price List'!$H$2:$H$1352,$L95)&amp;"")</f>
        <v>sheet</v>
      </c>
      <c r="I95" s="12" t="n">
        <f aca="false">IF($L95="","",IF(INDEX('Price List'!$I$2:$I$1352,$L95)="","",INDEX('Price List'!$I$2:$I$1352,$L95)))</f>
        <v>13</v>
      </c>
      <c r="J95" s="11" t="str">
        <f aca="false">IF($L95="","",INDEX('Price List'!$J$2:$J$1352,$L95)&amp;"")</f>
        <v/>
      </c>
      <c r="K95" s="10" t="str">
        <f aca="false">IF($L95="","",INDEX('Price List'!$K$2:$K$1352,$L95)&amp;"")</f>
        <v>Nov 7, 2023</v>
      </c>
      <c r="L95" s="13" t="n">
        <f aca="false">IF(85&gt;$H$4,"",MATCH(85,'Price List'!$M$2:$M$1352,0))</f>
        <v>85</v>
      </c>
    </row>
    <row r="96" customFormat="false" ht="15" hidden="false" customHeight="false" outlineLevel="0" collapsed="false">
      <c r="A96" s="9" t="n">
        <v>86</v>
      </c>
      <c r="B96" s="10" t="str">
        <f aca="false">IF($L96="","",INDEX('Price List'!$B$2:$B$1352,$L96)&amp;"")</f>
        <v>NAPPCO (Nov 7, 2023 list)</v>
      </c>
      <c r="C96" s="10" t="str">
        <f aca="false">IF($L96="","",INDEX('Price List'!$C$2:$C$1352,$L96)&amp;"")</f>
        <v>Paperboard</v>
      </c>
      <c r="D96" s="11" t="str">
        <f aca="false">IF($L96="","",INDEX('Price List'!$D$2:$D$1352,$L96)&amp;"")</f>
        <v>Foldcote - Sandwich</v>
      </c>
      <c r="E96" s="11" t="str">
        <f aca="false">IF($L96="","",INDEX('Price List'!$E$2:$E$1352,$L96)&amp;"")</f>
        <v/>
      </c>
      <c r="F96" s="10" t="str">
        <f aca="false">IF($L96="","",INDEX('Price List'!$F$2:$F$1352,$L96)&amp;"")</f>
        <v>Cal. 12</v>
      </c>
      <c r="G96" s="10" t="str">
        <f aca="false">IF($L96="","",INDEX('Price List'!$G$2:$G$1352,$L96)&amp;"")</f>
        <v/>
      </c>
      <c r="H96" s="10" t="str">
        <f aca="false">IF($L96="","",INDEX('Price List'!$H$2:$H$1352,$L96)&amp;"")</f>
        <v>sheet</v>
      </c>
      <c r="I96" s="12" t="n">
        <f aca="false">IF($L96="","",IF(INDEX('Price List'!$I$2:$I$1352,$L96)="","",INDEX('Price List'!$I$2:$I$1352,$L96)))</f>
        <v>13</v>
      </c>
      <c r="J96" s="11" t="str">
        <f aca="false">IF($L96="","",INDEX('Price List'!$J$2:$J$1352,$L96)&amp;"")</f>
        <v/>
      </c>
      <c r="K96" s="10" t="str">
        <f aca="false">IF($L96="","",INDEX('Price List'!$K$2:$K$1352,$L96)&amp;"")</f>
        <v>Nov 7, 2023</v>
      </c>
      <c r="L96" s="13" t="n">
        <f aca="false">IF(86&gt;$H$4,"",MATCH(86,'Price List'!$M$2:$M$1352,0))</f>
        <v>86</v>
      </c>
    </row>
    <row r="97" customFormat="false" ht="15" hidden="false" customHeight="false" outlineLevel="0" collapsed="false">
      <c r="A97" s="9" t="n">
        <v>87</v>
      </c>
      <c r="B97" s="10" t="str">
        <f aca="false">IF($L97="","",INDEX('Price List'!$B$2:$B$1352,$L97)&amp;"")</f>
        <v>NAPPCO (Nov 7, 2023 list)</v>
      </c>
      <c r="C97" s="10" t="str">
        <f aca="false">IF($L97="","",INDEX('Price List'!$C$2:$C$1352,$L97)&amp;"")</f>
        <v>Paperboard</v>
      </c>
      <c r="D97" s="11" t="str">
        <f aca="false">IF($L97="","",INDEX('Price List'!$D$2:$D$1352,$L97)&amp;"")</f>
        <v>Foldcote - Solid</v>
      </c>
      <c r="E97" s="11" t="str">
        <f aca="false">IF($L97="","",INDEX('Price List'!$E$2:$E$1352,$L97)&amp;"")</f>
        <v/>
      </c>
      <c r="F97" s="10" t="str">
        <f aca="false">IF($L97="","",INDEX('Price List'!$F$2:$F$1352,$L97)&amp;"")</f>
        <v>Cal. 12</v>
      </c>
      <c r="G97" s="10" t="str">
        <f aca="false">IF($L97="","",INDEX('Price List'!$G$2:$G$1352,$L97)&amp;"")</f>
        <v/>
      </c>
      <c r="H97" s="10" t="str">
        <f aca="false">IF($L97="","",INDEX('Price List'!$H$2:$H$1352,$L97)&amp;"")</f>
        <v>sheet</v>
      </c>
      <c r="I97" s="12" t="n">
        <f aca="false">IF($L97="","",IF(INDEX('Price List'!$I$2:$I$1352,$L97)="","",INDEX('Price List'!$I$2:$I$1352,$L97)))</f>
        <v>22.5</v>
      </c>
      <c r="J97" s="11" t="str">
        <f aca="false">IF($L97="","",INDEX('Price List'!$J$2:$J$1352,$L97)&amp;"")</f>
        <v/>
      </c>
      <c r="K97" s="10" t="str">
        <f aca="false">IF($L97="","",INDEX('Price List'!$K$2:$K$1352,$L97)&amp;"")</f>
        <v>Nov 7, 2023</v>
      </c>
      <c r="L97" s="13" t="n">
        <f aca="false">IF(87&gt;$H$4,"",MATCH(87,'Price List'!$M$2:$M$1352,0))</f>
        <v>87</v>
      </c>
    </row>
    <row r="98" customFormat="false" ht="15" hidden="false" customHeight="false" outlineLevel="0" collapsed="false">
      <c r="A98" s="9" t="n">
        <v>88</v>
      </c>
      <c r="B98" s="10" t="str">
        <f aca="false">IF($L98="","",INDEX('Price List'!$B$2:$B$1352,$L98)&amp;"")</f>
        <v>NAPPCO (Nov 7, 2023 list)</v>
      </c>
      <c r="C98" s="10" t="str">
        <f aca="false">IF($L98="","",INDEX('Price List'!$C$2:$C$1352,$L98)&amp;"")</f>
        <v>Paperboard</v>
      </c>
      <c r="D98" s="11" t="str">
        <f aca="false">IF($L98="","",INDEX('Price List'!$D$2:$D$1352,$L98)&amp;"")</f>
        <v>Claycoat</v>
      </c>
      <c r="E98" s="11" t="str">
        <f aca="false">IF($L98="","",INDEX('Price List'!$E$2:$E$1352,$L98)&amp;"")</f>
        <v>KR / TW</v>
      </c>
      <c r="F98" s="10" t="str">
        <f aca="false">IF($L98="","",INDEX('Price List'!$F$2:$F$1352,$L98)&amp;"")</f>
        <v>Cal. 12</v>
      </c>
      <c r="G98" s="10" t="str">
        <f aca="false">IF($L98="","",INDEX('Price List'!$G$2:$G$1352,$L98)&amp;"")</f>
        <v/>
      </c>
      <c r="H98" s="10" t="str">
        <f aca="false">IF($L98="","",INDEX('Price List'!$H$2:$H$1352,$L98)&amp;"")</f>
        <v>sheet</v>
      </c>
      <c r="I98" s="12" t="n">
        <f aca="false">IF($L98="","",IF(INDEX('Price List'!$I$2:$I$1352,$L98)="","",INDEX('Price List'!$I$2:$I$1352,$L98)))</f>
        <v>10.5</v>
      </c>
      <c r="J98" s="11" t="str">
        <f aca="false">IF($L98="","",INDEX('Price List'!$J$2:$J$1352,$L98)&amp;"")</f>
        <v/>
      </c>
      <c r="K98" s="10" t="str">
        <f aca="false">IF($L98="","",INDEX('Price List'!$K$2:$K$1352,$L98)&amp;"")</f>
        <v>Nov 7, 2023</v>
      </c>
      <c r="L98" s="13" t="n">
        <f aca="false">IF(88&gt;$H$4,"",MATCH(88,'Price List'!$M$2:$M$1352,0))</f>
        <v>88</v>
      </c>
    </row>
    <row r="99" customFormat="false" ht="15" hidden="false" customHeight="false" outlineLevel="0" collapsed="false">
      <c r="A99" s="9" t="n">
        <v>89</v>
      </c>
      <c r="B99" s="10" t="str">
        <f aca="false">IF($L99="","",INDEX('Price List'!$B$2:$B$1352,$L99)&amp;"")</f>
        <v>NAPPCO (Nov 7, 2023 list)</v>
      </c>
      <c r="C99" s="10" t="str">
        <f aca="false">IF($L99="","",INDEX('Price List'!$C$2:$C$1352,$L99)&amp;"")</f>
        <v>Paperboard</v>
      </c>
      <c r="D99" s="11" t="str">
        <f aca="false">IF($L99="","",INDEX('Price List'!$D$2:$D$1352,$L99)&amp;"")</f>
        <v>Carrier (All Kinds)</v>
      </c>
      <c r="E99" s="11" t="str">
        <f aca="false">IF($L99="","",INDEX('Price List'!$E$2:$E$1352,$L99)&amp;"")</f>
        <v/>
      </c>
      <c r="F99" s="10" t="str">
        <f aca="false">IF($L99="","",INDEX('Price List'!$F$2:$F$1352,$L99)&amp;"")</f>
        <v>Cal. 12</v>
      </c>
      <c r="G99" s="10" t="str">
        <f aca="false">IF($L99="","",INDEX('Price List'!$G$2:$G$1352,$L99)&amp;"")</f>
        <v/>
      </c>
      <c r="H99" s="10" t="str">
        <f aca="false">IF($L99="","",INDEX('Price List'!$H$2:$H$1352,$L99)&amp;"")</f>
        <v>sheet</v>
      </c>
      <c r="I99" s="12" t="n">
        <f aca="false">IF($L99="","",IF(INDEX('Price List'!$I$2:$I$1352,$L99)="","",INDEX('Price List'!$I$2:$I$1352,$L99)))</f>
        <v>14</v>
      </c>
      <c r="J99" s="11" t="str">
        <f aca="false">IF($L99="","",INDEX('Price List'!$J$2:$J$1352,$L99)&amp;"")</f>
        <v/>
      </c>
      <c r="K99" s="10" t="str">
        <f aca="false">IF($L99="","",INDEX('Price List'!$K$2:$K$1352,$L99)&amp;"")</f>
        <v>Nov 7, 2023</v>
      </c>
      <c r="L99" s="13" t="n">
        <f aca="false">IF(89&gt;$H$4,"",MATCH(89,'Price List'!$M$2:$M$1352,0))</f>
        <v>89</v>
      </c>
    </row>
    <row r="100" customFormat="false" ht="15" hidden="false" customHeight="false" outlineLevel="0" collapsed="false">
      <c r="A100" s="9" t="n">
        <v>90</v>
      </c>
      <c r="B100" s="10" t="str">
        <f aca="false">IF($L100="","",INDEX('Price List'!$B$2:$B$1352,$L100)&amp;"")</f>
        <v>NAPPCO (Nov 7, 2023 list)</v>
      </c>
      <c r="C100" s="10" t="str">
        <f aca="false">IF($L100="","",INDEX('Price List'!$C$2:$C$1352,$L100)&amp;"")</f>
        <v>Paperboard</v>
      </c>
      <c r="D100" s="11" t="str">
        <f aca="false">IF($L100="","",INDEX('Price List'!$D$2:$D$1352,$L100)&amp;"")</f>
        <v>Foldcote - Sandwich</v>
      </c>
      <c r="E100" s="11" t="str">
        <f aca="false">IF($L100="","",INDEX('Price List'!$E$2:$E$1352,$L100)&amp;"")</f>
        <v/>
      </c>
      <c r="F100" s="10" t="str">
        <f aca="false">IF($L100="","",INDEX('Price List'!$F$2:$F$1352,$L100)&amp;"")</f>
        <v>Cal. 15</v>
      </c>
      <c r="G100" s="10" t="str">
        <f aca="false">IF($L100="","",INDEX('Price List'!$G$2:$G$1352,$L100)&amp;"")</f>
        <v/>
      </c>
      <c r="H100" s="10" t="str">
        <f aca="false">IF($L100="","",INDEX('Price List'!$H$2:$H$1352,$L100)&amp;"")</f>
        <v>sheet</v>
      </c>
      <c r="I100" s="12" t="n">
        <f aca="false">IF($L100="","",IF(INDEX('Price List'!$I$2:$I$1352,$L100)="","",INDEX('Price List'!$I$2:$I$1352,$L100)))</f>
        <v>15</v>
      </c>
      <c r="J100" s="11" t="str">
        <f aca="false">IF($L100="","",INDEX('Price List'!$J$2:$J$1352,$L100)&amp;"")</f>
        <v/>
      </c>
      <c r="K100" s="10" t="str">
        <f aca="false">IF($L100="","",INDEX('Price List'!$K$2:$K$1352,$L100)&amp;"")</f>
        <v>Nov 7, 2023</v>
      </c>
      <c r="L100" s="13" t="n">
        <f aca="false">IF(90&gt;$H$4,"",MATCH(90,'Price List'!$M$2:$M$1352,0))</f>
        <v>90</v>
      </c>
    </row>
    <row r="101" customFormat="false" ht="15" hidden="false" customHeight="false" outlineLevel="0" collapsed="false">
      <c r="A101" s="9" t="n">
        <v>91</v>
      </c>
      <c r="B101" s="10" t="str">
        <f aca="false">IF($L101="","",INDEX('Price List'!$B$2:$B$1352,$L101)&amp;"")</f>
        <v>NAPPCO (Nov 7, 2023 list)</v>
      </c>
      <c r="C101" s="10" t="str">
        <f aca="false">IF($L101="","",INDEX('Price List'!$C$2:$C$1352,$L101)&amp;"")</f>
        <v>Paperboard</v>
      </c>
      <c r="D101" s="11" t="str">
        <f aca="false">IF($L101="","",INDEX('Price List'!$D$2:$D$1352,$L101)&amp;"")</f>
        <v>Foldcote - Solid</v>
      </c>
      <c r="E101" s="11" t="str">
        <f aca="false">IF($L101="","",INDEX('Price List'!$E$2:$E$1352,$L101)&amp;"")</f>
        <v/>
      </c>
      <c r="F101" s="10" t="str">
        <f aca="false">IF($L101="","",INDEX('Price List'!$F$2:$F$1352,$L101)&amp;"")</f>
        <v>Cal. 15</v>
      </c>
      <c r="G101" s="10" t="str">
        <f aca="false">IF($L101="","",INDEX('Price List'!$G$2:$G$1352,$L101)&amp;"")</f>
        <v/>
      </c>
      <c r="H101" s="10" t="str">
        <f aca="false">IF($L101="","",INDEX('Price List'!$H$2:$H$1352,$L101)&amp;"")</f>
        <v>sheet</v>
      </c>
      <c r="I101" s="12" t="n">
        <f aca="false">IF($L101="","",IF(INDEX('Price List'!$I$2:$I$1352,$L101)="","",INDEX('Price List'!$I$2:$I$1352,$L101)))</f>
        <v>27.5</v>
      </c>
      <c r="J101" s="11" t="str">
        <f aca="false">IF($L101="","",INDEX('Price List'!$J$2:$J$1352,$L101)&amp;"")</f>
        <v/>
      </c>
      <c r="K101" s="10" t="str">
        <f aca="false">IF($L101="","",INDEX('Price List'!$K$2:$K$1352,$L101)&amp;"")</f>
        <v>Nov 7, 2023</v>
      </c>
      <c r="L101" s="13" t="n">
        <f aca="false">IF(91&gt;$H$4,"",MATCH(91,'Price List'!$M$2:$M$1352,0))</f>
        <v>91</v>
      </c>
    </row>
    <row r="102" customFormat="false" ht="15" hidden="false" customHeight="false" outlineLevel="0" collapsed="false">
      <c r="A102" s="9" t="n">
        <v>92</v>
      </c>
      <c r="B102" s="10" t="str">
        <f aca="false">IF($L102="","",INDEX('Price List'!$B$2:$B$1352,$L102)&amp;"")</f>
        <v>NAPPCO (Nov 7, 2023 list)</v>
      </c>
      <c r="C102" s="10" t="str">
        <f aca="false">IF($L102="","",INDEX('Price List'!$C$2:$C$1352,$L102)&amp;"")</f>
        <v>Paperboard</v>
      </c>
      <c r="D102" s="11" t="str">
        <f aca="false">IF($L102="","",INDEX('Price List'!$D$2:$D$1352,$L102)&amp;"")</f>
        <v>Claycoat</v>
      </c>
      <c r="E102" s="11" t="str">
        <f aca="false">IF($L102="","",INDEX('Price List'!$E$2:$E$1352,$L102)&amp;"")</f>
        <v>KR / TW</v>
      </c>
      <c r="F102" s="10" t="str">
        <f aca="false">IF($L102="","",INDEX('Price List'!$F$2:$F$1352,$L102)&amp;"")</f>
        <v>Cal. 15</v>
      </c>
      <c r="G102" s="10" t="str">
        <f aca="false">IF($L102="","",INDEX('Price List'!$G$2:$G$1352,$L102)&amp;"")</f>
        <v/>
      </c>
      <c r="H102" s="10" t="str">
        <f aca="false">IF($L102="","",INDEX('Price List'!$H$2:$H$1352,$L102)&amp;"")</f>
        <v>sheet</v>
      </c>
      <c r="I102" s="12" t="n">
        <f aca="false">IF($L102="","",IF(INDEX('Price List'!$I$2:$I$1352,$L102)="","",INDEX('Price List'!$I$2:$I$1352,$L102)))</f>
        <v>12.5</v>
      </c>
      <c r="J102" s="11" t="str">
        <f aca="false">IF($L102="","",INDEX('Price List'!$J$2:$J$1352,$L102)&amp;"")</f>
        <v>KR 12.50 / TW 13.00</v>
      </c>
      <c r="K102" s="10" t="str">
        <f aca="false">IF($L102="","",INDEX('Price List'!$K$2:$K$1352,$L102)&amp;"")</f>
        <v>Nov 7, 2023</v>
      </c>
      <c r="L102" s="13" t="n">
        <f aca="false">IF(92&gt;$H$4,"",MATCH(92,'Price List'!$M$2:$M$1352,0))</f>
        <v>92</v>
      </c>
    </row>
    <row r="103" customFormat="false" ht="15" hidden="false" customHeight="false" outlineLevel="0" collapsed="false">
      <c r="A103" s="9" t="n">
        <v>93</v>
      </c>
      <c r="B103" s="10" t="str">
        <f aca="false">IF($L103="","",INDEX('Price List'!$B$2:$B$1352,$L103)&amp;"")</f>
        <v>NAPPCO (Nov 7, 2023 list)</v>
      </c>
      <c r="C103" s="10" t="str">
        <f aca="false">IF($L103="","",INDEX('Price List'!$C$2:$C$1352,$L103)&amp;"")</f>
        <v>Paperboard</v>
      </c>
      <c r="D103" s="11" t="str">
        <f aca="false">IF($L103="","",INDEX('Price List'!$D$2:$D$1352,$L103)&amp;"")</f>
        <v>Carrier (All Kinds)</v>
      </c>
      <c r="E103" s="11" t="str">
        <f aca="false">IF($L103="","",INDEX('Price List'!$E$2:$E$1352,$L103)&amp;"")</f>
        <v/>
      </c>
      <c r="F103" s="10" t="str">
        <f aca="false">IF($L103="","",INDEX('Price List'!$F$2:$F$1352,$L103)&amp;"")</f>
        <v>Cal. 15</v>
      </c>
      <c r="G103" s="10" t="str">
        <f aca="false">IF($L103="","",INDEX('Price List'!$G$2:$G$1352,$L103)&amp;"")</f>
        <v/>
      </c>
      <c r="H103" s="10" t="str">
        <f aca="false">IF($L103="","",INDEX('Price List'!$H$2:$H$1352,$L103)&amp;"")</f>
        <v>sheet</v>
      </c>
      <c r="I103" s="12" t="n">
        <f aca="false">IF($L103="","",IF(INDEX('Price List'!$I$2:$I$1352,$L103)="","",INDEX('Price List'!$I$2:$I$1352,$L103)))</f>
        <v>16.5</v>
      </c>
      <c r="J103" s="11" t="str">
        <f aca="false">IF($L103="","",INDEX('Price List'!$J$2:$J$1352,$L103)&amp;"")</f>
        <v/>
      </c>
      <c r="K103" s="10" t="str">
        <f aca="false">IF($L103="","",INDEX('Price List'!$K$2:$K$1352,$L103)&amp;"")</f>
        <v>Nov 7, 2023</v>
      </c>
      <c r="L103" s="13" t="n">
        <f aca="false">IF(93&gt;$H$4,"",MATCH(93,'Price List'!$M$2:$M$1352,0))</f>
        <v>93</v>
      </c>
    </row>
    <row r="104" customFormat="false" ht="15" hidden="false" customHeight="false" outlineLevel="0" collapsed="false">
      <c r="A104" s="9" t="n">
        <v>94</v>
      </c>
      <c r="B104" s="10" t="str">
        <f aca="false">IF($L104="","",INDEX('Price List'!$B$2:$B$1352,$L104)&amp;"")</f>
        <v>NAPPCO (Nov 7, 2023 list)</v>
      </c>
      <c r="C104" s="10" t="str">
        <f aca="false">IF($L104="","",INDEX('Price List'!$C$2:$C$1352,$L104)&amp;"")</f>
        <v>Paperboard</v>
      </c>
      <c r="D104" s="11" t="str">
        <f aca="false">IF($L104="","",INDEX('Price List'!$D$2:$D$1352,$L104)&amp;"")</f>
        <v>Foldcote - Sandwich</v>
      </c>
      <c r="E104" s="11" t="str">
        <f aca="false">IF($L104="","",INDEX('Price List'!$E$2:$E$1352,$L104)&amp;"")</f>
        <v/>
      </c>
      <c r="F104" s="10" t="str">
        <f aca="false">IF($L104="","",INDEX('Price List'!$F$2:$F$1352,$L104)&amp;"")</f>
        <v>Cal. 18</v>
      </c>
      <c r="G104" s="10" t="str">
        <f aca="false">IF($L104="","",INDEX('Price List'!$G$2:$G$1352,$L104)&amp;"")</f>
        <v/>
      </c>
      <c r="H104" s="10" t="str">
        <f aca="false">IF($L104="","",INDEX('Price List'!$H$2:$H$1352,$L104)&amp;"")</f>
        <v>sheet</v>
      </c>
      <c r="I104" s="12" t="n">
        <f aca="false">IF($L104="","",IF(INDEX('Price List'!$I$2:$I$1352,$L104)="","",INDEX('Price List'!$I$2:$I$1352,$L104)))</f>
        <v>18</v>
      </c>
      <c r="J104" s="11" t="str">
        <f aca="false">IF($L104="","",INDEX('Price List'!$J$2:$J$1352,$L104)&amp;"")</f>
        <v/>
      </c>
      <c r="K104" s="10" t="str">
        <f aca="false">IF($L104="","",INDEX('Price List'!$K$2:$K$1352,$L104)&amp;"")</f>
        <v>Nov 7, 2023</v>
      </c>
      <c r="L104" s="13" t="n">
        <f aca="false">IF(94&gt;$H$4,"",MATCH(94,'Price List'!$M$2:$M$1352,0))</f>
        <v>94</v>
      </c>
    </row>
    <row r="105" customFormat="false" ht="15" hidden="false" customHeight="false" outlineLevel="0" collapsed="false">
      <c r="A105" s="9" t="n">
        <v>95</v>
      </c>
      <c r="B105" s="10" t="str">
        <f aca="false">IF($L105="","",INDEX('Price List'!$B$2:$B$1352,$L105)&amp;"")</f>
        <v>NAPPCO (Nov 7, 2023 list)</v>
      </c>
      <c r="C105" s="10" t="str">
        <f aca="false">IF($L105="","",INDEX('Price List'!$C$2:$C$1352,$L105)&amp;"")</f>
        <v>Paperboard</v>
      </c>
      <c r="D105" s="11" t="str">
        <f aca="false">IF($L105="","",INDEX('Price List'!$D$2:$D$1352,$L105)&amp;"")</f>
        <v>Foldcote - Solid</v>
      </c>
      <c r="E105" s="11" t="str">
        <f aca="false">IF($L105="","",INDEX('Price List'!$E$2:$E$1352,$L105)&amp;"")</f>
        <v/>
      </c>
      <c r="F105" s="10" t="str">
        <f aca="false">IF($L105="","",INDEX('Price List'!$F$2:$F$1352,$L105)&amp;"")</f>
        <v>Cal. 18</v>
      </c>
      <c r="G105" s="10" t="str">
        <f aca="false">IF($L105="","",INDEX('Price List'!$G$2:$G$1352,$L105)&amp;"")</f>
        <v/>
      </c>
      <c r="H105" s="10" t="str">
        <f aca="false">IF($L105="","",INDEX('Price List'!$H$2:$H$1352,$L105)&amp;"")</f>
        <v>sheet</v>
      </c>
      <c r="I105" s="12" t="n">
        <f aca="false">IF($L105="","",IF(INDEX('Price List'!$I$2:$I$1352,$L105)="","",INDEX('Price List'!$I$2:$I$1352,$L105)))</f>
        <v>31.5</v>
      </c>
      <c r="J105" s="11" t="str">
        <f aca="false">IF($L105="","",INDEX('Price List'!$J$2:$J$1352,$L105)&amp;"")</f>
        <v/>
      </c>
      <c r="K105" s="10" t="str">
        <f aca="false">IF($L105="","",INDEX('Price List'!$K$2:$K$1352,$L105)&amp;"")</f>
        <v>Nov 7, 2023</v>
      </c>
      <c r="L105" s="13" t="n">
        <f aca="false">IF(95&gt;$H$4,"",MATCH(95,'Price List'!$M$2:$M$1352,0))</f>
        <v>95</v>
      </c>
    </row>
    <row r="106" customFormat="false" ht="15" hidden="false" customHeight="false" outlineLevel="0" collapsed="false">
      <c r="A106" s="9" t="n">
        <v>96</v>
      </c>
      <c r="B106" s="10" t="str">
        <f aca="false">IF($L106="","",INDEX('Price List'!$B$2:$B$1352,$L106)&amp;"")</f>
        <v>NAPPCO (Nov 7, 2023 list)</v>
      </c>
      <c r="C106" s="10" t="str">
        <f aca="false">IF($L106="","",INDEX('Price List'!$C$2:$C$1352,$L106)&amp;"")</f>
        <v>Paperboard</v>
      </c>
      <c r="D106" s="11" t="str">
        <f aca="false">IF($L106="","",INDEX('Price List'!$D$2:$D$1352,$L106)&amp;"")</f>
        <v>Claycoat</v>
      </c>
      <c r="E106" s="11" t="str">
        <f aca="false">IF($L106="","",INDEX('Price List'!$E$2:$E$1352,$L106)&amp;"")</f>
        <v>KR / TW</v>
      </c>
      <c r="F106" s="10" t="str">
        <f aca="false">IF($L106="","",INDEX('Price List'!$F$2:$F$1352,$L106)&amp;"")</f>
        <v>Cal. 18</v>
      </c>
      <c r="G106" s="10" t="str">
        <f aca="false">IF($L106="","",INDEX('Price List'!$G$2:$G$1352,$L106)&amp;"")</f>
        <v/>
      </c>
      <c r="H106" s="10" t="str">
        <f aca="false">IF($L106="","",INDEX('Price List'!$H$2:$H$1352,$L106)&amp;"")</f>
        <v>sheet</v>
      </c>
      <c r="I106" s="12" t="n">
        <f aca="false">IF($L106="","",IF(INDEX('Price List'!$I$2:$I$1352,$L106)="","",INDEX('Price List'!$I$2:$I$1352,$L106)))</f>
        <v>14</v>
      </c>
      <c r="J106" s="11" t="str">
        <f aca="false">IF($L106="","",INDEX('Price List'!$J$2:$J$1352,$L106)&amp;"")</f>
        <v>KR 14.00 / TW 14.50</v>
      </c>
      <c r="K106" s="10" t="str">
        <f aca="false">IF($L106="","",INDEX('Price List'!$K$2:$K$1352,$L106)&amp;"")</f>
        <v>Nov 7, 2023</v>
      </c>
      <c r="L106" s="13" t="n">
        <f aca="false">IF(96&gt;$H$4,"",MATCH(96,'Price List'!$M$2:$M$1352,0))</f>
        <v>96</v>
      </c>
    </row>
    <row r="107" customFormat="false" ht="15" hidden="false" customHeight="false" outlineLevel="0" collapsed="false">
      <c r="A107" s="9" t="n">
        <v>97</v>
      </c>
      <c r="B107" s="10" t="str">
        <f aca="false">IF($L107="","",INDEX('Price List'!$B$2:$B$1352,$L107)&amp;"")</f>
        <v>NAPPCO (Nov 7, 2023 list)</v>
      </c>
      <c r="C107" s="10" t="str">
        <f aca="false">IF($L107="","",INDEX('Price List'!$C$2:$C$1352,$L107)&amp;"")</f>
        <v>Paperboard</v>
      </c>
      <c r="D107" s="11" t="str">
        <f aca="false">IF($L107="","",INDEX('Price List'!$D$2:$D$1352,$L107)&amp;"")</f>
        <v>Carrier (All Kinds)</v>
      </c>
      <c r="E107" s="11" t="str">
        <f aca="false">IF($L107="","",INDEX('Price List'!$E$2:$E$1352,$L107)&amp;"")</f>
        <v/>
      </c>
      <c r="F107" s="10" t="str">
        <f aca="false">IF($L107="","",INDEX('Price List'!$F$2:$F$1352,$L107)&amp;"")</f>
        <v>Cal. 18</v>
      </c>
      <c r="G107" s="10" t="str">
        <f aca="false">IF($L107="","",INDEX('Price List'!$G$2:$G$1352,$L107)&amp;"")</f>
        <v/>
      </c>
      <c r="H107" s="10" t="str">
        <f aca="false">IF($L107="","",INDEX('Price List'!$H$2:$H$1352,$L107)&amp;"")</f>
        <v>sheet</v>
      </c>
      <c r="I107" s="12" t="n">
        <f aca="false">IF($L107="","",IF(INDEX('Price List'!$I$2:$I$1352,$L107)="","",INDEX('Price List'!$I$2:$I$1352,$L107)))</f>
        <v>18.5</v>
      </c>
      <c r="J107" s="11" t="str">
        <f aca="false">IF($L107="","",INDEX('Price List'!$J$2:$J$1352,$L107)&amp;"")</f>
        <v/>
      </c>
      <c r="K107" s="10" t="str">
        <f aca="false">IF($L107="","",INDEX('Price List'!$K$2:$K$1352,$L107)&amp;"")</f>
        <v>Nov 7, 2023</v>
      </c>
      <c r="L107" s="13" t="n">
        <f aca="false">IF(97&gt;$H$4,"",MATCH(97,'Price List'!$M$2:$M$1352,0))</f>
        <v>97</v>
      </c>
    </row>
    <row r="108" customFormat="false" ht="15" hidden="false" customHeight="false" outlineLevel="0" collapsed="false">
      <c r="A108" s="9" t="n">
        <v>98</v>
      </c>
      <c r="B108" s="10" t="str">
        <f aca="false">IF($L108="","",INDEX('Price List'!$B$2:$B$1352,$L108)&amp;"")</f>
        <v>NAPPCO (Nov 7, 2023 list)</v>
      </c>
      <c r="C108" s="10" t="str">
        <f aca="false">IF($L108="","",INDEX('Price List'!$C$2:$C$1352,$L108)&amp;"")</f>
        <v>Paperboard</v>
      </c>
      <c r="D108" s="11" t="str">
        <f aca="false">IF($L108="","",INDEX('Price List'!$D$2:$D$1352,$L108)&amp;"")</f>
        <v>Foldcote - Sandwich</v>
      </c>
      <c r="E108" s="11" t="str">
        <f aca="false">IF($L108="","",INDEX('Price List'!$E$2:$E$1352,$L108)&amp;"")</f>
        <v/>
      </c>
      <c r="F108" s="10" t="str">
        <f aca="false">IF($L108="","",INDEX('Price List'!$F$2:$F$1352,$L108)&amp;"")</f>
        <v>Cal. 20</v>
      </c>
      <c r="G108" s="10" t="str">
        <f aca="false">IF($L108="","",INDEX('Price List'!$G$2:$G$1352,$L108)&amp;"")</f>
        <v/>
      </c>
      <c r="H108" s="10" t="str">
        <f aca="false">IF($L108="","",INDEX('Price List'!$H$2:$H$1352,$L108)&amp;"")</f>
        <v>sheet</v>
      </c>
      <c r="I108" s="12" t="n">
        <f aca="false">IF($L108="","",IF(INDEX('Price List'!$I$2:$I$1352,$L108)="","",INDEX('Price List'!$I$2:$I$1352,$L108)))</f>
        <v>20.5</v>
      </c>
      <c r="J108" s="11" t="str">
        <f aca="false">IF($L108="","",INDEX('Price List'!$J$2:$J$1352,$L108)&amp;"")</f>
        <v/>
      </c>
      <c r="K108" s="10" t="str">
        <f aca="false">IF($L108="","",INDEX('Price List'!$K$2:$K$1352,$L108)&amp;"")</f>
        <v>Nov 7, 2023</v>
      </c>
      <c r="L108" s="13" t="n">
        <f aca="false">IF(98&gt;$H$4,"",MATCH(98,'Price List'!$M$2:$M$1352,0))</f>
        <v>98</v>
      </c>
    </row>
    <row r="109" customFormat="false" ht="15" hidden="false" customHeight="false" outlineLevel="0" collapsed="false">
      <c r="A109" s="9" t="n">
        <v>99</v>
      </c>
      <c r="B109" s="10" t="str">
        <f aca="false">IF($L109="","",INDEX('Price List'!$B$2:$B$1352,$L109)&amp;"")</f>
        <v>NAPPCO (Nov 7, 2023 list)</v>
      </c>
      <c r="C109" s="10" t="str">
        <f aca="false">IF($L109="","",INDEX('Price List'!$C$2:$C$1352,$L109)&amp;"")</f>
        <v>Paperboard</v>
      </c>
      <c r="D109" s="11" t="str">
        <f aca="false">IF($L109="","",INDEX('Price List'!$D$2:$D$1352,$L109)&amp;"")</f>
        <v>Foldcote - Solid</v>
      </c>
      <c r="E109" s="11" t="str">
        <f aca="false">IF($L109="","",INDEX('Price List'!$E$2:$E$1352,$L109)&amp;"")</f>
        <v/>
      </c>
      <c r="F109" s="10" t="str">
        <f aca="false">IF($L109="","",INDEX('Price List'!$F$2:$F$1352,$L109)&amp;"")</f>
        <v>Cal. 20</v>
      </c>
      <c r="G109" s="10" t="str">
        <f aca="false">IF($L109="","",INDEX('Price List'!$G$2:$G$1352,$L109)&amp;"")</f>
        <v/>
      </c>
      <c r="H109" s="10" t="str">
        <f aca="false">IF($L109="","",INDEX('Price List'!$H$2:$H$1352,$L109)&amp;"")</f>
        <v>sheet</v>
      </c>
      <c r="I109" s="12" t="n">
        <f aca="false">IF($L109="","",IF(INDEX('Price List'!$I$2:$I$1352,$L109)="","",INDEX('Price List'!$I$2:$I$1352,$L109)))</f>
        <v>33.5</v>
      </c>
      <c r="J109" s="11" t="str">
        <f aca="false">IF($L109="","",INDEX('Price List'!$J$2:$J$1352,$L109)&amp;"")</f>
        <v/>
      </c>
      <c r="K109" s="10" t="str">
        <f aca="false">IF($L109="","",INDEX('Price List'!$K$2:$K$1352,$L109)&amp;"")</f>
        <v>Nov 7, 2023</v>
      </c>
      <c r="L109" s="13" t="n">
        <f aca="false">IF(99&gt;$H$4,"",MATCH(99,'Price List'!$M$2:$M$1352,0))</f>
        <v>99</v>
      </c>
    </row>
    <row r="110" customFormat="false" ht="15" hidden="false" customHeight="false" outlineLevel="0" collapsed="false">
      <c r="A110" s="9" t="n">
        <v>100</v>
      </c>
      <c r="B110" s="10" t="str">
        <f aca="false">IF($L110="","",INDEX('Price List'!$B$2:$B$1352,$L110)&amp;"")</f>
        <v>NAPPCO (Nov 7, 2023 list)</v>
      </c>
      <c r="C110" s="10" t="str">
        <f aca="false">IF($L110="","",INDEX('Price List'!$C$2:$C$1352,$L110)&amp;"")</f>
        <v>Paperboard</v>
      </c>
      <c r="D110" s="11" t="str">
        <f aca="false">IF($L110="","",INDEX('Price List'!$D$2:$D$1352,$L110)&amp;"")</f>
        <v>Claycoat</v>
      </c>
      <c r="E110" s="11" t="str">
        <f aca="false">IF($L110="","",INDEX('Price List'!$E$2:$E$1352,$L110)&amp;"")</f>
        <v>KR / TW</v>
      </c>
      <c r="F110" s="10" t="str">
        <f aca="false">IF($L110="","",INDEX('Price List'!$F$2:$F$1352,$L110)&amp;"")</f>
        <v>Cal. 20</v>
      </c>
      <c r="G110" s="10" t="str">
        <f aca="false">IF($L110="","",INDEX('Price List'!$G$2:$G$1352,$L110)&amp;"")</f>
        <v/>
      </c>
      <c r="H110" s="10" t="str">
        <f aca="false">IF($L110="","",INDEX('Price List'!$H$2:$H$1352,$L110)&amp;"")</f>
        <v>sheet</v>
      </c>
      <c r="I110" s="12" t="n">
        <f aca="false">IF($L110="","",IF(INDEX('Price List'!$I$2:$I$1352,$L110)="","",INDEX('Price List'!$I$2:$I$1352,$L110)))</f>
        <v>16.5</v>
      </c>
      <c r="J110" s="11" t="str">
        <f aca="false">IF($L110="","",INDEX('Price List'!$J$2:$J$1352,$L110)&amp;"")</f>
        <v>KR 16.50 / TW 17.00</v>
      </c>
      <c r="K110" s="10" t="str">
        <f aca="false">IF($L110="","",INDEX('Price List'!$K$2:$K$1352,$L110)&amp;"")</f>
        <v>Nov 7, 2023</v>
      </c>
      <c r="L110" s="13" t="n">
        <f aca="false">IF(100&gt;$H$4,"",MATCH(100,'Price List'!$M$2:$M$1352,0))</f>
        <v>100</v>
      </c>
    </row>
    <row r="111" customFormat="false" ht="15" hidden="false" customHeight="false" outlineLevel="0" collapsed="false">
      <c r="A111" s="9" t="n">
        <v>101</v>
      </c>
      <c r="B111" s="10" t="str">
        <f aca="false">IF($L111="","",INDEX('Price List'!$B$2:$B$1352,$L111)&amp;"")</f>
        <v>NAPPCO (Nov 7, 2023 list)</v>
      </c>
      <c r="C111" s="10" t="str">
        <f aca="false">IF($L111="","",INDEX('Price List'!$C$2:$C$1352,$L111)&amp;"")</f>
        <v>Paperboard</v>
      </c>
      <c r="D111" s="11" t="str">
        <f aca="false">IF($L111="","",INDEX('Price List'!$D$2:$D$1352,$L111)&amp;"")</f>
        <v>Carrier (All Kinds)</v>
      </c>
      <c r="E111" s="11" t="str">
        <f aca="false">IF($L111="","",INDEX('Price List'!$E$2:$E$1352,$L111)&amp;"")</f>
        <v/>
      </c>
      <c r="F111" s="10" t="str">
        <f aca="false">IF($L111="","",INDEX('Price List'!$F$2:$F$1352,$L111)&amp;"")</f>
        <v>Cal. 20</v>
      </c>
      <c r="G111" s="10" t="str">
        <f aca="false">IF($L111="","",INDEX('Price List'!$G$2:$G$1352,$L111)&amp;"")</f>
        <v/>
      </c>
      <c r="H111" s="10" t="str">
        <f aca="false">IF($L111="","",INDEX('Price List'!$H$2:$H$1352,$L111)&amp;"")</f>
        <v>sheet</v>
      </c>
      <c r="I111" s="12" t="n">
        <f aca="false">IF($L111="","",IF(INDEX('Price List'!$I$2:$I$1352,$L111)="","",INDEX('Price List'!$I$2:$I$1352,$L111)))</f>
        <v>20</v>
      </c>
      <c r="J111" s="11" t="str">
        <f aca="false">IF($L111="","",INDEX('Price List'!$J$2:$J$1352,$L111)&amp;"")</f>
        <v/>
      </c>
      <c r="K111" s="10" t="str">
        <f aca="false">IF($L111="","",INDEX('Price List'!$K$2:$K$1352,$L111)&amp;"")</f>
        <v>Nov 7, 2023</v>
      </c>
      <c r="L111" s="13" t="n">
        <f aca="false">IF(101&gt;$H$4,"",MATCH(101,'Price List'!$M$2:$M$1352,0))</f>
        <v>101</v>
      </c>
    </row>
    <row r="112" customFormat="false" ht="15" hidden="false" customHeight="false" outlineLevel="0" collapsed="false">
      <c r="A112" s="9" t="n">
        <v>102</v>
      </c>
      <c r="B112" s="10" t="str">
        <f aca="false">IF($L112="","",INDEX('Price List'!$B$2:$B$1352,$L112)&amp;"")</f>
        <v>NAPPCO (Nov 7, 2023 list)</v>
      </c>
      <c r="C112" s="10" t="str">
        <f aca="false">IF($L112="","",INDEX('Price List'!$C$2:$C$1352,$L112)&amp;"")</f>
        <v>Paperboard</v>
      </c>
      <c r="D112" s="11" t="str">
        <f aca="false">IF($L112="","",INDEX('Price List'!$D$2:$D$1352,$L112)&amp;"")</f>
        <v>Carrier (All Kinds)</v>
      </c>
      <c r="E112" s="11" t="str">
        <f aca="false">IF($L112="","",INDEX('Price List'!$E$2:$E$1352,$L112)&amp;"")</f>
        <v/>
      </c>
      <c r="F112" s="10" t="str">
        <f aca="false">IF($L112="","",INDEX('Price List'!$F$2:$F$1352,$L112)&amp;"")</f>
        <v>Cal. 22</v>
      </c>
      <c r="G112" s="10" t="str">
        <f aca="false">IF($L112="","",INDEX('Price List'!$G$2:$G$1352,$L112)&amp;"")</f>
        <v/>
      </c>
      <c r="H112" s="10" t="str">
        <f aca="false">IF($L112="","",INDEX('Price List'!$H$2:$H$1352,$L112)&amp;"")</f>
        <v>sheet</v>
      </c>
      <c r="I112" s="12" t="n">
        <f aca="false">IF($L112="","",IF(INDEX('Price List'!$I$2:$I$1352,$L112)="","",INDEX('Price List'!$I$2:$I$1352,$L112)))</f>
        <v>22.5</v>
      </c>
      <c r="J112" s="11" t="str">
        <f aca="false">IF($L112="","",INDEX('Price List'!$J$2:$J$1352,$L112)&amp;"")</f>
        <v/>
      </c>
      <c r="K112" s="10" t="str">
        <f aca="false">IF($L112="","",INDEX('Price List'!$K$2:$K$1352,$L112)&amp;"")</f>
        <v>Nov 7, 2023</v>
      </c>
      <c r="L112" s="13" t="n">
        <f aca="false">IF(102&gt;$H$4,"",MATCH(102,'Price List'!$M$2:$M$1352,0))</f>
        <v>102</v>
      </c>
    </row>
    <row r="113" customFormat="false" ht="15" hidden="false" customHeight="false" outlineLevel="0" collapsed="false">
      <c r="A113" s="9" t="n">
        <v>103</v>
      </c>
      <c r="B113" s="10" t="str">
        <f aca="false">IF($L113="","",INDEX('Price List'!$B$2:$B$1352,$L113)&amp;"")</f>
        <v>NAPPCO (Nov 7, 2023 list)</v>
      </c>
      <c r="C113" s="10" t="str">
        <f aca="false">IF($L113="","",INDEX('Price List'!$C$2:$C$1352,$L113)&amp;"")</f>
        <v>Paperboard</v>
      </c>
      <c r="D113" s="11" t="str">
        <f aca="false">IF($L113="","",INDEX('Price List'!$D$2:$D$1352,$L113)&amp;"")</f>
        <v>Claycoat</v>
      </c>
      <c r="E113" s="11" t="str">
        <f aca="false">IF($L113="","",INDEX('Price List'!$E$2:$E$1352,$L113)&amp;"")</f>
        <v>KR / TW</v>
      </c>
      <c r="F113" s="10" t="str">
        <f aca="false">IF($L113="","",INDEX('Price List'!$F$2:$F$1352,$L113)&amp;"")</f>
        <v>Cal. 24</v>
      </c>
      <c r="G113" s="10" t="str">
        <f aca="false">IF($L113="","",INDEX('Price List'!$G$2:$G$1352,$L113)&amp;"")</f>
        <v/>
      </c>
      <c r="H113" s="10" t="str">
        <f aca="false">IF($L113="","",INDEX('Price List'!$H$2:$H$1352,$L113)&amp;"")</f>
        <v>sheet</v>
      </c>
      <c r="I113" s="12" t="n">
        <f aca="false">IF($L113="","",IF(INDEX('Price List'!$I$2:$I$1352,$L113)="","",INDEX('Price List'!$I$2:$I$1352,$L113)))</f>
        <v>18</v>
      </c>
      <c r="J113" s="11" t="str">
        <f aca="false">IF($L113="","",INDEX('Price List'!$J$2:$J$1352,$L113)&amp;"")</f>
        <v>KR 18.00 / TW 18.50</v>
      </c>
      <c r="K113" s="10" t="str">
        <f aca="false">IF($L113="","",INDEX('Price List'!$K$2:$K$1352,$L113)&amp;"")</f>
        <v>Nov 7, 2023</v>
      </c>
      <c r="L113" s="13" t="n">
        <f aca="false">IF(103&gt;$H$4,"",MATCH(103,'Price List'!$M$2:$M$1352,0))</f>
        <v>103</v>
      </c>
    </row>
    <row r="114" customFormat="false" ht="15" hidden="false" customHeight="false" outlineLevel="0" collapsed="false">
      <c r="A114" s="9" t="n">
        <v>104</v>
      </c>
      <c r="B114" s="10" t="str">
        <f aca="false">IF($L114="","",INDEX('Price List'!$B$2:$B$1352,$L114)&amp;"")</f>
        <v>NAPPCO (Nov 7, 2023 list)</v>
      </c>
      <c r="C114" s="10" t="str">
        <f aca="false">IF($L114="","",INDEX('Price List'!$C$2:$C$1352,$L114)&amp;"")</f>
        <v>Paperboard</v>
      </c>
      <c r="D114" s="11" t="str">
        <f aca="false">IF($L114="","",INDEX('Price List'!$D$2:$D$1352,$L114)&amp;"")</f>
        <v>Carrier (All Kinds)</v>
      </c>
      <c r="E114" s="11" t="str">
        <f aca="false">IF($L114="","",INDEX('Price List'!$E$2:$E$1352,$L114)&amp;"")</f>
        <v/>
      </c>
      <c r="F114" s="10" t="str">
        <f aca="false">IF($L114="","",INDEX('Price List'!$F$2:$F$1352,$L114)&amp;"")</f>
        <v>Cal. 24</v>
      </c>
      <c r="G114" s="10" t="str">
        <f aca="false">IF($L114="","",INDEX('Price List'!$G$2:$G$1352,$L114)&amp;"")</f>
        <v/>
      </c>
      <c r="H114" s="10" t="str">
        <f aca="false">IF($L114="","",INDEX('Price List'!$H$2:$H$1352,$L114)&amp;"")</f>
        <v>sheet</v>
      </c>
      <c r="I114" s="12" t="n">
        <f aca="false">IF($L114="","",IF(INDEX('Price List'!$I$2:$I$1352,$L114)="","",INDEX('Price List'!$I$2:$I$1352,$L114)))</f>
        <v>23.5</v>
      </c>
      <c r="J114" s="11" t="str">
        <f aca="false">IF($L114="","",INDEX('Price List'!$J$2:$J$1352,$L114)&amp;"")</f>
        <v/>
      </c>
      <c r="K114" s="10" t="str">
        <f aca="false">IF($L114="","",INDEX('Price List'!$K$2:$K$1352,$L114)&amp;"")</f>
        <v>Nov 7, 2023</v>
      </c>
      <c r="L114" s="13" t="n">
        <f aca="false">IF(104&gt;$H$4,"",MATCH(104,'Price List'!$M$2:$M$1352,0))</f>
        <v>104</v>
      </c>
    </row>
    <row r="115" customFormat="false" ht="15" hidden="false" customHeight="false" outlineLevel="0" collapsed="false">
      <c r="A115" s="9" t="n">
        <v>105</v>
      </c>
      <c r="B115" s="10" t="str">
        <f aca="false">IF($L115="","",INDEX('Price List'!$B$2:$B$1352,$L115)&amp;"")</f>
        <v>NAPPCO (Nov 7, 2023 list)</v>
      </c>
      <c r="C115" s="10" t="str">
        <f aca="false">IF($L115="","",INDEX('Price List'!$C$2:$C$1352,$L115)&amp;"")</f>
        <v>Paperboard</v>
      </c>
      <c r="D115" s="11" t="str">
        <f aca="false">IF($L115="","",INDEX('Price List'!$D$2:$D$1352,$L115)&amp;"")</f>
        <v>Carrier (All Kinds)</v>
      </c>
      <c r="E115" s="11" t="str">
        <f aca="false">IF($L115="","",INDEX('Price List'!$E$2:$E$1352,$L115)&amp;"")</f>
        <v/>
      </c>
      <c r="F115" s="10" t="str">
        <f aca="false">IF($L115="","",INDEX('Price List'!$F$2:$F$1352,$L115)&amp;"")</f>
        <v>Cal. 26</v>
      </c>
      <c r="G115" s="10" t="str">
        <f aca="false">IF($L115="","",INDEX('Price List'!$G$2:$G$1352,$L115)&amp;"")</f>
        <v/>
      </c>
      <c r="H115" s="10" t="str">
        <f aca="false">IF($L115="","",INDEX('Price List'!$H$2:$H$1352,$L115)&amp;"")</f>
        <v>sheet</v>
      </c>
      <c r="I115" s="12" t="n">
        <f aca="false">IF($L115="","",IF(INDEX('Price List'!$I$2:$I$1352,$L115)="","",INDEX('Price List'!$I$2:$I$1352,$L115)))</f>
        <v>30</v>
      </c>
      <c r="J115" s="11" t="str">
        <f aca="false">IF($L115="","",INDEX('Price List'!$J$2:$J$1352,$L115)&amp;"")</f>
        <v/>
      </c>
      <c r="K115" s="10" t="str">
        <f aca="false">IF($L115="","",INDEX('Price List'!$K$2:$K$1352,$L115)&amp;"")</f>
        <v>Nov 7, 2023</v>
      </c>
      <c r="L115" s="13" t="n">
        <f aca="false">IF(105&gt;$H$4,"",MATCH(105,'Price List'!$M$2:$M$1352,0))</f>
        <v>105</v>
      </c>
    </row>
    <row r="116" customFormat="false" ht="23.85" hidden="false" customHeight="false" outlineLevel="0" collapsed="false">
      <c r="A116" s="9" t="n">
        <v>106</v>
      </c>
      <c r="B116" s="10" t="str">
        <f aca="false">IF($L116="","",INDEX('Price List'!$B$2:$B$1352,$L116)&amp;"")</f>
        <v>NAPPCO (Nov 7, 2023 list)</v>
      </c>
      <c r="C116" s="10" t="str">
        <f aca="false">IF($L116="","",INDEX('Price List'!$C$2:$C$1352,$L116)&amp;"")</f>
        <v>Paperboard</v>
      </c>
      <c r="D116" s="11" t="str">
        <f aca="false">IF($L116="","",INDEX('Price List'!$D$2:$D$1352,$L116)&amp;"")</f>
        <v>CCKB</v>
      </c>
      <c r="E116" s="11" t="str">
        <f aca="false">IF($L116="","",INDEX('Price List'!$E$2:$E$1352,$L116)&amp;"")</f>
        <v>Claycoat price + 1</v>
      </c>
      <c r="F116" s="10" t="str">
        <f aca="false">IF($L116="","",INDEX('Price List'!$F$2:$F$1352,$L116)&amp;"")</f>
        <v/>
      </c>
      <c r="G116" s="10" t="str">
        <f aca="false">IF($L116="","",INDEX('Price List'!$G$2:$G$1352,$L116)&amp;"")</f>
        <v/>
      </c>
      <c r="H116" s="10" t="str">
        <f aca="false">IF($L116="","",INDEX('Price List'!$H$2:$H$1352,$L116)&amp;"")</f>
        <v>sheet</v>
      </c>
      <c r="I116" s="12" t="str">
        <f aca="false">IF($L116="","",IF(INDEX('Price List'!$I$2:$I$1352,$L116)="","",INDEX('Price List'!$I$2:$I$1352,$L116)))</f>
        <v/>
      </c>
      <c r="J116" s="11" t="str">
        <f aca="false">IF($L116="","",INDEX('Price List'!$J$2:$J$1352,$L116)&amp;"")</f>
        <v>Price = Claycoat + P1.00; Carrier cal.11 (SK) = P14</v>
      </c>
      <c r="K116" s="10" t="str">
        <f aca="false">IF($L116="","",INDEX('Price List'!$K$2:$K$1352,$L116)&amp;"")</f>
        <v>Nov 7, 2023</v>
      </c>
      <c r="L116" s="13" t="n">
        <f aca="false">IF(106&gt;$H$4,"",MATCH(106,'Price List'!$M$2:$M$1352,0))</f>
        <v>106</v>
      </c>
    </row>
    <row r="117" customFormat="false" ht="15" hidden="false" customHeight="false" outlineLevel="0" collapsed="false">
      <c r="A117" s="9" t="n">
        <v>107</v>
      </c>
      <c r="B117" s="10" t="str">
        <f aca="false">IF($L117="","",INDEX('Price List'!$B$2:$B$1352,$L117)&amp;"")</f>
        <v>NAPPCO (Nov 7, 2023 list)</v>
      </c>
      <c r="C117" s="10" t="str">
        <f aca="false">IF($L117="","",INDEX('Price List'!$C$2:$C$1352,$L117)&amp;"")</f>
        <v>Paperboard</v>
      </c>
      <c r="D117" s="11" t="str">
        <f aca="false">IF($L117="","",INDEX('Price List'!$D$2:$D$1352,$L117)&amp;"")</f>
        <v>MK</v>
      </c>
      <c r="E117" s="11" t="str">
        <f aca="false">IF($L117="","",INDEX('Price List'!$E$2:$E$1352,$L117)&amp;"")</f>
        <v>Same price as Solid</v>
      </c>
      <c r="F117" s="10" t="str">
        <f aca="false">IF($L117="","",INDEX('Price List'!$F$2:$F$1352,$L117)&amp;"")</f>
        <v/>
      </c>
      <c r="G117" s="10" t="str">
        <f aca="false">IF($L117="","",INDEX('Price List'!$G$2:$G$1352,$L117)&amp;"")</f>
        <v>37 x 45</v>
      </c>
      <c r="H117" s="10" t="str">
        <f aca="false">IF($L117="","",INDEX('Price List'!$H$2:$H$1352,$L117)&amp;"")</f>
        <v>sheet</v>
      </c>
      <c r="I117" s="12" t="str">
        <f aca="false">IF($L117="","",IF(INDEX('Price List'!$I$2:$I$1352,$L117)="","",INDEX('Price List'!$I$2:$I$1352,$L117)))</f>
        <v/>
      </c>
      <c r="J117" s="11" t="str">
        <f aca="false">IF($L117="","",INDEX('Price List'!$J$2:$J$1352,$L117)&amp;"")</f>
        <v>Same price as Foldcote Solid, base size 37x45</v>
      </c>
      <c r="K117" s="10" t="str">
        <f aca="false">IF($L117="","",INDEX('Price List'!$K$2:$K$1352,$L117)&amp;"")</f>
        <v>Nov 7, 2023</v>
      </c>
      <c r="L117" s="13" t="n">
        <f aca="false">IF(107&gt;$H$4,"",MATCH(107,'Price List'!$M$2:$M$1352,0))</f>
        <v>107</v>
      </c>
    </row>
    <row r="118" customFormat="false" ht="15" hidden="false" customHeight="false" outlineLevel="0" collapsed="false">
      <c r="A118" s="9" t="n">
        <v>108</v>
      </c>
      <c r="B118" s="10" t="str">
        <f aca="false">IF($L118="","",INDEX('Price List'!$B$2:$B$1352,$L118)&amp;"")</f>
        <v>NAPPCO (Nov 7, 2023 list)</v>
      </c>
      <c r="C118" s="10" t="str">
        <f aca="false">IF($L118="","",INDEX('Price List'!$C$2:$C$1352,$L118)&amp;"")</f>
        <v>Paperboard</v>
      </c>
      <c r="D118" s="11" t="str">
        <f aca="false">IF($L118="","",INDEX('Price List'!$D$2:$D$1352,$L118)&amp;"")</f>
        <v>Tagboard</v>
      </c>
      <c r="E118" s="11" t="str">
        <f aca="false">IF($L118="","",INDEX('Price List'!$E$2:$E$1352,$L118)&amp;"")</f>
        <v/>
      </c>
      <c r="F118" s="10" t="str">
        <f aca="false">IF($L118="","",INDEX('Price List'!$F$2:$F$1352,$L118)&amp;"")</f>
        <v>14 pts</v>
      </c>
      <c r="G118" s="10" t="str">
        <f aca="false">IF($L118="","",INDEX('Price List'!$G$2:$G$1352,$L118)&amp;"")</f>
        <v>37 x 45</v>
      </c>
      <c r="H118" s="10" t="str">
        <f aca="false">IF($L118="","",INDEX('Price List'!$H$2:$H$1352,$L118)&amp;"")</f>
        <v>sheet</v>
      </c>
      <c r="I118" s="12" t="n">
        <f aca="false">IF($L118="","",IF(INDEX('Price List'!$I$2:$I$1352,$L118)="","",INDEX('Price List'!$I$2:$I$1352,$L118)))</f>
        <v>30</v>
      </c>
      <c r="J118" s="11" t="str">
        <f aca="false">IF($L118="","",INDEX('Price List'!$J$2:$J$1352,$L118)&amp;"")</f>
        <v/>
      </c>
      <c r="K118" s="10" t="str">
        <f aca="false">IF($L118="","",INDEX('Price List'!$K$2:$K$1352,$L118)&amp;"")</f>
        <v>Nov 7, 2023</v>
      </c>
      <c r="L118" s="13" t="n">
        <f aca="false">IF(108&gt;$H$4,"",MATCH(108,'Price List'!$M$2:$M$1352,0))</f>
        <v>108</v>
      </c>
    </row>
    <row r="119" customFormat="false" ht="15" hidden="false" customHeight="false" outlineLevel="0" collapsed="false">
      <c r="A119" s="9" t="n">
        <v>109</v>
      </c>
      <c r="B119" s="10" t="str">
        <f aca="false">IF($L119="","",INDEX('Price List'!$B$2:$B$1352,$L119)&amp;"")</f>
        <v>NAPPCO (Nov 7, 2023 list)</v>
      </c>
      <c r="C119" s="10" t="str">
        <f aca="false">IF($L119="","",INDEX('Price List'!$C$2:$C$1352,$L119)&amp;"")</f>
        <v>Coated Paper (C2S/Matte)</v>
      </c>
      <c r="D119" s="11" t="str">
        <f aca="false">IF($L119="","",INDEX('Price List'!$D$2:$D$1352,$L119)&amp;"")</f>
        <v>C2S / Matte</v>
      </c>
      <c r="E119" s="11" t="str">
        <f aca="false">IF($L119="","",INDEX('Price List'!$E$2:$E$1352,$L119)&amp;"")</f>
        <v/>
      </c>
      <c r="F119" s="10" t="str">
        <f aca="false">IF($L119="","",INDEX('Price List'!$F$2:$F$1352,$L119)&amp;"")</f>
        <v>#55</v>
      </c>
      <c r="G119" s="10" t="str">
        <f aca="false">IF($L119="","",INDEX('Price List'!$G$2:$G$1352,$L119)&amp;"")</f>
        <v/>
      </c>
      <c r="H119" s="10" t="str">
        <f aca="false">IF($L119="","",INDEX('Price List'!$H$2:$H$1352,$L119)&amp;"")</f>
        <v>per lb</v>
      </c>
      <c r="I119" s="12" t="n">
        <f aca="false">IF($L119="","",IF(INDEX('Price List'!$I$2:$I$1352,$L119)="","",INDEX('Price List'!$I$2:$I$1352,$L119)))</f>
        <v>29</v>
      </c>
      <c r="J119" s="11" t="str">
        <f aca="false">IF($L119="","",INDEX('Price List'!$J$2:$J$1352,$L119)&amp;"")</f>
        <v/>
      </c>
      <c r="K119" s="10" t="str">
        <f aca="false">IF($L119="","",INDEX('Price List'!$K$2:$K$1352,$L119)&amp;"")</f>
        <v>Nov 7, 2023</v>
      </c>
      <c r="L119" s="13" t="n">
        <f aca="false">IF(109&gt;$H$4,"",MATCH(109,'Price List'!$M$2:$M$1352,0))</f>
        <v>109</v>
      </c>
    </row>
    <row r="120" customFormat="false" ht="15" hidden="false" customHeight="false" outlineLevel="0" collapsed="false">
      <c r="A120" s="9" t="n">
        <v>110</v>
      </c>
      <c r="B120" s="10" t="str">
        <f aca="false">IF($L120="","",INDEX('Price List'!$B$2:$B$1352,$L120)&amp;"")</f>
        <v>NAPPCO (Nov 7, 2023 list)</v>
      </c>
      <c r="C120" s="10" t="str">
        <f aca="false">IF($L120="","",INDEX('Price List'!$C$2:$C$1352,$L120)&amp;"")</f>
        <v>Coated Paper (C2S/Matte)</v>
      </c>
      <c r="D120" s="11" t="str">
        <f aca="false">IF($L120="","",INDEX('Price List'!$D$2:$D$1352,$L120)&amp;"")</f>
        <v>C2S / Matte</v>
      </c>
      <c r="E120" s="11" t="str">
        <f aca="false">IF($L120="","",INDEX('Price List'!$E$2:$E$1352,$L120)&amp;"")</f>
        <v/>
      </c>
      <c r="F120" s="10" t="str">
        <f aca="false">IF($L120="","",INDEX('Price List'!$F$2:$F$1352,$L120)&amp;"")</f>
        <v>#60</v>
      </c>
      <c r="G120" s="10" t="str">
        <f aca="false">IF($L120="","",INDEX('Price List'!$G$2:$G$1352,$L120)&amp;"")</f>
        <v/>
      </c>
      <c r="H120" s="10" t="str">
        <f aca="false">IF($L120="","",INDEX('Price List'!$H$2:$H$1352,$L120)&amp;"")</f>
        <v>per lb</v>
      </c>
      <c r="I120" s="12" t="n">
        <f aca="false">IF($L120="","",IF(INDEX('Price List'!$I$2:$I$1352,$L120)="","",INDEX('Price List'!$I$2:$I$1352,$L120)))</f>
        <v>29</v>
      </c>
      <c r="J120" s="11" t="str">
        <f aca="false">IF($L120="","",INDEX('Price List'!$J$2:$J$1352,$L120)&amp;"")</f>
        <v/>
      </c>
      <c r="K120" s="10" t="str">
        <f aca="false">IF($L120="","",INDEX('Price List'!$K$2:$K$1352,$L120)&amp;"")</f>
        <v>Nov 7, 2023</v>
      </c>
      <c r="L120" s="13" t="n">
        <f aca="false">IF(110&gt;$H$4,"",MATCH(110,'Price List'!$M$2:$M$1352,0))</f>
        <v>110</v>
      </c>
    </row>
    <row r="121" customFormat="false" ht="15" hidden="false" customHeight="false" outlineLevel="0" collapsed="false">
      <c r="A121" s="9" t="n">
        <v>111</v>
      </c>
      <c r="B121" s="10" t="str">
        <f aca="false">IF($L121="","",INDEX('Price List'!$B$2:$B$1352,$L121)&amp;"")</f>
        <v>NAPPCO (Nov 7, 2023 list)</v>
      </c>
      <c r="C121" s="10" t="str">
        <f aca="false">IF($L121="","",INDEX('Price List'!$C$2:$C$1352,$L121)&amp;"")</f>
        <v>Coated Paper (C2S/Matte)</v>
      </c>
      <c r="D121" s="11" t="str">
        <f aca="false">IF($L121="","",INDEX('Price List'!$D$2:$D$1352,$L121)&amp;"")</f>
        <v>C2S / Matte</v>
      </c>
      <c r="E121" s="11" t="str">
        <f aca="false">IF($L121="","",INDEX('Price List'!$E$2:$E$1352,$L121)&amp;"")</f>
        <v/>
      </c>
      <c r="F121" s="10" t="str">
        <f aca="false">IF($L121="","",INDEX('Price List'!$F$2:$F$1352,$L121)&amp;"")</f>
        <v>#70</v>
      </c>
      <c r="G121" s="10" t="str">
        <f aca="false">IF($L121="","",INDEX('Price List'!$G$2:$G$1352,$L121)&amp;"")</f>
        <v/>
      </c>
      <c r="H121" s="10" t="str">
        <f aca="false">IF($L121="","",INDEX('Price List'!$H$2:$H$1352,$L121)&amp;"")</f>
        <v>per lb</v>
      </c>
      <c r="I121" s="12" t="n">
        <f aca="false">IF($L121="","",IF(INDEX('Price List'!$I$2:$I$1352,$L121)="","",INDEX('Price List'!$I$2:$I$1352,$L121)))</f>
        <v>28</v>
      </c>
      <c r="J121" s="11" t="str">
        <f aca="false">IF($L121="","",INDEX('Price List'!$J$2:$J$1352,$L121)&amp;"")</f>
        <v/>
      </c>
      <c r="K121" s="10" t="str">
        <f aca="false">IF($L121="","",INDEX('Price List'!$K$2:$K$1352,$L121)&amp;"")</f>
        <v>Nov 7, 2023</v>
      </c>
      <c r="L121" s="13" t="n">
        <f aca="false">IF(111&gt;$H$4,"",MATCH(111,'Price List'!$M$2:$M$1352,0))</f>
        <v>111</v>
      </c>
    </row>
    <row r="122" customFormat="false" ht="15" hidden="false" customHeight="false" outlineLevel="0" collapsed="false">
      <c r="A122" s="9" t="n">
        <v>112</v>
      </c>
      <c r="B122" s="10" t="str">
        <f aca="false">IF($L122="","",INDEX('Price List'!$B$2:$B$1352,$L122)&amp;"")</f>
        <v>NAPPCO (Nov 7, 2023 list)</v>
      </c>
      <c r="C122" s="10" t="str">
        <f aca="false">IF($L122="","",INDEX('Price List'!$C$2:$C$1352,$L122)&amp;"")</f>
        <v>Coated Paper (C2S/Matte)</v>
      </c>
      <c r="D122" s="11" t="str">
        <f aca="false">IF($L122="","",INDEX('Price List'!$D$2:$D$1352,$L122)&amp;"")</f>
        <v>C2S / Matte</v>
      </c>
      <c r="E122" s="11" t="str">
        <f aca="false">IF($L122="","",INDEX('Price List'!$E$2:$E$1352,$L122)&amp;"")</f>
        <v/>
      </c>
      <c r="F122" s="10" t="str">
        <f aca="false">IF($L122="","",INDEX('Price List'!$F$2:$F$1352,$L122)&amp;"")</f>
        <v>#80</v>
      </c>
      <c r="G122" s="10" t="str">
        <f aca="false">IF($L122="","",INDEX('Price List'!$G$2:$G$1352,$L122)&amp;"")</f>
        <v/>
      </c>
      <c r="H122" s="10" t="str">
        <f aca="false">IF($L122="","",INDEX('Price List'!$H$2:$H$1352,$L122)&amp;"")</f>
        <v>per lb</v>
      </c>
      <c r="I122" s="12" t="n">
        <f aca="false">IF($L122="","",IF(INDEX('Price List'!$I$2:$I$1352,$L122)="","",INDEX('Price List'!$I$2:$I$1352,$L122)))</f>
        <v>28</v>
      </c>
      <c r="J122" s="11" t="str">
        <f aca="false">IF($L122="","",INDEX('Price List'!$J$2:$J$1352,$L122)&amp;"")</f>
        <v/>
      </c>
      <c r="K122" s="10" t="str">
        <f aca="false">IF($L122="","",INDEX('Price List'!$K$2:$K$1352,$L122)&amp;"")</f>
        <v>Nov 7, 2023</v>
      </c>
      <c r="L122" s="13" t="n">
        <f aca="false">IF(112&gt;$H$4,"",MATCH(112,'Price List'!$M$2:$M$1352,0))</f>
        <v>112</v>
      </c>
    </row>
    <row r="123" customFormat="false" ht="15" hidden="false" customHeight="false" outlineLevel="0" collapsed="false">
      <c r="A123" s="9" t="n">
        <v>113</v>
      </c>
      <c r="B123" s="10" t="str">
        <f aca="false">IF($L123="","",INDEX('Price List'!$B$2:$B$1352,$L123)&amp;"")</f>
        <v>NAPPCO (Nov 7, 2023 list)</v>
      </c>
      <c r="C123" s="10" t="str">
        <f aca="false">IF($L123="","",INDEX('Price List'!$C$2:$C$1352,$L123)&amp;"")</f>
        <v>Coated Paper (C2S/Matte)</v>
      </c>
      <c r="D123" s="11" t="str">
        <f aca="false">IF($L123="","",INDEX('Price List'!$D$2:$D$1352,$L123)&amp;"")</f>
        <v>C2S / Matte</v>
      </c>
      <c r="E123" s="11" t="str">
        <f aca="false">IF($L123="","",INDEX('Price List'!$E$2:$E$1352,$L123)&amp;"")</f>
        <v/>
      </c>
      <c r="F123" s="10" t="str">
        <f aca="false">IF($L123="","",INDEX('Price List'!$F$2:$F$1352,$L123)&amp;"")</f>
        <v>#100</v>
      </c>
      <c r="G123" s="10" t="str">
        <f aca="false">IF($L123="","",INDEX('Price List'!$G$2:$G$1352,$L123)&amp;"")</f>
        <v/>
      </c>
      <c r="H123" s="10" t="str">
        <f aca="false">IF($L123="","",INDEX('Price List'!$H$2:$H$1352,$L123)&amp;"")</f>
        <v>per lb</v>
      </c>
      <c r="I123" s="12" t="n">
        <f aca="false">IF($L123="","",IF(INDEX('Price List'!$I$2:$I$1352,$L123)="","",INDEX('Price List'!$I$2:$I$1352,$L123)))</f>
        <v>28</v>
      </c>
      <c r="J123" s="11" t="str">
        <f aca="false">IF($L123="","",INDEX('Price List'!$J$2:$J$1352,$L123)&amp;"")</f>
        <v/>
      </c>
      <c r="K123" s="10" t="str">
        <f aca="false">IF($L123="","",INDEX('Price List'!$K$2:$K$1352,$L123)&amp;"")</f>
        <v>Nov 7, 2023</v>
      </c>
      <c r="L123" s="13" t="n">
        <f aca="false">IF(113&gt;$H$4,"",MATCH(113,'Price List'!$M$2:$M$1352,0))</f>
        <v>113</v>
      </c>
    </row>
    <row r="124" customFormat="false" ht="15" hidden="false" customHeight="false" outlineLevel="0" collapsed="false">
      <c r="A124" s="9" t="n">
        <v>114</v>
      </c>
      <c r="B124" s="10" t="str">
        <f aca="false">IF($L124="","",INDEX('Price List'!$B$2:$B$1352,$L124)&amp;"")</f>
        <v>NAPPCO (Nov 7, 2023 list)</v>
      </c>
      <c r="C124" s="10" t="str">
        <f aca="false">IF($L124="","",INDEX('Price List'!$C$2:$C$1352,$L124)&amp;"")</f>
        <v>Coated Paper (C2S/Matte)</v>
      </c>
      <c r="D124" s="11" t="str">
        <f aca="false">IF($L124="","",INDEX('Price List'!$D$2:$D$1352,$L124)&amp;"")</f>
        <v>C2S / Matte</v>
      </c>
      <c r="E124" s="11" t="str">
        <f aca="false">IF($L124="","",INDEX('Price List'!$E$2:$E$1352,$L124)&amp;"")</f>
        <v/>
      </c>
      <c r="F124" s="10" t="str">
        <f aca="false">IF($L124="","",INDEX('Price List'!$F$2:$F$1352,$L124)&amp;"")</f>
        <v>#120</v>
      </c>
      <c r="G124" s="10" t="str">
        <f aca="false">IF($L124="","",INDEX('Price List'!$G$2:$G$1352,$L124)&amp;"")</f>
        <v/>
      </c>
      <c r="H124" s="10" t="str">
        <f aca="false">IF($L124="","",INDEX('Price List'!$H$2:$H$1352,$L124)&amp;"")</f>
        <v>per lb</v>
      </c>
      <c r="I124" s="12" t="n">
        <f aca="false">IF($L124="","",IF(INDEX('Price List'!$I$2:$I$1352,$L124)="","",INDEX('Price List'!$I$2:$I$1352,$L124)))</f>
        <v>7.5</v>
      </c>
      <c r="J124" s="11" t="str">
        <f aca="false">IF($L124="","",INDEX('Price List'!$J$2:$J$1352,$L124)&amp;"")</f>
        <v/>
      </c>
      <c r="K124" s="10" t="str">
        <f aca="false">IF($L124="","",INDEX('Price List'!$K$2:$K$1352,$L124)&amp;"")</f>
        <v>Nov 7, 2023</v>
      </c>
      <c r="L124" s="13" t="n">
        <f aca="false">IF(114&gt;$H$4,"",MATCH(114,'Price List'!$M$2:$M$1352,0))</f>
        <v>114</v>
      </c>
    </row>
    <row r="125" customFormat="false" ht="15" hidden="false" customHeight="false" outlineLevel="0" collapsed="false">
      <c r="A125" s="9" t="n">
        <v>115</v>
      </c>
      <c r="B125" s="10" t="str">
        <f aca="false">IF($L125="","",INDEX('Price List'!$B$2:$B$1352,$L125)&amp;"")</f>
        <v>NAPPCO (Nov 7, 2023 list)</v>
      </c>
      <c r="C125" s="10" t="str">
        <f aca="false">IF($L125="","",INDEX('Price List'!$C$2:$C$1352,$L125)&amp;"")</f>
        <v>Coated Paper (C2S/Matte)</v>
      </c>
      <c r="D125" s="11" t="str">
        <f aca="false">IF($L125="","",INDEX('Price List'!$D$2:$D$1352,$L125)&amp;"")</f>
        <v>C2S / Matte</v>
      </c>
      <c r="E125" s="11" t="str">
        <f aca="false">IF($L125="","",INDEX('Price List'!$E$2:$E$1352,$L125)&amp;"")</f>
        <v/>
      </c>
      <c r="F125" s="10" t="str">
        <f aca="false">IF($L125="","",INDEX('Price List'!$F$2:$F$1352,$L125)&amp;"")</f>
        <v>#140</v>
      </c>
      <c r="G125" s="10" t="str">
        <f aca="false">IF($L125="","",INDEX('Price List'!$G$2:$G$1352,$L125)&amp;"")</f>
        <v/>
      </c>
      <c r="H125" s="10" t="str">
        <f aca="false">IF($L125="","",INDEX('Price List'!$H$2:$H$1352,$L125)&amp;"")</f>
        <v>per lb</v>
      </c>
      <c r="I125" s="12" t="n">
        <f aca="false">IF($L125="","",IF(INDEX('Price List'!$I$2:$I$1352,$L125)="","",INDEX('Price List'!$I$2:$I$1352,$L125)))</f>
        <v>8.5</v>
      </c>
      <c r="J125" s="11" t="str">
        <f aca="false">IF($L125="","",INDEX('Price List'!$J$2:$J$1352,$L125)&amp;"")</f>
        <v/>
      </c>
      <c r="K125" s="10" t="str">
        <f aca="false">IF($L125="","",INDEX('Price List'!$K$2:$K$1352,$L125)&amp;"")</f>
        <v>Nov 7, 2023</v>
      </c>
      <c r="L125" s="13" t="n">
        <f aca="false">IF(115&gt;$H$4,"",MATCH(115,'Price List'!$M$2:$M$1352,0))</f>
        <v>115</v>
      </c>
    </row>
    <row r="126" customFormat="false" ht="15" hidden="false" customHeight="false" outlineLevel="0" collapsed="false">
      <c r="A126" s="9" t="n">
        <v>116</v>
      </c>
      <c r="B126" s="10" t="str">
        <f aca="false">IF($L126="","",INDEX('Price List'!$B$2:$B$1352,$L126)&amp;"")</f>
        <v>NAPPCO (Nov 7, 2023 list)</v>
      </c>
      <c r="C126" s="10" t="str">
        <f aca="false">IF($L126="","",INDEX('Price List'!$C$2:$C$1352,$L126)&amp;"")</f>
        <v>Coated Paper (C2S/Matte)</v>
      </c>
      <c r="D126" s="11" t="str">
        <f aca="false">IF($L126="","",INDEX('Price List'!$D$2:$D$1352,$L126)&amp;"")</f>
        <v>C2S / Matte</v>
      </c>
      <c r="E126" s="11" t="str">
        <f aca="false">IF($L126="","",INDEX('Price List'!$E$2:$E$1352,$L126)&amp;"")</f>
        <v/>
      </c>
      <c r="F126" s="10" t="str">
        <f aca="false">IF($L126="","",INDEX('Price List'!$F$2:$F$1352,$L126)&amp;"")</f>
        <v>#160</v>
      </c>
      <c r="G126" s="10" t="str">
        <f aca="false">IF($L126="","",INDEX('Price List'!$G$2:$G$1352,$L126)&amp;"")</f>
        <v/>
      </c>
      <c r="H126" s="10" t="str">
        <f aca="false">IF($L126="","",INDEX('Price List'!$H$2:$H$1352,$L126)&amp;"")</f>
        <v>per lb</v>
      </c>
      <c r="I126" s="12" t="n">
        <f aca="false">IF($L126="","",IF(INDEX('Price List'!$I$2:$I$1352,$L126)="","",INDEX('Price List'!$I$2:$I$1352,$L126)))</f>
        <v>10.5</v>
      </c>
      <c r="J126" s="11" t="str">
        <f aca="false">IF($L126="","",INDEX('Price List'!$J$2:$J$1352,$L126)&amp;"")</f>
        <v/>
      </c>
      <c r="K126" s="10" t="str">
        <f aca="false">IF($L126="","",INDEX('Price List'!$K$2:$K$1352,$L126)&amp;"")</f>
        <v>Nov 7, 2023</v>
      </c>
      <c r="L126" s="13" t="n">
        <f aca="false">IF(116&gt;$H$4,"",MATCH(116,'Price List'!$M$2:$M$1352,0))</f>
        <v>116</v>
      </c>
    </row>
    <row r="127" customFormat="false" ht="15" hidden="false" customHeight="false" outlineLevel="0" collapsed="false">
      <c r="A127" s="9" t="n">
        <v>117</v>
      </c>
      <c r="B127" s="10" t="str">
        <f aca="false">IF($L127="","",INDEX('Price List'!$B$2:$B$1352,$L127)&amp;"")</f>
        <v>NAPPCO (Nov 7, 2023 list)</v>
      </c>
      <c r="C127" s="10" t="str">
        <f aca="false">IF($L127="","",INDEX('Price List'!$C$2:$C$1352,$L127)&amp;"")</f>
        <v>Coated Paper (C2S/Matte)</v>
      </c>
      <c r="D127" s="11" t="str">
        <f aca="false">IF($L127="","",INDEX('Price List'!$D$2:$D$1352,$L127)&amp;"")</f>
        <v>C2S / Matte</v>
      </c>
      <c r="E127" s="11" t="str">
        <f aca="false">IF($L127="","",INDEX('Price List'!$E$2:$E$1352,$L127)&amp;"")</f>
        <v/>
      </c>
      <c r="F127" s="10" t="str">
        <f aca="false">IF($L127="","",INDEX('Price List'!$F$2:$F$1352,$L127)&amp;"")</f>
        <v>#180</v>
      </c>
      <c r="G127" s="10" t="str">
        <f aca="false">IF($L127="","",INDEX('Price List'!$G$2:$G$1352,$L127)&amp;"")</f>
        <v/>
      </c>
      <c r="H127" s="10" t="str">
        <f aca="false">IF($L127="","",INDEX('Price List'!$H$2:$H$1352,$L127)&amp;"")</f>
        <v>per lb</v>
      </c>
      <c r="I127" s="12" t="n">
        <f aca="false">IF($L127="","",IF(INDEX('Price List'!$I$2:$I$1352,$L127)="","",INDEX('Price List'!$I$2:$I$1352,$L127)))</f>
        <v>11.5</v>
      </c>
      <c r="J127" s="11" t="str">
        <f aca="false">IF($L127="","",INDEX('Price List'!$J$2:$J$1352,$L127)&amp;"")</f>
        <v/>
      </c>
      <c r="K127" s="10" t="str">
        <f aca="false">IF($L127="","",INDEX('Price List'!$K$2:$K$1352,$L127)&amp;"")</f>
        <v>Nov 7, 2023</v>
      </c>
      <c r="L127" s="13" t="n">
        <f aca="false">IF(117&gt;$H$4,"",MATCH(117,'Price List'!$M$2:$M$1352,0))</f>
        <v>117</v>
      </c>
    </row>
    <row r="128" customFormat="false" ht="15" hidden="false" customHeight="false" outlineLevel="0" collapsed="false">
      <c r="A128" s="9" t="n">
        <v>118</v>
      </c>
      <c r="B128" s="10" t="str">
        <f aca="false">IF($L128="","",INDEX('Price List'!$B$2:$B$1352,$L128)&amp;"")</f>
        <v>NAPPCO (Nov 7, 2023 list)</v>
      </c>
      <c r="C128" s="10" t="str">
        <f aca="false">IF($L128="","",INDEX('Price List'!$C$2:$C$1352,$L128)&amp;"")</f>
        <v>Coated Paper (C2S/Matte)</v>
      </c>
      <c r="D128" s="11" t="str">
        <f aca="false">IF($L128="","",INDEX('Price List'!$D$2:$D$1352,$L128)&amp;"")</f>
        <v>C2S / Matte</v>
      </c>
      <c r="E128" s="11" t="str">
        <f aca="false">IF($L128="","",INDEX('Price List'!$E$2:$E$1352,$L128)&amp;"")</f>
        <v/>
      </c>
      <c r="F128" s="10" t="str">
        <f aca="false">IF($L128="","",INDEX('Price List'!$F$2:$F$1352,$L128)&amp;"")</f>
        <v>#220</v>
      </c>
      <c r="G128" s="10" t="str">
        <f aca="false">IF($L128="","",INDEX('Price List'!$G$2:$G$1352,$L128)&amp;"")</f>
        <v/>
      </c>
      <c r="H128" s="10" t="str">
        <f aca="false">IF($L128="","",INDEX('Price List'!$H$2:$H$1352,$L128)&amp;"")</f>
        <v>per lb</v>
      </c>
      <c r="I128" s="12" t="n">
        <f aca="false">IF($L128="","",IF(INDEX('Price List'!$I$2:$I$1352,$L128)="","",INDEX('Price List'!$I$2:$I$1352,$L128)))</f>
        <v>14</v>
      </c>
      <c r="J128" s="11" t="str">
        <f aca="false">IF($L128="","",INDEX('Price List'!$J$2:$J$1352,$L128)&amp;"")</f>
        <v/>
      </c>
      <c r="K128" s="10" t="str">
        <f aca="false">IF($L128="","",INDEX('Price List'!$K$2:$K$1352,$L128)&amp;"")</f>
        <v>Nov 7, 2023</v>
      </c>
      <c r="L128" s="13" t="n">
        <f aca="false">IF(118&gt;$H$4,"",MATCH(118,'Price List'!$M$2:$M$1352,0))</f>
        <v>118</v>
      </c>
    </row>
    <row r="129" customFormat="false" ht="15" hidden="false" customHeight="false" outlineLevel="0" collapsed="false">
      <c r="A129" s="9" t="n">
        <v>119</v>
      </c>
      <c r="B129" s="10" t="str">
        <f aca="false">IF($L129="","",INDEX('Price List'!$B$2:$B$1352,$L129)&amp;"")</f>
        <v>NAPPCO (Nov 7, 2023 list)</v>
      </c>
      <c r="C129" s="10" t="str">
        <f aca="false">IF($L129="","",INDEX('Price List'!$C$2:$C$1352,$L129)&amp;"")</f>
        <v>Coated Paper (C2S/Matte)</v>
      </c>
      <c r="D129" s="11" t="str">
        <f aca="false">IF($L129="","",INDEX('Price List'!$D$2:$D$1352,$L129)&amp;"")</f>
        <v>C2S / Matte</v>
      </c>
      <c r="E129" s="11" t="str">
        <f aca="false">IF($L129="","",INDEX('Price List'!$E$2:$E$1352,$L129)&amp;"")</f>
        <v/>
      </c>
      <c r="F129" s="10" t="str">
        <f aca="false">IF($L129="","",INDEX('Price List'!$F$2:$F$1352,$L129)&amp;"")</f>
        <v>#240</v>
      </c>
      <c r="G129" s="10" t="str">
        <f aca="false">IF($L129="","",INDEX('Price List'!$G$2:$G$1352,$L129)&amp;"")</f>
        <v/>
      </c>
      <c r="H129" s="10" t="str">
        <f aca="false">IF($L129="","",INDEX('Price List'!$H$2:$H$1352,$L129)&amp;"")</f>
        <v>per lb</v>
      </c>
      <c r="I129" s="12" t="n">
        <f aca="false">IF($L129="","",IF(INDEX('Price List'!$I$2:$I$1352,$L129)="","",INDEX('Price List'!$I$2:$I$1352,$L129)))</f>
        <v>17.5</v>
      </c>
      <c r="J129" s="11" t="str">
        <f aca="false">IF($L129="","",INDEX('Price List'!$J$2:$J$1352,$L129)&amp;"")</f>
        <v/>
      </c>
      <c r="K129" s="10" t="str">
        <f aca="false">IF($L129="","",INDEX('Price List'!$K$2:$K$1352,$L129)&amp;"")</f>
        <v>Nov 7, 2023</v>
      </c>
      <c r="L129" s="13" t="n">
        <f aca="false">IF(119&gt;$H$4,"",MATCH(119,'Price List'!$M$2:$M$1352,0))</f>
        <v>119</v>
      </c>
    </row>
    <row r="130" customFormat="false" ht="15" hidden="false" customHeight="false" outlineLevel="0" collapsed="false">
      <c r="A130" s="9" t="n">
        <v>120</v>
      </c>
      <c r="B130" s="10" t="str">
        <f aca="false">IF($L130="","",INDEX('Price List'!$B$2:$B$1352,$L130)&amp;"")</f>
        <v>NAPPCO (Nov 7, 2023 list)</v>
      </c>
      <c r="C130" s="10" t="str">
        <f aca="false">IF($L130="","",INDEX('Price List'!$C$2:$C$1352,$L130)&amp;"")</f>
        <v>Coated Paper (C1S)</v>
      </c>
      <c r="D130" s="11" t="str">
        <f aca="false">IF($L130="","",INDEX('Price List'!$D$2:$D$1352,$L130)&amp;"")</f>
        <v>C1S</v>
      </c>
      <c r="E130" s="11" t="str">
        <f aca="false">IF($L130="","",INDEX('Price List'!$E$2:$E$1352,$L130)&amp;"")</f>
        <v/>
      </c>
      <c r="F130" s="10" t="str">
        <f aca="false">IF($L130="","",INDEX('Price List'!$F$2:$F$1352,$L130)&amp;"")</f>
        <v/>
      </c>
      <c r="G130" s="10" t="str">
        <f aca="false">IF($L130="","",INDEX('Price List'!$G$2:$G$1352,$L130)&amp;"")</f>
        <v/>
      </c>
      <c r="H130" s="10" t="str">
        <f aca="false">IF($L130="","",INDEX('Price List'!$H$2:$H$1352,$L130)&amp;"")</f>
        <v>per lb</v>
      </c>
      <c r="I130" s="12" t="n">
        <f aca="false">IF($L130="","",IF(INDEX('Price List'!$I$2:$I$1352,$L130)="","",INDEX('Price List'!$I$2:$I$1352,$L130)))</f>
        <v>32.5</v>
      </c>
      <c r="J130" s="11" t="str">
        <f aca="false">IF($L130="","",INDEX('Price List'!$J$2:$J$1352,$L130)&amp;"")</f>
        <v/>
      </c>
      <c r="K130" s="10" t="str">
        <f aca="false">IF($L130="","",INDEX('Price List'!$K$2:$K$1352,$L130)&amp;"")</f>
        <v>Nov 7, 2023</v>
      </c>
      <c r="L130" s="13" t="n">
        <f aca="false">IF(120&gt;$H$4,"",MATCH(120,'Price List'!$M$2:$M$1352,0))</f>
        <v>120</v>
      </c>
    </row>
    <row r="131" customFormat="false" ht="15" hidden="false" customHeight="false" outlineLevel="0" collapsed="false">
      <c r="A131" s="9" t="n">
        <v>121</v>
      </c>
      <c r="B131" s="10" t="str">
        <f aca="false">IF($L131="","",INDEX('Price List'!$B$2:$B$1352,$L131)&amp;"")</f>
        <v>NAPPCO (Nov 7, 2023 list)</v>
      </c>
      <c r="C131" s="10" t="str">
        <f aca="false">IF($L131="","",INDEX('Price List'!$C$2:$C$1352,$L131)&amp;"")</f>
        <v>Book Paper</v>
      </c>
      <c r="D131" s="11" t="str">
        <f aca="false">IF($L131="","",INDEX('Price List'!$D$2:$D$1352,$L131)&amp;"")</f>
        <v>Book - White</v>
      </c>
      <c r="E131" s="11" t="str">
        <f aca="false">IF($L131="","",INDEX('Price List'!$E$2:$E$1352,$L131)&amp;"")</f>
        <v/>
      </c>
      <c r="F131" s="10" t="str">
        <f aca="false">IF($L131="","",INDEX('Price List'!$F$2:$F$1352,$L131)&amp;"")</f>
        <v>#40 (60gsm)</v>
      </c>
      <c r="G131" s="10" t="str">
        <f aca="false">IF($L131="","",INDEX('Price List'!$G$2:$G$1352,$L131)&amp;"")</f>
        <v/>
      </c>
      <c r="H131" s="10" t="str">
        <f aca="false">IF($L131="","",INDEX('Price List'!$H$2:$H$1352,$L131)&amp;"")</f>
        <v>per lb</v>
      </c>
      <c r="I131" s="12" t="n">
        <f aca="false">IF($L131="","",IF(INDEX('Price List'!$I$2:$I$1352,$L131)="","",INDEX('Price List'!$I$2:$I$1352,$L131)))</f>
        <v>31</v>
      </c>
      <c r="J131" s="11" t="str">
        <f aca="false">IF($L131="","",INDEX('Price List'!$J$2:$J$1352,$L131)&amp;"")</f>
        <v/>
      </c>
      <c r="K131" s="10" t="str">
        <f aca="false">IF($L131="","",INDEX('Price List'!$K$2:$K$1352,$L131)&amp;"")</f>
        <v>Nov 7, 2023</v>
      </c>
      <c r="L131" s="13" t="n">
        <f aca="false">IF(121&gt;$H$4,"",MATCH(121,'Price List'!$M$2:$M$1352,0))</f>
        <v>121</v>
      </c>
    </row>
    <row r="132" customFormat="false" ht="15" hidden="false" customHeight="false" outlineLevel="0" collapsed="false">
      <c r="A132" s="9" t="n">
        <v>122</v>
      </c>
      <c r="B132" s="10" t="str">
        <f aca="false">IF($L132="","",INDEX('Price List'!$B$2:$B$1352,$L132)&amp;"")</f>
        <v>NAPPCO (Nov 7, 2023 list)</v>
      </c>
      <c r="C132" s="10" t="str">
        <f aca="false">IF($L132="","",INDEX('Price List'!$C$2:$C$1352,$L132)&amp;"")</f>
        <v>Book Paper</v>
      </c>
      <c r="D132" s="11" t="str">
        <f aca="false">IF($L132="","",INDEX('Price List'!$D$2:$D$1352,$L132)&amp;"")</f>
        <v>Book - White</v>
      </c>
      <c r="E132" s="11" t="str">
        <f aca="false">IF($L132="","",INDEX('Price List'!$E$2:$E$1352,$L132)&amp;"")</f>
        <v/>
      </c>
      <c r="F132" s="10" t="str">
        <f aca="false">IF($L132="","",INDEX('Price List'!$F$2:$F$1352,$L132)&amp;"")</f>
        <v>#50 (70gsm)</v>
      </c>
      <c r="G132" s="10" t="str">
        <f aca="false">IF($L132="","",INDEX('Price List'!$G$2:$G$1352,$L132)&amp;"")</f>
        <v/>
      </c>
      <c r="H132" s="10" t="str">
        <f aca="false">IF($L132="","",INDEX('Price List'!$H$2:$H$1352,$L132)&amp;"")</f>
        <v>per lb</v>
      </c>
      <c r="I132" s="12" t="n">
        <f aca="false">IF($L132="","",IF(INDEX('Price List'!$I$2:$I$1352,$L132)="","",INDEX('Price List'!$I$2:$I$1352,$L132)))</f>
        <v>29</v>
      </c>
      <c r="J132" s="11" t="str">
        <f aca="false">IF($L132="","",INDEX('Price List'!$J$2:$J$1352,$L132)&amp;"")</f>
        <v/>
      </c>
      <c r="K132" s="10" t="str">
        <f aca="false">IF($L132="","",INDEX('Price List'!$K$2:$K$1352,$L132)&amp;"")</f>
        <v>Nov 7, 2023</v>
      </c>
      <c r="L132" s="13" t="n">
        <f aca="false">IF(122&gt;$H$4,"",MATCH(122,'Price List'!$M$2:$M$1352,0))</f>
        <v>122</v>
      </c>
    </row>
    <row r="133" customFormat="false" ht="15" hidden="false" customHeight="false" outlineLevel="0" collapsed="false">
      <c r="A133" s="9" t="n">
        <v>123</v>
      </c>
      <c r="B133" s="10" t="str">
        <f aca="false">IF($L133="","",INDEX('Price List'!$B$2:$B$1352,$L133)&amp;"")</f>
        <v>NAPPCO (Nov 7, 2023 list)</v>
      </c>
      <c r="C133" s="10" t="str">
        <f aca="false">IF($L133="","",INDEX('Price List'!$C$2:$C$1352,$L133)&amp;"")</f>
        <v>Book Paper</v>
      </c>
      <c r="D133" s="11" t="str">
        <f aca="false">IF($L133="","",INDEX('Price List'!$D$2:$D$1352,$L133)&amp;"")</f>
        <v>Book - White</v>
      </c>
      <c r="E133" s="11" t="str">
        <f aca="false">IF($L133="","",INDEX('Price List'!$E$2:$E$1352,$L133)&amp;"")</f>
        <v/>
      </c>
      <c r="F133" s="10" t="str">
        <f aca="false">IF($L133="","",INDEX('Price List'!$F$2:$F$1352,$L133)&amp;"")</f>
        <v>#60 (80gsm)</v>
      </c>
      <c r="G133" s="10" t="str">
        <f aca="false">IF($L133="","",INDEX('Price List'!$G$2:$G$1352,$L133)&amp;"")</f>
        <v/>
      </c>
      <c r="H133" s="10" t="str">
        <f aca="false">IF($L133="","",INDEX('Price List'!$H$2:$H$1352,$L133)&amp;"")</f>
        <v>per lb</v>
      </c>
      <c r="I133" s="12" t="n">
        <f aca="false">IF($L133="","",IF(INDEX('Price List'!$I$2:$I$1352,$L133)="","",INDEX('Price List'!$I$2:$I$1352,$L133)))</f>
        <v>29</v>
      </c>
      <c r="J133" s="11" t="str">
        <f aca="false">IF($L133="","",INDEX('Price List'!$J$2:$J$1352,$L133)&amp;"")</f>
        <v/>
      </c>
      <c r="K133" s="10" t="str">
        <f aca="false">IF($L133="","",INDEX('Price List'!$K$2:$K$1352,$L133)&amp;"")</f>
        <v>Nov 7, 2023</v>
      </c>
      <c r="L133" s="13" t="n">
        <f aca="false">IF(123&gt;$H$4,"",MATCH(123,'Price List'!$M$2:$M$1352,0))</f>
        <v>123</v>
      </c>
    </row>
    <row r="134" customFormat="false" ht="15" hidden="false" customHeight="false" outlineLevel="0" collapsed="false">
      <c r="A134" s="9" t="n">
        <v>124</v>
      </c>
      <c r="B134" s="10" t="str">
        <f aca="false">IF($L134="","",INDEX('Price List'!$B$2:$B$1352,$L134)&amp;"")</f>
        <v>NAPPCO (Nov 7, 2023 list)</v>
      </c>
      <c r="C134" s="10" t="str">
        <f aca="false">IF($L134="","",INDEX('Price List'!$C$2:$C$1352,$L134)&amp;"")</f>
        <v>Book Paper</v>
      </c>
      <c r="D134" s="11" t="str">
        <f aca="false">IF($L134="","",INDEX('Price List'!$D$2:$D$1352,$L134)&amp;"")</f>
        <v>Book - White</v>
      </c>
      <c r="E134" s="11" t="str">
        <f aca="false">IF($L134="","",INDEX('Price List'!$E$2:$E$1352,$L134)&amp;"")</f>
        <v/>
      </c>
      <c r="F134" s="10" t="str">
        <f aca="false">IF($L134="","",INDEX('Price List'!$F$2:$F$1352,$L134)&amp;"")</f>
        <v>#70 (100gsm)</v>
      </c>
      <c r="G134" s="10" t="str">
        <f aca="false">IF($L134="","",INDEX('Price List'!$G$2:$G$1352,$L134)&amp;"")</f>
        <v/>
      </c>
      <c r="H134" s="10" t="str">
        <f aca="false">IF($L134="","",INDEX('Price List'!$H$2:$H$1352,$L134)&amp;"")</f>
        <v>per lb</v>
      </c>
      <c r="I134" s="12" t="n">
        <f aca="false">IF($L134="","",IF(INDEX('Price List'!$I$2:$I$1352,$L134)="","",INDEX('Price List'!$I$2:$I$1352,$L134)))</f>
        <v>29</v>
      </c>
      <c r="J134" s="11" t="str">
        <f aca="false">IF($L134="","",INDEX('Price List'!$J$2:$J$1352,$L134)&amp;"")</f>
        <v/>
      </c>
      <c r="K134" s="10" t="str">
        <f aca="false">IF($L134="","",INDEX('Price List'!$K$2:$K$1352,$L134)&amp;"")</f>
        <v>Nov 7, 2023</v>
      </c>
      <c r="L134" s="13" t="n">
        <f aca="false">IF(124&gt;$H$4,"",MATCH(124,'Price List'!$M$2:$M$1352,0))</f>
        <v>124</v>
      </c>
    </row>
    <row r="135" customFormat="false" ht="15" hidden="false" customHeight="false" outlineLevel="0" collapsed="false">
      <c r="A135" s="9" t="n">
        <v>125</v>
      </c>
      <c r="B135" s="10" t="str">
        <f aca="false">IF($L135="","",INDEX('Price List'!$B$2:$B$1352,$L135)&amp;"")</f>
        <v>NAPPCO (Nov 7, 2023 list)</v>
      </c>
      <c r="C135" s="10" t="str">
        <f aca="false">IF($L135="","",INDEX('Price List'!$C$2:$C$1352,$L135)&amp;"")</f>
        <v>Book Paper</v>
      </c>
      <c r="D135" s="11" t="str">
        <f aca="false">IF($L135="","",INDEX('Price List'!$D$2:$D$1352,$L135)&amp;"")</f>
        <v>Book - White</v>
      </c>
      <c r="E135" s="11" t="str">
        <f aca="false">IF($L135="","",INDEX('Price List'!$E$2:$E$1352,$L135)&amp;"")</f>
        <v/>
      </c>
      <c r="F135" s="10" t="str">
        <f aca="false">IF($L135="","",INDEX('Price List'!$F$2:$F$1352,$L135)&amp;"")</f>
        <v>#80 (115gsm)</v>
      </c>
      <c r="G135" s="10" t="str">
        <f aca="false">IF($L135="","",INDEX('Price List'!$G$2:$G$1352,$L135)&amp;"")</f>
        <v/>
      </c>
      <c r="H135" s="10" t="str">
        <f aca="false">IF($L135="","",INDEX('Price List'!$H$2:$H$1352,$L135)&amp;"")</f>
        <v>per lb</v>
      </c>
      <c r="I135" s="12" t="n">
        <f aca="false">IF($L135="","",IF(INDEX('Price List'!$I$2:$I$1352,$L135)="","",INDEX('Price List'!$I$2:$I$1352,$L135)))</f>
        <v>29</v>
      </c>
      <c r="J135" s="11" t="str">
        <f aca="false">IF($L135="","",INDEX('Price List'!$J$2:$J$1352,$L135)&amp;"")</f>
        <v/>
      </c>
      <c r="K135" s="10" t="str">
        <f aca="false">IF($L135="","",INDEX('Price List'!$K$2:$K$1352,$L135)&amp;"")</f>
        <v>Nov 7, 2023</v>
      </c>
      <c r="L135" s="13" t="n">
        <f aca="false">IF(125&gt;$H$4,"",MATCH(125,'Price List'!$M$2:$M$1352,0))</f>
        <v>125</v>
      </c>
    </row>
    <row r="136" customFormat="false" ht="15" hidden="false" customHeight="false" outlineLevel="0" collapsed="false">
      <c r="A136" s="9" t="n">
        <v>126</v>
      </c>
      <c r="B136" s="10" t="str">
        <f aca="false">IF($L136="","",INDEX('Price List'!$B$2:$B$1352,$L136)&amp;"")</f>
        <v>NAPPCO (Nov 7, 2023 list)</v>
      </c>
      <c r="C136" s="10" t="str">
        <f aca="false">IF($L136="","",INDEX('Price List'!$C$2:$C$1352,$L136)&amp;"")</f>
        <v>Book Paper</v>
      </c>
      <c r="D136" s="11" t="str">
        <f aca="false">IF($L136="","",INDEX('Price List'!$D$2:$D$1352,$L136)&amp;"")</f>
        <v>Book - Ivory or Cream</v>
      </c>
      <c r="E136" s="11" t="str">
        <f aca="false">IF($L136="","",INDEX('Price List'!$E$2:$E$1352,$L136)&amp;"")</f>
        <v/>
      </c>
      <c r="F136" s="10" t="str">
        <f aca="false">IF($L136="","",INDEX('Price List'!$F$2:$F$1352,$L136)&amp;"")</f>
        <v/>
      </c>
      <c r="G136" s="10" t="str">
        <f aca="false">IF($L136="","",INDEX('Price List'!$G$2:$G$1352,$L136)&amp;"")</f>
        <v/>
      </c>
      <c r="H136" s="10" t="str">
        <f aca="false">IF($L136="","",INDEX('Price List'!$H$2:$H$1352,$L136)&amp;"")</f>
        <v>per lb</v>
      </c>
      <c r="I136" s="12" t="n">
        <f aca="false">IF($L136="","",IF(INDEX('Price List'!$I$2:$I$1352,$L136)="","",INDEX('Price List'!$I$2:$I$1352,$L136)))</f>
        <v>42</v>
      </c>
      <c r="J136" s="11" t="str">
        <f aca="false">IF($L136="","",INDEX('Price List'!$J$2:$J$1352,$L136)&amp;"")</f>
        <v/>
      </c>
      <c r="K136" s="10" t="str">
        <f aca="false">IF($L136="","",INDEX('Price List'!$K$2:$K$1352,$L136)&amp;"")</f>
        <v>Nov 7, 2023</v>
      </c>
      <c r="L136" s="13" t="n">
        <f aca="false">IF(126&gt;$H$4,"",MATCH(126,'Price List'!$M$2:$M$1352,0))</f>
        <v>126</v>
      </c>
    </row>
    <row r="137" customFormat="false" ht="15" hidden="false" customHeight="false" outlineLevel="0" collapsed="false">
      <c r="A137" s="9" t="n">
        <v>127</v>
      </c>
      <c r="B137" s="10" t="str">
        <f aca="false">IF($L137="","",INDEX('Price List'!$B$2:$B$1352,$L137)&amp;"")</f>
        <v>NAPPCO (Nov 7, 2023 list)</v>
      </c>
      <c r="C137" s="10" t="str">
        <f aca="false">IF($L137="","",INDEX('Price List'!$C$2:$C$1352,$L137)&amp;"")</f>
        <v>Board / Specialty</v>
      </c>
      <c r="D137" s="11" t="str">
        <f aca="false">IF($L137="","",INDEX('Price List'!$D$2:$D$1352,$L137)&amp;"")</f>
        <v>Pasteboard</v>
      </c>
      <c r="E137" s="11" t="str">
        <f aca="false">IF($L137="","",INDEX('Price List'!$E$2:$E$1352,$L137)&amp;"")</f>
        <v/>
      </c>
      <c r="F137" s="10" t="str">
        <f aca="false">IF($L137="","",INDEX('Price List'!$F$2:$F$1352,$L137)&amp;"")</f>
        <v/>
      </c>
      <c r="G137" s="10" t="str">
        <f aca="false">IF($L137="","",INDEX('Price List'!$G$2:$G$1352,$L137)&amp;"")</f>
        <v/>
      </c>
      <c r="H137" s="10" t="str">
        <f aca="false">IF($L137="","",INDEX('Price List'!$H$2:$H$1352,$L137)&amp;"")</f>
        <v>bale</v>
      </c>
      <c r="I137" s="12" t="n">
        <f aca="false">IF($L137="","",IF(INDEX('Price List'!$I$2:$I$1352,$L137)="","",INDEX('Price List'!$I$2:$I$1352,$L137)))</f>
        <v>2250</v>
      </c>
      <c r="J137" s="11" t="str">
        <f aca="false">IF($L137="","",INDEX('Price List'!$J$2:$J$1352,$L137)&amp;"")</f>
        <v/>
      </c>
      <c r="K137" s="10" t="str">
        <f aca="false">IF($L137="","",INDEX('Price List'!$K$2:$K$1352,$L137)&amp;"")</f>
        <v>Nov 7, 2023</v>
      </c>
      <c r="L137" s="13" t="n">
        <f aca="false">IF(127&gt;$H$4,"",MATCH(127,'Price List'!$M$2:$M$1352,0))</f>
        <v>127</v>
      </c>
    </row>
    <row r="138" customFormat="false" ht="15" hidden="false" customHeight="false" outlineLevel="0" collapsed="false">
      <c r="A138" s="9" t="n">
        <v>128</v>
      </c>
      <c r="B138" s="10" t="str">
        <f aca="false">IF($L138="","",INDEX('Price List'!$B$2:$B$1352,$L138)&amp;"")</f>
        <v>NAPPCO (Nov 7, 2023 list)</v>
      </c>
      <c r="C138" s="10" t="str">
        <f aca="false">IF($L138="","",INDEX('Price List'!$C$2:$C$1352,$L138)&amp;"")</f>
        <v>Board / Specialty</v>
      </c>
      <c r="D138" s="11" t="str">
        <f aca="false">IF($L138="","",INDEX('Price List'!$D$2:$D$1352,$L138)&amp;"")</f>
        <v>Chipboard</v>
      </c>
      <c r="E138" s="11" t="str">
        <f aca="false">IF($L138="","",INDEX('Price List'!$E$2:$E$1352,$L138)&amp;"")</f>
        <v/>
      </c>
      <c r="F138" s="10" t="str">
        <f aca="false">IF($L138="","",INDEX('Price List'!$F$2:$F$1352,$L138)&amp;"")</f>
        <v/>
      </c>
      <c r="G138" s="10" t="str">
        <f aca="false">IF($L138="","",INDEX('Price List'!$G$2:$G$1352,$L138)&amp;"")</f>
        <v/>
      </c>
      <c r="H138" s="10" t="str">
        <f aca="false">IF($L138="","",INDEX('Price List'!$H$2:$H$1352,$L138)&amp;"")</f>
        <v>bale</v>
      </c>
      <c r="I138" s="12" t="n">
        <f aca="false">IF($L138="","",IF(INDEX('Price List'!$I$2:$I$1352,$L138)="","",INDEX('Price List'!$I$2:$I$1352,$L138)))</f>
        <v>1950</v>
      </c>
      <c r="J138" s="11" t="str">
        <f aca="false">IF($L138="","",INDEX('Price List'!$J$2:$J$1352,$L138)&amp;"")</f>
        <v/>
      </c>
      <c r="K138" s="10" t="str">
        <f aca="false">IF($L138="","",INDEX('Price List'!$K$2:$K$1352,$L138)&amp;"")</f>
        <v>Nov 7, 2023</v>
      </c>
      <c r="L138" s="13" t="n">
        <f aca="false">IF(128&gt;$H$4,"",MATCH(128,'Price List'!$M$2:$M$1352,0))</f>
        <v>128</v>
      </c>
    </row>
    <row r="139" customFormat="false" ht="15" hidden="false" customHeight="false" outlineLevel="0" collapsed="false">
      <c r="A139" s="9" t="n">
        <v>129</v>
      </c>
      <c r="B139" s="10" t="str">
        <f aca="false">IF($L139="","",INDEX('Price List'!$B$2:$B$1352,$L139)&amp;"")</f>
        <v>NAPPCO (Nov 7, 2023 list)</v>
      </c>
      <c r="C139" s="10" t="str">
        <f aca="false">IF($L139="","",INDEX('Price List'!$C$2:$C$1352,$L139)&amp;"")</f>
        <v>Board / Specialty</v>
      </c>
      <c r="D139" s="11" t="str">
        <f aca="false">IF($L139="","",INDEX('Price List'!$D$2:$D$1352,$L139)&amp;"")</f>
        <v>Tissue</v>
      </c>
      <c r="E139" s="11" t="str">
        <f aca="false">IF($L139="","",INDEX('Price List'!$E$2:$E$1352,$L139)&amp;"")</f>
        <v/>
      </c>
      <c r="F139" s="10" t="str">
        <f aca="false">IF($L139="","",INDEX('Price List'!$F$2:$F$1352,$L139)&amp;"")</f>
        <v/>
      </c>
      <c r="G139" s="10" t="str">
        <f aca="false">IF($L139="","",INDEX('Price List'!$G$2:$G$1352,$L139)&amp;"")</f>
        <v/>
      </c>
      <c r="H139" s="10" t="str">
        <f aca="false">IF($L139="","",INDEX('Price List'!$H$2:$H$1352,$L139)&amp;"")</f>
        <v>ream</v>
      </c>
      <c r="I139" s="12" t="n">
        <f aca="false">IF($L139="","",IF(INDEX('Price List'!$I$2:$I$1352,$L139)="","",INDEX('Price List'!$I$2:$I$1352,$L139)))</f>
        <v>400</v>
      </c>
      <c r="J139" s="11" t="str">
        <f aca="false">IF($L139="","",INDEX('Price List'!$J$2:$J$1352,$L139)&amp;"")</f>
        <v/>
      </c>
      <c r="K139" s="10" t="str">
        <f aca="false">IF($L139="","",INDEX('Price List'!$K$2:$K$1352,$L139)&amp;"")</f>
        <v>Nov 7, 2023</v>
      </c>
      <c r="L139" s="13" t="n">
        <f aca="false">IF(129&gt;$H$4,"",MATCH(129,'Price List'!$M$2:$M$1352,0))</f>
        <v>129</v>
      </c>
    </row>
    <row r="140" customFormat="false" ht="15" hidden="false" customHeight="false" outlineLevel="0" collapsed="false">
      <c r="A140" s="9" t="n">
        <v>130</v>
      </c>
      <c r="B140" s="10" t="str">
        <f aca="false">IF($L140="","",INDEX('Price List'!$B$2:$B$1352,$L140)&amp;"")</f>
        <v>NAPPCO (Nov 7, 2023 list)</v>
      </c>
      <c r="C140" s="10" t="str">
        <f aca="false">IF($L140="","",INDEX('Price List'!$C$2:$C$1352,$L140)&amp;"")</f>
        <v>Board / Specialty</v>
      </c>
      <c r="D140" s="11" t="str">
        <f aca="false">IF($L140="","",INDEX('Price List'!$D$2:$D$1352,$L140)&amp;"")</f>
        <v>Parchment</v>
      </c>
      <c r="E140" s="11" t="str">
        <f aca="false">IF($L140="","",INDEX('Price List'!$E$2:$E$1352,$L140)&amp;"")</f>
        <v/>
      </c>
      <c r="F140" s="10" t="str">
        <f aca="false">IF($L140="","",INDEX('Price List'!$F$2:$F$1352,$L140)&amp;"")</f>
        <v/>
      </c>
      <c r="G140" s="10" t="str">
        <f aca="false">IF($L140="","",INDEX('Price List'!$G$2:$G$1352,$L140)&amp;"")</f>
        <v/>
      </c>
      <c r="H140" s="10" t="str">
        <f aca="false">IF($L140="","",INDEX('Price List'!$H$2:$H$1352,$L140)&amp;"")</f>
        <v>sheet</v>
      </c>
      <c r="I140" s="12" t="n">
        <f aca="false">IF($L140="","",IF(INDEX('Price List'!$I$2:$I$1352,$L140)="","",INDEX('Price List'!$I$2:$I$1352,$L140)))</f>
        <v>14.5</v>
      </c>
      <c r="J140" s="11" t="str">
        <f aca="false">IF($L140="","",INDEX('Price List'!$J$2:$J$1352,$L140)&amp;"")</f>
        <v/>
      </c>
      <c r="K140" s="10" t="str">
        <f aca="false">IF($L140="","",INDEX('Price List'!$K$2:$K$1352,$L140)&amp;"")</f>
        <v>Nov 7, 2023</v>
      </c>
      <c r="L140" s="13" t="n">
        <f aca="false">IF(130&gt;$H$4,"",MATCH(130,'Price List'!$M$2:$M$1352,0))</f>
        <v>130</v>
      </c>
    </row>
    <row r="141" customFormat="false" ht="15" hidden="false" customHeight="false" outlineLevel="0" collapsed="false">
      <c r="A141" s="9" t="n">
        <v>131</v>
      </c>
      <c r="B141" s="10" t="str">
        <f aca="false">IF($L141="","",INDEX('Price List'!$B$2:$B$1352,$L141)&amp;"")</f>
        <v>NAPPCO (Nov 7, 2023 list)</v>
      </c>
      <c r="C141" s="10" t="str">
        <f aca="false">IF($L141="","",INDEX('Price List'!$C$2:$C$1352,$L141)&amp;"")</f>
        <v>Board / Specialty</v>
      </c>
      <c r="D141" s="11" t="str">
        <f aca="false">IF($L141="","",INDEX('Price List'!$D$2:$D$1352,$L141)&amp;"")</f>
        <v>Glassine</v>
      </c>
      <c r="E141" s="11" t="str">
        <f aca="false">IF($L141="","",INDEX('Price List'!$E$2:$E$1352,$L141)&amp;"")</f>
        <v/>
      </c>
      <c r="F141" s="10" t="str">
        <f aca="false">IF($L141="","",INDEX('Price List'!$F$2:$F$1352,$L141)&amp;"")</f>
        <v/>
      </c>
      <c r="G141" s="10" t="str">
        <f aca="false">IF($L141="","",INDEX('Price List'!$G$2:$G$1352,$L141)&amp;"")</f>
        <v/>
      </c>
      <c r="H141" s="10" t="str">
        <f aca="false">IF($L141="","",INDEX('Price List'!$H$2:$H$1352,$L141)&amp;"")</f>
        <v>ream</v>
      </c>
      <c r="I141" s="12" t="n">
        <f aca="false">IF($L141="","",IF(INDEX('Price List'!$I$2:$I$1352,$L141)="","",INDEX('Price List'!$I$2:$I$1352,$L141)))</f>
        <v>800</v>
      </c>
      <c r="J141" s="11" t="str">
        <f aca="false">IF($L141="","",INDEX('Price List'!$J$2:$J$1352,$L141)&amp;"")</f>
        <v/>
      </c>
      <c r="K141" s="10" t="str">
        <f aca="false">IF($L141="","",INDEX('Price List'!$K$2:$K$1352,$L141)&amp;"")</f>
        <v>Nov 7, 2023</v>
      </c>
      <c r="L141" s="13" t="n">
        <f aca="false">IF(131&gt;$H$4,"",MATCH(131,'Price List'!$M$2:$M$1352,0))</f>
        <v>131</v>
      </c>
    </row>
    <row r="142" customFormat="false" ht="15" hidden="false" customHeight="false" outlineLevel="0" collapsed="false">
      <c r="A142" s="9" t="n">
        <v>132</v>
      </c>
      <c r="B142" s="10" t="str">
        <f aca="false">IF($L142="","",INDEX('Price List'!$B$2:$B$1352,$L142)&amp;"")</f>
        <v>NAPPCO (Nov 7, 2023 list)</v>
      </c>
      <c r="C142" s="10" t="str">
        <f aca="false">IF($L142="","",INDEX('Price List'!$C$2:$C$1352,$L142)&amp;"")</f>
        <v>Bond Paper</v>
      </c>
      <c r="D142" s="11" t="str">
        <f aca="false">IF($L142="","",INDEX('Price List'!$D$2:$D$1352,$L142)&amp;"")</f>
        <v>BE 49gsm</v>
      </c>
      <c r="E142" s="11" t="str">
        <f aca="false">IF($L142="","",INDEX('Price List'!$E$2:$E$1352,$L142)&amp;"")</f>
        <v/>
      </c>
      <c r="F142" s="10" t="str">
        <f aca="false">IF($L142="","",INDEX('Price List'!$F$2:$F$1352,$L142)&amp;"")</f>
        <v/>
      </c>
      <c r="G142" s="10" t="str">
        <f aca="false">IF($L142="","",INDEX('Price List'!$G$2:$G$1352,$L142)&amp;"")</f>
        <v/>
      </c>
      <c r="H142" s="10" t="str">
        <f aca="false">IF($L142="","",INDEX('Price List'!$H$2:$H$1352,$L142)&amp;"")</f>
        <v>per lb</v>
      </c>
      <c r="I142" s="12" t="n">
        <f aca="false">IF($L142="","",IF(INDEX('Price List'!$I$2:$I$1352,$L142)="","",INDEX('Price List'!$I$2:$I$1352,$L142)))</f>
        <v>24</v>
      </c>
      <c r="J142" s="11" t="str">
        <f aca="false">IF($L142="","",INDEX('Price List'!$J$2:$J$1352,$L142)&amp;"")</f>
        <v>Kilo price P62/kg</v>
      </c>
      <c r="K142" s="10" t="str">
        <f aca="false">IF($L142="","",INDEX('Price List'!$K$2:$K$1352,$L142)&amp;"")</f>
        <v>Nov 7, 2023</v>
      </c>
      <c r="L142" s="13" t="n">
        <f aca="false">IF(132&gt;$H$4,"",MATCH(132,'Price List'!$M$2:$M$1352,0))</f>
        <v>132</v>
      </c>
    </row>
    <row r="143" customFormat="false" ht="15" hidden="false" customHeight="false" outlineLevel="0" collapsed="false">
      <c r="A143" s="9" t="n">
        <v>133</v>
      </c>
      <c r="B143" s="10" t="str">
        <f aca="false">IF($L143="","",INDEX('Price List'!$B$2:$B$1352,$L143)&amp;"")</f>
        <v>NAPPCO (Nov 7, 2023 list)</v>
      </c>
      <c r="C143" s="10" t="str">
        <f aca="false">IF($L143="","",INDEX('Price List'!$C$2:$C$1352,$L143)&amp;"")</f>
        <v>Bond Paper</v>
      </c>
      <c r="D143" s="11" t="str">
        <f aca="false">IF($L143="","",INDEX('Price List'!$D$2:$D$1352,$L143)&amp;"")</f>
        <v>TE 48gsm</v>
      </c>
      <c r="E143" s="11" t="str">
        <f aca="false">IF($L143="","",INDEX('Price List'!$E$2:$E$1352,$L143)&amp;"")</f>
        <v/>
      </c>
      <c r="F143" s="10" t="str">
        <f aca="false">IF($L143="","",INDEX('Price List'!$F$2:$F$1352,$L143)&amp;"")</f>
        <v/>
      </c>
      <c r="G143" s="10" t="str">
        <f aca="false">IF($L143="","",INDEX('Price List'!$G$2:$G$1352,$L143)&amp;"")</f>
        <v/>
      </c>
      <c r="H143" s="10" t="str">
        <f aca="false">IF($L143="","",INDEX('Price List'!$H$2:$H$1352,$L143)&amp;"")</f>
        <v>per lb</v>
      </c>
      <c r="I143" s="12" t="n">
        <f aca="false">IF($L143="","",IF(INDEX('Price List'!$I$2:$I$1352,$L143)="","",INDEX('Price List'!$I$2:$I$1352,$L143)))</f>
        <v>24.5</v>
      </c>
      <c r="J143" s="11" t="str">
        <f aca="false">IF($L143="","",INDEX('Price List'!$J$2:$J$1352,$L143)&amp;"")</f>
        <v>Kilo price P63/kg</v>
      </c>
      <c r="K143" s="10" t="str">
        <f aca="false">IF($L143="","",INDEX('Price List'!$K$2:$K$1352,$L143)&amp;"")</f>
        <v>Nov 7, 2023</v>
      </c>
      <c r="L143" s="13" t="n">
        <f aca="false">IF(133&gt;$H$4,"",MATCH(133,'Price List'!$M$2:$M$1352,0))</f>
        <v>133</v>
      </c>
    </row>
    <row r="144" customFormat="false" ht="15" hidden="false" customHeight="false" outlineLevel="0" collapsed="false">
      <c r="A144" s="9" t="n">
        <v>134</v>
      </c>
      <c r="B144" s="10" t="str">
        <f aca="false">IF($L144="","",INDEX('Price List'!$B$2:$B$1352,$L144)&amp;"")</f>
        <v>NAPPCO (Nov 7, 2023 list)</v>
      </c>
      <c r="C144" s="10" t="str">
        <f aca="false">IF($L144="","",INDEX('Price List'!$C$2:$C$1352,$L144)&amp;"")</f>
        <v>Bond Paper</v>
      </c>
      <c r="D144" s="11" t="str">
        <f aca="false">IF($L144="","",INDEX('Price List'!$D$2:$D$1352,$L144)&amp;"")</f>
        <v>TE 51gsm</v>
      </c>
      <c r="E144" s="11" t="str">
        <f aca="false">IF($L144="","",INDEX('Price List'!$E$2:$E$1352,$L144)&amp;"")</f>
        <v/>
      </c>
      <c r="F144" s="10" t="str">
        <f aca="false">IF($L144="","",INDEX('Price List'!$F$2:$F$1352,$L144)&amp;"")</f>
        <v/>
      </c>
      <c r="G144" s="10" t="str">
        <f aca="false">IF($L144="","",INDEX('Price List'!$G$2:$G$1352,$L144)&amp;"")</f>
        <v/>
      </c>
      <c r="H144" s="10" t="str">
        <f aca="false">IF($L144="","",INDEX('Price List'!$H$2:$H$1352,$L144)&amp;"")</f>
        <v>per lb</v>
      </c>
      <c r="I144" s="12" t="n">
        <f aca="false">IF($L144="","",IF(INDEX('Price List'!$I$2:$I$1352,$L144)="","",INDEX('Price List'!$I$2:$I$1352,$L144)))</f>
        <v>25.5</v>
      </c>
      <c r="J144" s="11" t="str">
        <f aca="false">IF($L144="","",INDEX('Price List'!$J$2:$J$1352,$L144)&amp;"")</f>
        <v>Kilo price P63/kg</v>
      </c>
      <c r="K144" s="10" t="str">
        <f aca="false">IF($L144="","",INDEX('Price List'!$K$2:$K$1352,$L144)&amp;"")</f>
        <v>Nov 7, 2023</v>
      </c>
      <c r="L144" s="13" t="n">
        <f aca="false">IF(134&gt;$H$4,"",MATCH(134,'Price List'!$M$2:$M$1352,0))</f>
        <v>134</v>
      </c>
    </row>
    <row r="145" customFormat="false" ht="15" hidden="false" customHeight="false" outlineLevel="0" collapsed="false">
      <c r="A145" s="9" t="n">
        <v>135</v>
      </c>
      <c r="B145" s="10" t="str">
        <f aca="false">IF($L145="","",INDEX('Price List'!$B$2:$B$1352,$L145)&amp;"")</f>
        <v>NAPPCO (Nov 7, 2023 list)</v>
      </c>
      <c r="C145" s="10" t="str">
        <f aca="false">IF($L145="","",INDEX('Price List'!$C$2:$C$1352,$L145)&amp;"")</f>
        <v>Bond Paper</v>
      </c>
      <c r="D145" s="11" t="str">
        <f aca="false">IF($L145="","",INDEX('Price List'!$D$2:$D$1352,$L145)&amp;"")</f>
        <v>MT 51gsm</v>
      </c>
      <c r="E145" s="11" t="str">
        <f aca="false">IF($L145="","",INDEX('Price List'!$E$2:$E$1352,$L145)&amp;"")</f>
        <v/>
      </c>
      <c r="F145" s="10" t="str">
        <f aca="false">IF($L145="","",INDEX('Price List'!$F$2:$F$1352,$L145)&amp;"")</f>
        <v/>
      </c>
      <c r="G145" s="10" t="str">
        <f aca="false">IF($L145="","",INDEX('Price List'!$G$2:$G$1352,$L145)&amp;"")</f>
        <v/>
      </c>
      <c r="H145" s="10" t="str">
        <f aca="false">IF($L145="","",INDEX('Price List'!$H$2:$H$1352,$L145)&amp;"")</f>
        <v>per lb</v>
      </c>
      <c r="I145" s="12" t="n">
        <f aca="false">IF($L145="","",IF(INDEX('Price List'!$I$2:$I$1352,$L145)="","",INDEX('Price List'!$I$2:$I$1352,$L145)))</f>
        <v>26.5</v>
      </c>
      <c r="J145" s="11" t="str">
        <f aca="false">IF($L145="","",INDEX('Price List'!$J$2:$J$1352,$L145)&amp;"")</f>
        <v>Kilo price P65/kg</v>
      </c>
      <c r="K145" s="10" t="str">
        <f aca="false">IF($L145="","",INDEX('Price List'!$K$2:$K$1352,$L145)&amp;"")</f>
        <v>Nov 7, 2023</v>
      </c>
      <c r="L145" s="13" t="n">
        <f aca="false">IF(135&gt;$H$4,"",MATCH(135,'Price List'!$M$2:$M$1352,0))</f>
        <v>135</v>
      </c>
    </row>
    <row r="146" customFormat="false" ht="15" hidden="false" customHeight="false" outlineLevel="0" collapsed="false">
      <c r="A146" s="9" t="n">
        <v>136</v>
      </c>
      <c r="B146" s="10" t="str">
        <f aca="false">IF($L146="","",INDEX('Price List'!$B$2:$B$1352,$L146)&amp;"")</f>
        <v>NAPPCO (Nov 7, 2023 list)</v>
      </c>
      <c r="C146" s="10" t="str">
        <f aca="false">IF($L146="","",INDEX('Price List'!$C$2:$C$1352,$L146)&amp;"")</f>
        <v>Bond Paper</v>
      </c>
      <c r="D146" s="11" t="str">
        <f aca="false">IF($L146="","",INDEX('Price List'!$D$2:$D$1352,$L146)&amp;"")</f>
        <v>MT 54gsm</v>
      </c>
      <c r="E146" s="11" t="str">
        <f aca="false">IF($L146="","",INDEX('Price List'!$E$2:$E$1352,$L146)&amp;"")</f>
        <v/>
      </c>
      <c r="F146" s="10" t="str">
        <f aca="false">IF($L146="","",INDEX('Price List'!$F$2:$F$1352,$L146)&amp;"")</f>
        <v/>
      </c>
      <c r="G146" s="10" t="str">
        <f aca="false">IF($L146="","",INDEX('Price List'!$G$2:$G$1352,$L146)&amp;"")</f>
        <v/>
      </c>
      <c r="H146" s="10" t="str">
        <f aca="false">IF($L146="","",INDEX('Price List'!$H$2:$H$1352,$L146)&amp;"")</f>
        <v>per lb</v>
      </c>
      <c r="I146" s="12" t="n">
        <f aca="false">IF($L146="","",IF(INDEX('Price List'!$I$2:$I$1352,$L146)="","",INDEX('Price List'!$I$2:$I$1352,$L146)))</f>
        <v>28</v>
      </c>
      <c r="J146" s="11" t="str">
        <f aca="false">IF($L146="","",INDEX('Price List'!$J$2:$J$1352,$L146)&amp;"")</f>
        <v>Kilo price P65/kg</v>
      </c>
      <c r="K146" s="10" t="str">
        <f aca="false">IF($L146="","",INDEX('Price List'!$K$2:$K$1352,$L146)&amp;"")</f>
        <v>Nov 7, 2023</v>
      </c>
      <c r="L146" s="13" t="n">
        <f aca="false">IF(136&gt;$H$4,"",MATCH(136,'Price List'!$M$2:$M$1352,0))</f>
        <v>136</v>
      </c>
    </row>
    <row r="147" customFormat="false" ht="15" hidden="false" customHeight="false" outlineLevel="0" collapsed="false">
      <c r="A147" s="9" t="n">
        <v>137</v>
      </c>
      <c r="B147" s="10" t="str">
        <f aca="false">IF($L147="","",INDEX('Price List'!$B$2:$B$1352,$L147)&amp;"")</f>
        <v>NAPPCO (Nov 7, 2023 list)</v>
      </c>
      <c r="C147" s="10" t="str">
        <f aca="false">IF($L147="","",INDEX('Price List'!$C$2:$C$1352,$L147)&amp;"")</f>
        <v>Bond Paper</v>
      </c>
      <c r="D147" s="11" t="str">
        <f aca="false">IF($L147="","",INDEX('Price List'!$D$2:$D$1352,$L147)&amp;"")</f>
        <v>MT 58gsm</v>
      </c>
      <c r="E147" s="11" t="str">
        <f aca="false">IF($L147="","",INDEX('Price List'!$E$2:$E$1352,$L147)&amp;"")</f>
        <v/>
      </c>
      <c r="F147" s="10" t="str">
        <f aca="false">IF($L147="","",INDEX('Price List'!$F$2:$F$1352,$L147)&amp;"")</f>
        <v/>
      </c>
      <c r="G147" s="10" t="str">
        <f aca="false">IF($L147="","",INDEX('Price List'!$G$2:$G$1352,$L147)&amp;"")</f>
        <v/>
      </c>
      <c r="H147" s="10" t="str">
        <f aca="false">IF($L147="","",INDEX('Price List'!$H$2:$H$1352,$L147)&amp;"")</f>
        <v>per lb</v>
      </c>
      <c r="I147" s="12" t="n">
        <f aca="false">IF($L147="","",IF(INDEX('Price List'!$I$2:$I$1352,$L147)="","",INDEX('Price List'!$I$2:$I$1352,$L147)))</f>
        <v>29</v>
      </c>
      <c r="J147" s="11" t="str">
        <f aca="false">IF($L147="","",INDEX('Price List'!$J$2:$J$1352,$L147)&amp;"")</f>
        <v>Kilo price P65/kg</v>
      </c>
      <c r="K147" s="10" t="str">
        <f aca="false">IF($L147="","",INDEX('Price List'!$K$2:$K$1352,$L147)&amp;"")</f>
        <v>Nov 7, 2023</v>
      </c>
      <c r="L147" s="13" t="n">
        <f aca="false">IF(137&gt;$H$4,"",MATCH(137,'Price List'!$M$2:$M$1352,0))</f>
        <v>137</v>
      </c>
    </row>
    <row r="148" customFormat="false" ht="15" hidden="false" customHeight="false" outlineLevel="0" collapsed="false">
      <c r="A148" s="9" t="n">
        <v>138</v>
      </c>
      <c r="B148" s="10" t="str">
        <f aca="false">IF($L148="","",INDEX('Price List'!$B$2:$B$1352,$L148)&amp;"")</f>
        <v>NAPPCO (Nov 7, 2023 list)</v>
      </c>
      <c r="C148" s="10" t="str">
        <f aca="false">IF($L148="","",INDEX('Price List'!$C$2:$C$1352,$L148)&amp;"")</f>
        <v>Bond Paper</v>
      </c>
      <c r="D148" s="11" t="str">
        <f aca="false">IF($L148="","",INDEX('Price List'!$D$2:$D$1352,$L148)&amp;"")</f>
        <v>MT 68gsm</v>
      </c>
      <c r="E148" s="11" t="str">
        <f aca="false">IF($L148="","",INDEX('Price List'!$E$2:$E$1352,$L148)&amp;"")</f>
        <v/>
      </c>
      <c r="F148" s="10" t="str">
        <f aca="false">IF($L148="","",INDEX('Price List'!$F$2:$F$1352,$L148)&amp;"")</f>
        <v/>
      </c>
      <c r="G148" s="10" t="str">
        <f aca="false">IF($L148="","",INDEX('Price List'!$G$2:$G$1352,$L148)&amp;"")</f>
        <v/>
      </c>
      <c r="H148" s="10" t="str">
        <f aca="false">IF($L148="","",INDEX('Price List'!$H$2:$H$1352,$L148)&amp;"")</f>
        <v>per lb</v>
      </c>
      <c r="I148" s="12" t="n">
        <f aca="false">IF($L148="","",IF(INDEX('Price List'!$I$2:$I$1352,$L148)="","",INDEX('Price List'!$I$2:$I$1352,$L148)))</f>
        <v>29</v>
      </c>
      <c r="J148" s="11" t="str">
        <f aca="false">IF($L148="","",INDEX('Price List'!$J$2:$J$1352,$L148)&amp;"")</f>
        <v>Kilo price P65/kg</v>
      </c>
      <c r="K148" s="10" t="str">
        <f aca="false">IF($L148="","",INDEX('Price List'!$K$2:$K$1352,$L148)&amp;"")</f>
        <v>Nov 7, 2023</v>
      </c>
      <c r="L148" s="13" t="n">
        <f aca="false">IF(138&gt;$H$4,"",MATCH(138,'Price List'!$M$2:$M$1352,0))</f>
        <v>138</v>
      </c>
    </row>
    <row r="149" customFormat="false" ht="15" hidden="false" customHeight="false" outlineLevel="0" collapsed="false">
      <c r="A149" s="9" t="n">
        <v>139</v>
      </c>
      <c r="B149" s="10" t="str">
        <f aca="false">IF($L149="","",INDEX('Price List'!$B$2:$B$1352,$L149)&amp;"")</f>
        <v>NAPPCO (Nov 7, 2023 list)</v>
      </c>
      <c r="C149" s="10" t="str">
        <f aca="false">IF($L149="","",INDEX('Price List'!$C$2:$C$1352,$L149)&amp;"")</f>
        <v>Bond Paper</v>
      </c>
      <c r="D149" s="11" t="str">
        <f aca="false">IF($L149="","",INDEX('Price List'!$D$2:$D$1352,$L149)&amp;"")</f>
        <v>Colored Bond</v>
      </c>
      <c r="E149" s="11" t="str">
        <f aca="false">IF($L149="","",INDEX('Price List'!$E$2:$E$1352,$L149)&amp;"")</f>
        <v/>
      </c>
      <c r="F149" s="10" t="str">
        <f aca="false">IF($L149="","",INDEX('Price List'!$F$2:$F$1352,$L149)&amp;"")</f>
        <v/>
      </c>
      <c r="G149" s="10" t="str">
        <f aca="false">IF($L149="","",INDEX('Price List'!$G$2:$G$1352,$L149)&amp;"")</f>
        <v/>
      </c>
      <c r="H149" s="10" t="str">
        <f aca="false">IF($L149="","",INDEX('Price List'!$H$2:$H$1352,$L149)&amp;"")</f>
        <v>per lb</v>
      </c>
      <c r="I149" s="12" t="n">
        <f aca="false">IF($L149="","",IF(INDEX('Price List'!$I$2:$I$1352,$L149)="","",INDEX('Price List'!$I$2:$I$1352,$L149)))</f>
        <v>40</v>
      </c>
      <c r="J149" s="11" t="str">
        <f aca="false">IF($L149="","",INDEX('Price List'!$J$2:$J$1352,$L149)&amp;"")</f>
        <v/>
      </c>
      <c r="K149" s="10" t="str">
        <f aca="false">IF($L149="","",INDEX('Price List'!$K$2:$K$1352,$L149)&amp;"")</f>
        <v>Nov 7, 2023</v>
      </c>
      <c r="L149" s="13" t="n">
        <f aca="false">IF(139&gt;$H$4,"",MATCH(139,'Price List'!$M$2:$M$1352,0))</f>
        <v>139</v>
      </c>
    </row>
    <row r="150" customFormat="false" ht="15" hidden="false" customHeight="false" outlineLevel="0" collapsed="false">
      <c r="A150" s="9" t="n">
        <v>140</v>
      </c>
      <c r="B150" s="10" t="str">
        <f aca="false">IF($L150="","",INDEX('Price List'!$B$2:$B$1352,$L150)&amp;"")</f>
        <v>NAPPCO (Nov 7, 2023 list)</v>
      </c>
      <c r="C150" s="10" t="str">
        <f aca="false">IF($L150="","",INDEX('Price List'!$C$2:$C$1352,$L150)&amp;"")</f>
        <v>Bond Paper</v>
      </c>
      <c r="D150" s="11" t="str">
        <f aca="false">IF($L150="","",INDEX('Price List'!$D$2:$D$1352,$L150)&amp;"")</f>
        <v>JN Book 45g</v>
      </c>
      <c r="E150" s="11" t="str">
        <f aca="false">IF($L150="","",INDEX('Price List'!$E$2:$E$1352,$L150)&amp;"")</f>
        <v/>
      </c>
      <c r="F150" s="10" t="str">
        <f aca="false">IF($L150="","",INDEX('Price List'!$F$2:$F$1352,$L150)&amp;"")</f>
        <v/>
      </c>
      <c r="G150" s="10" t="str">
        <f aca="false">IF($L150="","",INDEX('Price List'!$G$2:$G$1352,$L150)&amp;"")</f>
        <v/>
      </c>
      <c r="H150" s="10" t="str">
        <f aca="false">IF($L150="","",INDEX('Price List'!$H$2:$H$1352,$L150)&amp;"")</f>
        <v>per lb</v>
      </c>
      <c r="I150" s="12" t="n">
        <f aca="false">IF($L150="","",IF(INDEX('Price List'!$I$2:$I$1352,$L150)="","",INDEX('Price List'!$I$2:$I$1352,$L150)))</f>
        <v>31</v>
      </c>
      <c r="J150" s="11" t="str">
        <f aca="false">IF($L150="","",INDEX('Price List'!$J$2:$J$1352,$L150)&amp;"")</f>
        <v>Kilo price P86/kg</v>
      </c>
      <c r="K150" s="10" t="str">
        <f aca="false">IF($L150="","",INDEX('Price List'!$K$2:$K$1352,$L150)&amp;"")</f>
        <v>Nov 7, 2023</v>
      </c>
      <c r="L150" s="13" t="n">
        <f aca="false">IF(140&gt;$H$4,"",MATCH(140,'Price List'!$M$2:$M$1352,0))</f>
        <v>140</v>
      </c>
    </row>
    <row r="151" customFormat="false" ht="15" hidden="false" customHeight="false" outlineLevel="0" collapsed="false">
      <c r="A151" s="9" t="n">
        <v>141</v>
      </c>
      <c r="B151" s="10" t="str">
        <f aca="false">IF($L151="","",INDEX('Price List'!$B$2:$B$1352,$L151)&amp;"")</f>
        <v>NAPPCO (Nov 7, 2023 list)</v>
      </c>
      <c r="C151" s="10" t="str">
        <f aca="false">IF($L151="","",INDEX('Price List'!$C$2:$C$1352,$L151)&amp;"")</f>
        <v>Bond Paper</v>
      </c>
      <c r="D151" s="11" t="str">
        <f aca="false">IF($L151="","",INDEX('Price List'!$D$2:$D$1352,$L151)&amp;"")</f>
        <v>JN Book 50g</v>
      </c>
      <c r="E151" s="11" t="str">
        <f aca="false">IF($L151="","",INDEX('Price List'!$E$2:$E$1352,$L151)&amp;"")</f>
        <v/>
      </c>
      <c r="F151" s="10" t="str">
        <f aca="false">IF($L151="","",INDEX('Price List'!$F$2:$F$1352,$L151)&amp;"")</f>
        <v/>
      </c>
      <c r="G151" s="10" t="str">
        <f aca="false">IF($L151="","",INDEX('Price List'!$G$2:$G$1352,$L151)&amp;"")</f>
        <v/>
      </c>
      <c r="H151" s="10" t="str">
        <f aca="false">IF($L151="","",INDEX('Price List'!$H$2:$H$1352,$L151)&amp;"")</f>
        <v>per lb</v>
      </c>
      <c r="I151" s="12" t="n">
        <f aca="false">IF($L151="","",IF(INDEX('Price List'!$I$2:$I$1352,$L151)="","",INDEX('Price List'!$I$2:$I$1352,$L151)))</f>
        <v>32</v>
      </c>
      <c r="J151" s="11" t="str">
        <f aca="false">IF($L151="","",INDEX('Price List'!$J$2:$J$1352,$L151)&amp;"")</f>
        <v>Kilo price P80/kg</v>
      </c>
      <c r="K151" s="10" t="str">
        <f aca="false">IF($L151="","",INDEX('Price List'!$K$2:$K$1352,$L151)&amp;"")</f>
        <v>Nov 7, 2023</v>
      </c>
      <c r="L151" s="13" t="n">
        <f aca="false">IF(141&gt;$H$4,"",MATCH(141,'Price List'!$M$2:$M$1352,0))</f>
        <v>141</v>
      </c>
    </row>
    <row r="152" customFormat="false" ht="15" hidden="false" customHeight="false" outlineLevel="0" collapsed="false">
      <c r="A152" s="9" t="n">
        <v>142</v>
      </c>
      <c r="B152" s="10" t="str">
        <f aca="false">IF($L152="","",INDEX('Price List'!$B$2:$B$1352,$L152)&amp;"")</f>
        <v>NAPPCO (Nov 7, 2023 list)</v>
      </c>
      <c r="C152" s="10" t="str">
        <f aca="false">IF($L152="","",INDEX('Price List'!$C$2:$C$1352,$L152)&amp;"")</f>
        <v>Bond Paper</v>
      </c>
      <c r="D152" s="11" t="str">
        <f aca="false">IF($L152="","",INDEX('Price List'!$D$2:$D$1352,$L152)&amp;"")</f>
        <v>JN Book 55/60g</v>
      </c>
      <c r="E152" s="11" t="str">
        <f aca="false">IF($L152="","",INDEX('Price List'!$E$2:$E$1352,$L152)&amp;"")</f>
        <v/>
      </c>
      <c r="F152" s="10" t="str">
        <f aca="false">IF($L152="","",INDEX('Price List'!$F$2:$F$1352,$L152)&amp;"")</f>
        <v/>
      </c>
      <c r="G152" s="10" t="str">
        <f aca="false">IF($L152="","",INDEX('Price List'!$G$2:$G$1352,$L152)&amp;"")</f>
        <v/>
      </c>
      <c r="H152" s="10" t="str">
        <f aca="false">IF($L152="","",INDEX('Price List'!$H$2:$H$1352,$L152)&amp;"")</f>
        <v>per lb</v>
      </c>
      <c r="I152" s="12" t="n">
        <f aca="false">IF($L152="","",IF(INDEX('Price List'!$I$2:$I$1352,$L152)="","",INDEX('Price List'!$I$2:$I$1352,$L152)))</f>
        <v>34</v>
      </c>
      <c r="J152" s="11" t="str">
        <f aca="false">IF($L152="","",INDEX('Price List'!$J$2:$J$1352,$L152)&amp;"")</f>
        <v>Kilo price P75/kg</v>
      </c>
      <c r="K152" s="10" t="str">
        <f aca="false">IF($L152="","",INDEX('Price List'!$K$2:$K$1352,$L152)&amp;"")</f>
        <v>Nov 7, 2023</v>
      </c>
      <c r="L152" s="13" t="n">
        <f aca="false">IF(142&gt;$H$4,"",MATCH(142,'Price List'!$M$2:$M$1352,0))</f>
        <v>142</v>
      </c>
    </row>
    <row r="153" customFormat="false" ht="15" hidden="false" customHeight="false" outlineLevel="0" collapsed="false">
      <c r="A153" s="9" t="n">
        <v>143</v>
      </c>
      <c r="B153" s="10" t="str">
        <f aca="false">IF($L153="","",INDEX('Price List'!$B$2:$B$1352,$L153)&amp;"")</f>
        <v>NAPPCO (Nov 7, 2023 list)</v>
      </c>
      <c r="C153" s="10" t="str">
        <f aca="false">IF($L153="","",INDEX('Price List'!$C$2:$C$1352,$L153)&amp;"")</f>
        <v>Newsprint</v>
      </c>
      <c r="D153" s="11" t="str">
        <f aca="false">IF($L153="","",INDEX('Price List'!$D$2:$D$1352,$L153)&amp;"")</f>
        <v>Newsprint</v>
      </c>
      <c r="E153" s="11" t="str">
        <f aca="false">IF($L153="","",INDEX('Price List'!$E$2:$E$1352,$L153)&amp;"")</f>
        <v/>
      </c>
      <c r="F153" s="10" t="str">
        <f aca="false">IF($L153="","",INDEX('Price List'!$F$2:$F$1352,$L153)&amp;"")</f>
        <v>43gsm</v>
      </c>
      <c r="G153" s="10" t="str">
        <f aca="false">IF($L153="","",INDEX('Price List'!$G$2:$G$1352,$L153)&amp;"")</f>
        <v>24 x 36</v>
      </c>
      <c r="H153" s="10" t="str">
        <f aca="false">IF($L153="","",INDEX('Price List'!$H$2:$H$1352,$L153)&amp;"")</f>
        <v>ream</v>
      </c>
      <c r="I153" s="12" t="n">
        <f aca="false">IF($L153="","",IF(INDEX('Price List'!$I$2:$I$1352,$L153)="","",INDEX('Price List'!$I$2:$I$1352,$L153)))</f>
        <v>750</v>
      </c>
      <c r="J153" s="11" t="str">
        <f aca="false">IF($L153="","",INDEX('Price List'!$J$2:$J$1352,$L153)&amp;"")</f>
        <v>Kilo price P60/kg</v>
      </c>
      <c r="K153" s="10" t="str">
        <f aca="false">IF($L153="","",INDEX('Price List'!$K$2:$K$1352,$L153)&amp;"")</f>
        <v>Nov 7, 2023</v>
      </c>
      <c r="L153" s="13" t="n">
        <f aca="false">IF(143&gt;$H$4,"",MATCH(143,'Price List'!$M$2:$M$1352,0))</f>
        <v>143</v>
      </c>
    </row>
    <row r="154" customFormat="false" ht="15" hidden="false" customHeight="false" outlineLevel="0" collapsed="false">
      <c r="A154" s="9" t="n">
        <v>144</v>
      </c>
      <c r="B154" s="10" t="str">
        <f aca="false">IF($L154="","",INDEX('Price List'!$B$2:$B$1352,$L154)&amp;"")</f>
        <v>NAPPCO (Nov 7, 2023 list)</v>
      </c>
      <c r="C154" s="10" t="str">
        <f aca="false">IF($L154="","",INDEX('Price List'!$C$2:$C$1352,$L154)&amp;"")</f>
        <v>Newsprint</v>
      </c>
      <c r="D154" s="11" t="str">
        <f aca="false">IF($L154="","",INDEX('Price List'!$D$2:$D$1352,$L154)&amp;"")</f>
        <v>Newsprint</v>
      </c>
      <c r="E154" s="11" t="str">
        <f aca="false">IF($L154="","",INDEX('Price List'!$E$2:$E$1352,$L154)&amp;"")</f>
        <v/>
      </c>
      <c r="F154" s="10" t="str">
        <f aca="false">IF($L154="","",INDEX('Price List'!$F$2:$F$1352,$L154)&amp;"")</f>
        <v>45gsm</v>
      </c>
      <c r="G154" s="10" t="str">
        <f aca="false">IF($L154="","",INDEX('Price List'!$G$2:$G$1352,$L154)&amp;"")</f>
        <v>24 x 36</v>
      </c>
      <c r="H154" s="10" t="str">
        <f aca="false">IF($L154="","",INDEX('Price List'!$H$2:$H$1352,$L154)&amp;"")</f>
        <v>ream</v>
      </c>
      <c r="I154" s="12" t="n">
        <f aca="false">IF($L154="","",IF(INDEX('Price List'!$I$2:$I$1352,$L154)="","",INDEX('Price List'!$I$2:$I$1352,$L154)))</f>
        <v>780</v>
      </c>
      <c r="J154" s="11" t="str">
        <f aca="false">IF($L154="","",INDEX('Price List'!$J$2:$J$1352,$L154)&amp;"")</f>
        <v>Kilo price P60/kg</v>
      </c>
      <c r="K154" s="10" t="str">
        <f aca="false">IF($L154="","",INDEX('Price List'!$K$2:$K$1352,$L154)&amp;"")</f>
        <v>Nov 7, 2023</v>
      </c>
      <c r="L154" s="13" t="n">
        <f aca="false">IF(144&gt;$H$4,"",MATCH(144,'Price List'!$M$2:$M$1352,0))</f>
        <v>144</v>
      </c>
    </row>
    <row r="155" customFormat="false" ht="15" hidden="false" customHeight="false" outlineLevel="0" collapsed="false">
      <c r="A155" s="9" t="n">
        <v>145</v>
      </c>
      <c r="B155" s="10" t="str">
        <f aca="false">IF($L155="","",INDEX('Price List'!$B$2:$B$1352,$L155)&amp;"")</f>
        <v>NAPPCO (Nov 7, 2023 list)</v>
      </c>
      <c r="C155" s="10" t="str">
        <f aca="false">IF($L155="","",INDEX('Price List'!$C$2:$C$1352,$L155)&amp;"")</f>
        <v>Newsprint</v>
      </c>
      <c r="D155" s="11" t="str">
        <f aca="false">IF($L155="","",INDEX('Price List'!$D$2:$D$1352,$L155)&amp;"")</f>
        <v>Newsprint</v>
      </c>
      <c r="E155" s="11" t="str">
        <f aca="false">IF($L155="","",INDEX('Price List'!$E$2:$E$1352,$L155)&amp;"")</f>
        <v/>
      </c>
      <c r="F155" s="10" t="str">
        <f aca="false">IF($L155="","",INDEX('Price List'!$F$2:$F$1352,$L155)&amp;"")</f>
        <v>50gsm</v>
      </c>
      <c r="G155" s="10" t="str">
        <f aca="false">IF($L155="","",INDEX('Price List'!$G$2:$G$1352,$L155)&amp;"")</f>
        <v>24 x 36</v>
      </c>
      <c r="H155" s="10" t="str">
        <f aca="false">IF($L155="","",INDEX('Price List'!$H$2:$H$1352,$L155)&amp;"")</f>
        <v>ream</v>
      </c>
      <c r="I155" s="12" t="n">
        <f aca="false">IF($L155="","",IF(INDEX('Price List'!$I$2:$I$1352,$L155)="","",INDEX('Price List'!$I$2:$I$1352,$L155)))</f>
        <v>850</v>
      </c>
      <c r="J155" s="11" t="str">
        <f aca="false">IF($L155="","",INDEX('Price List'!$J$2:$J$1352,$L155)&amp;"")</f>
        <v>Kilo price P60/kg</v>
      </c>
      <c r="K155" s="10" t="str">
        <f aca="false">IF($L155="","",INDEX('Price List'!$K$2:$K$1352,$L155)&amp;"")</f>
        <v>Nov 7, 2023</v>
      </c>
      <c r="L155" s="13" t="n">
        <f aca="false">IF(145&gt;$H$4,"",MATCH(145,'Price List'!$M$2:$M$1352,0))</f>
        <v>145</v>
      </c>
    </row>
    <row r="156" customFormat="false" ht="15" hidden="false" customHeight="false" outlineLevel="0" collapsed="false">
      <c r="A156" s="9" t="n">
        <v>146</v>
      </c>
      <c r="B156" s="10" t="str">
        <f aca="false">IF($L156="","",INDEX('Price List'!$B$2:$B$1352,$L156)&amp;"")</f>
        <v>NAPPCO (Nov 7, 2023 list)</v>
      </c>
      <c r="C156" s="10" t="str">
        <f aca="false">IF($L156="","",INDEX('Price List'!$C$2:$C$1352,$L156)&amp;"")</f>
        <v>Newsprint</v>
      </c>
      <c r="D156" s="11" t="str">
        <f aca="false">IF($L156="","",INDEX('Price List'!$D$2:$D$1352,$L156)&amp;"")</f>
        <v>Newsprint</v>
      </c>
      <c r="E156" s="11" t="str">
        <f aca="false">IF($L156="","",INDEX('Price List'!$E$2:$E$1352,$L156)&amp;"")</f>
        <v/>
      </c>
      <c r="F156" s="10" t="str">
        <f aca="false">IF($L156="","",INDEX('Price List'!$F$2:$F$1352,$L156)&amp;"")</f>
        <v>52gsm</v>
      </c>
      <c r="G156" s="10" t="str">
        <f aca="false">IF($L156="","",INDEX('Price List'!$G$2:$G$1352,$L156)&amp;"")</f>
        <v>24 x 36</v>
      </c>
      <c r="H156" s="10" t="str">
        <f aca="false">IF($L156="","",INDEX('Price List'!$H$2:$H$1352,$L156)&amp;"")</f>
        <v>ream</v>
      </c>
      <c r="I156" s="12" t="n">
        <f aca="false">IF($L156="","",IF(INDEX('Price List'!$I$2:$I$1352,$L156)="","",INDEX('Price List'!$I$2:$I$1352,$L156)))</f>
        <v>910</v>
      </c>
      <c r="J156" s="11" t="str">
        <f aca="false">IF($L156="","",INDEX('Price List'!$J$2:$J$1352,$L156)&amp;"")</f>
        <v>Kilo price P64/kg</v>
      </c>
      <c r="K156" s="10" t="str">
        <f aca="false">IF($L156="","",INDEX('Price List'!$K$2:$K$1352,$L156)&amp;"")</f>
        <v>Nov 7, 2023</v>
      </c>
      <c r="L156" s="13" t="n">
        <f aca="false">IF(146&gt;$H$4,"",MATCH(146,'Price List'!$M$2:$M$1352,0))</f>
        <v>146</v>
      </c>
    </row>
    <row r="157" customFormat="false" ht="15" hidden="false" customHeight="false" outlineLevel="0" collapsed="false">
      <c r="A157" s="9" t="n">
        <v>147</v>
      </c>
      <c r="B157" s="10" t="str">
        <f aca="false">IF($L157="","",INDEX('Price List'!$B$2:$B$1352,$L157)&amp;"")</f>
        <v>NAPPCO (Nov 7, 2023 list)</v>
      </c>
      <c r="C157" s="10" t="str">
        <f aca="false">IF($L157="","",INDEX('Price List'!$C$2:$C$1352,$L157)&amp;"")</f>
        <v>Bristol / Vellum</v>
      </c>
      <c r="D157" s="11" t="str">
        <f aca="false">IF($L157="","",INDEX('Price List'!$D$2:$D$1352,$L157)&amp;"")</f>
        <v>Bristol / Vellum - Imported</v>
      </c>
      <c r="E157" s="11" t="str">
        <f aca="false">IF($L157="","",INDEX('Price List'!$E$2:$E$1352,$L157)&amp;"")</f>
        <v/>
      </c>
      <c r="F157" s="10" t="str">
        <f aca="false">IF($L157="","",INDEX('Price List'!$F$2:$F$1352,$L157)&amp;"")</f>
        <v>100 gsm</v>
      </c>
      <c r="G157" s="10" t="str">
        <f aca="false">IF($L157="","",INDEX('Price List'!$G$2:$G$1352,$L157)&amp;"")</f>
        <v>22.5 x 28.5</v>
      </c>
      <c r="H157" s="10" t="str">
        <f aca="false">IF($L157="","",INDEX('Price List'!$H$2:$H$1352,$L157)&amp;"")</f>
        <v>sheet</v>
      </c>
      <c r="I157" s="12" t="n">
        <f aca="false">IF($L157="","",IF(INDEX('Price List'!$I$2:$I$1352,$L157)="","",INDEX('Price List'!$I$2:$I$1352,$L157)))</f>
        <v>4.5</v>
      </c>
      <c r="J157" s="11" t="str">
        <f aca="false">IF($L157="","",INDEX('Price List'!$J$2:$J$1352,$L157)&amp;"")</f>
        <v/>
      </c>
      <c r="K157" s="10" t="str">
        <f aca="false">IF($L157="","",INDEX('Price List'!$K$2:$K$1352,$L157)&amp;"")</f>
        <v>Nov 7, 2023</v>
      </c>
      <c r="L157" s="13" t="n">
        <f aca="false">IF(147&gt;$H$4,"",MATCH(147,'Price List'!$M$2:$M$1352,0))</f>
        <v>147</v>
      </c>
    </row>
    <row r="158" customFormat="false" ht="15" hidden="false" customHeight="false" outlineLevel="0" collapsed="false">
      <c r="A158" s="9" t="n">
        <v>148</v>
      </c>
      <c r="B158" s="10" t="str">
        <f aca="false">IF($L158="","",INDEX('Price List'!$B$2:$B$1352,$L158)&amp;"")</f>
        <v>NAPPCO (Nov 7, 2023 list)</v>
      </c>
      <c r="C158" s="10" t="str">
        <f aca="false">IF($L158="","",INDEX('Price List'!$C$2:$C$1352,$L158)&amp;"")</f>
        <v>Bristol / Vellum</v>
      </c>
      <c r="D158" s="11" t="str">
        <f aca="false">IF($L158="","",INDEX('Price List'!$D$2:$D$1352,$L158)&amp;"")</f>
        <v>Bristol / Vellum - Local</v>
      </c>
      <c r="E158" s="11" t="str">
        <f aca="false">IF($L158="","",INDEX('Price List'!$E$2:$E$1352,$L158)&amp;"")</f>
        <v/>
      </c>
      <c r="F158" s="10" t="str">
        <f aca="false">IF($L158="","",INDEX('Price List'!$F$2:$F$1352,$L158)&amp;"")</f>
        <v>100 gsm</v>
      </c>
      <c r="G158" s="10" t="str">
        <f aca="false">IF($L158="","",INDEX('Price List'!$G$2:$G$1352,$L158)&amp;"")</f>
        <v>22.5 x 28.5</v>
      </c>
      <c r="H158" s="10" t="str">
        <f aca="false">IF($L158="","",INDEX('Price List'!$H$2:$H$1352,$L158)&amp;"")</f>
        <v>sheet</v>
      </c>
      <c r="I158" s="12" t="n">
        <f aca="false">IF($L158="","",IF(INDEX('Price List'!$I$2:$I$1352,$L158)="","",INDEX('Price List'!$I$2:$I$1352,$L158)))</f>
        <v>3.3</v>
      </c>
      <c r="J158" s="11" t="str">
        <f aca="false">IF($L158="","",INDEX('Price List'!$J$2:$J$1352,$L158)&amp;"")</f>
        <v/>
      </c>
      <c r="K158" s="10" t="str">
        <f aca="false">IF($L158="","",INDEX('Price List'!$K$2:$K$1352,$L158)&amp;"")</f>
        <v>Nov 7, 2023</v>
      </c>
      <c r="L158" s="13" t="n">
        <f aca="false">IF(148&gt;$H$4,"",MATCH(148,'Price List'!$M$2:$M$1352,0))</f>
        <v>148</v>
      </c>
    </row>
    <row r="159" customFormat="false" ht="15" hidden="false" customHeight="false" outlineLevel="0" collapsed="false">
      <c r="A159" s="9" t="n">
        <v>149</v>
      </c>
      <c r="B159" s="10" t="str">
        <f aca="false">IF($L159="","",INDEX('Price List'!$B$2:$B$1352,$L159)&amp;"")</f>
        <v>NAPPCO (Nov 7, 2023 list)</v>
      </c>
      <c r="C159" s="10" t="str">
        <f aca="false">IF($L159="","",INDEX('Price List'!$C$2:$C$1352,$L159)&amp;"")</f>
        <v>Bristol / Vellum</v>
      </c>
      <c r="D159" s="11" t="str">
        <f aca="false">IF($L159="","",INDEX('Price List'!$D$2:$D$1352,$L159)&amp;"")</f>
        <v>Bristol / Vellum - Imported</v>
      </c>
      <c r="E159" s="11" t="str">
        <f aca="false">IF($L159="","",INDEX('Price List'!$E$2:$E$1352,$L159)&amp;"")</f>
        <v/>
      </c>
      <c r="F159" s="10" t="str">
        <f aca="false">IF($L159="","",INDEX('Price List'!$F$2:$F$1352,$L159)&amp;"")</f>
        <v>110-120gsm</v>
      </c>
      <c r="G159" s="10" t="str">
        <f aca="false">IF($L159="","",INDEX('Price List'!$G$2:$G$1352,$L159)&amp;"")</f>
        <v>22.5 x 28.5</v>
      </c>
      <c r="H159" s="10" t="str">
        <f aca="false">IF($L159="","",INDEX('Price List'!$H$2:$H$1352,$L159)&amp;"")</f>
        <v>sheet</v>
      </c>
      <c r="I159" s="12" t="n">
        <f aca="false">IF($L159="","",IF(INDEX('Price List'!$I$2:$I$1352,$L159)="","",INDEX('Price List'!$I$2:$I$1352,$L159)))</f>
        <v>4.7</v>
      </c>
      <c r="J159" s="11" t="str">
        <f aca="false">IF($L159="","",INDEX('Price List'!$J$2:$J$1352,$L159)&amp;"")</f>
        <v/>
      </c>
      <c r="K159" s="10" t="str">
        <f aca="false">IF($L159="","",INDEX('Price List'!$K$2:$K$1352,$L159)&amp;"")</f>
        <v>Nov 7, 2023</v>
      </c>
      <c r="L159" s="13" t="n">
        <f aca="false">IF(149&gt;$H$4,"",MATCH(149,'Price List'!$M$2:$M$1352,0))</f>
        <v>149</v>
      </c>
    </row>
    <row r="160" customFormat="false" ht="15" hidden="false" customHeight="false" outlineLevel="0" collapsed="false">
      <c r="A160" s="9" t="n">
        <v>150</v>
      </c>
      <c r="B160" s="10" t="str">
        <f aca="false">IF($L160="","",INDEX('Price List'!$B$2:$B$1352,$L160)&amp;"")</f>
        <v>NAPPCO (Nov 7, 2023 list)</v>
      </c>
      <c r="C160" s="10" t="str">
        <f aca="false">IF($L160="","",INDEX('Price List'!$C$2:$C$1352,$L160)&amp;"")</f>
        <v>Bristol / Vellum</v>
      </c>
      <c r="D160" s="11" t="str">
        <f aca="false">IF($L160="","",INDEX('Price List'!$D$2:$D$1352,$L160)&amp;"")</f>
        <v>Bristol / Vellum - Local</v>
      </c>
      <c r="E160" s="11" t="str">
        <f aca="false">IF($L160="","",INDEX('Price List'!$E$2:$E$1352,$L160)&amp;"")</f>
        <v/>
      </c>
      <c r="F160" s="10" t="str">
        <f aca="false">IF($L160="","",INDEX('Price List'!$F$2:$F$1352,$L160)&amp;"")</f>
        <v>110-120gsm</v>
      </c>
      <c r="G160" s="10" t="str">
        <f aca="false">IF($L160="","",INDEX('Price List'!$G$2:$G$1352,$L160)&amp;"")</f>
        <v>22.5 x 28.5</v>
      </c>
      <c r="H160" s="10" t="str">
        <f aca="false">IF($L160="","",INDEX('Price List'!$H$2:$H$1352,$L160)&amp;"")</f>
        <v>sheet</v>
      </c>
      <c r="I160" s="12" t="n">
        <f aca="false">IF($L160="","",IF(INDEX('Price List'!$I$2:$I$1352,$L160)="","",INDEX('Price List'!$I$2:$I$1352,$L160)))</f>
        <v>3.5</v>
      </c>
      <c r="J160" s="11" t="str">
        <f aca="false">IF($L160="","",INDEX('Price List'!$J$2:$J$1352,$L160)&amp;"")</f>
        <v/>
      </c>
      <c r="K160" s="10" t="str">
        <f aca="false">IF($L160="","",INDEX('Price List'!$K$2:$K$1352,$L160)&amp;"")</f>
        <v>Nov 7, 2023</v>
      </c>
      <c r="L160" s="13" t="n">
        <f aca="false">IF(150&gt;$H$4,"",MATCH(150,'Price List'!$M$2:$M$1352,0))</f>
        <v>150</v>
      </c>
    </row>
    <row r="161" customFormat="false" ht="15" hidden="false" customHeight="false" outlineLevel="0" collapsed="false">
      <c r="A161" s="9" t="n">
        <v>151</v>
      </c>
      <c r="B161" s="10" t="str">
        <f aca="false">IF($L161="","",INDEX('Price List'!$B$2:$B$1352,$L161)&amp;"")</f>
        <v>NAPPCO (Nov 7, 2023 list)</v>
      </c>
      <c r="C161" s="10" t="str">
        <f aca="false">IF($L161="","",INDEX('Price List'!$C$2:$C$1352,$L161)&amp;"")</f>
        <v>Bristol / Vellum</v>
      </c>
      <c r="D161" s="11" t="str">
        <f aca="false">IF($L161="","",INDEX('Price List'!$D$2:$D$1352,$L161)&amp;"")</f>
        <v>Bristol / Vellum - Imported</v>
      </c>
      <c r="E161" s="11" t="str">
        <f aca="false">IF($L161="","",INDEX('Price List'!$E$2:$E$1352,$L161)&amp;"")</f>
        <v/>
      </c>
      <c r="F161" s="10" t="str">
        <f aca="false">IF($L161="","",INDEX('Price List'!$F$2:$F$1352,$L161)&amp;"")</f>
        <v>140 gsm</v>
      </c>
      <c r="G161" s="10" t="str">
        <f aca="false">IF($L161="","",INDEX('Price List'!$G$2:$G$1352,$L161)&amp;"")</f>
        <v>22.5 x 28.5</v>
      </c>
      <c r="H161" s="10" t="str">
        <f aca="false">IF($L161="","",INDEX('Price List'!$H$2:$H$1352,$L161)&amp;"")</f>
        <v>sheet</v>
      </c>
      <c r="I161" s="12" t="n">
        <f aca="false">IF($L161="","",IF(INDEX('Price List'!$I$2:$I$1352,$L161)="","",INDEX('Price List'!$I$2:$I$1352,$L161)))</f>
        <v>5.5</v>
      </c>
      <c r="J161" s="11" t="str">
        <f aca="false">IF($L161="","",INDEX('Price List'!$J$2:$J$1352,$L161)&amp;"")</f>
        <v/>
      </c>
      <c r="K161" s="10" t="str">
        <f aca="false">IF($L161="","",INDEX('Price List'!$K$2:$K$1352,$L161)&amp;"")</f>
        <v>Nov 7, 2023</v>
      </c>
      <c r="L161" s="13" t="n">
        <f aca="false">IF(151&gt;$H$4,"",MATCH(151,'Price List'!$M$2:$M$1352,0))</f>
        <v>151</v>
      </c>
    </row>
    <row r="162" customFormat="false" ht="15" hidden="false" customHeight="false" outlineLevel="0" collapsed="false">
      <c r="A162" s="9" t="n">
        <v>152</v>
      </c>
      <c r="B162" s="10" t="str">
        <f aca="false">IF($L162="","",INDEX('Price List'!$B$2:$B$1352,$L162)&amp;"")</f>
        <v>NAPPCO (Nov 7, 2023 list)</v>
      </c>
      <c r="C162" s="10" t="str">
        <f aca="false">IF($L162="","",INDEX('Price List'!$C$2:$C$1352,$L162)&amp;"")</f>
        <v>Bristol / Vellum</v>
      </c>
      <c r="D162" s="11" t="str">
        <f aca="false">IF($L162="","",INDEX('Price List'!$D$2:$D$1352,$L162)&amp;"")</f>
        <v>Bristol / Vellum - Imported</v>
      </c>
      <c r="E162" s="11" t="str">
        <f aca="false">IF($L162="","",INDEX('Price List'!$E$2:$E$1352,$L162)&amp;"")</f>
        <v/>
      </c>
      <c r="F162" s="10" t="str">
        <f aca="false">IF($L162="","",INDEX('Price List'!$F$2:$F$1352,$L162)&amp;"")</f>
        <v>180 gsm</v>
      </c>
      <c r="G162" s="10" t="str">
        <f aca="false">IF($L162="","",INDEX('Price List'!$G$2:$G$1352,$L162)&amp;"")</f>
        <v>22.5 x 28.5</v>
      </c>
      <c r="H162" s="10" t="str">
        <f aca="false">IF($L162="","",INDEX('Price List'!$H$2:$H$1352,$L162)&amp;"")</f>
        <v>sheet</v>
      </c>
      <c r="I162" s="12" t="n">
        <f aca="false">IF($L162="","",IF(INDEX('Price List'!$I$2:$I$1352,$L162)="","",INDEX('Price List'!$I$2:$I$1352,$L162)))</f>
        <v>6.5</v>
      </c>
      <c r="J162" s="11" t="str">
        <f aca="false">IF($L162="","",INDEX('Price List'!$J$2:$J$1352,$L162)&amp;"")</f>
        <v/>
      </c>
      <c r="K162" s="10" t="str">
        <f aca="false">IF($L162="","",INDEX('Price List'!$K$2:$K$1352,$L162)&amp;"")</f>
        <v>Nov 7, 2023</v>
      </c>
      <c r="L162" s="13" t="n">
        <f aca="false">IF(152&gt;$H$4,"",MATCH(152,'Price List'!$M$2:$M$1352,0))</f>
        <v>152</v>
      </c>
    </row>
    <row r="163" customFormat="false" ht="15" hidden="false" customHeight="false" outlineLevel="0" collapsed="false">
      <c r="A163" s="9" t="n">
        <v>153</v>
      </c>
      <c r="B163" s="10" t="str">
        <f aca="false">IF($L163="","",INDEX('Price List'!$B$2:$B$1352,$L163)&amp;"")</f>
        <v>NAPPCO (Nov 7, 2023 list)</v>
      </c>
      <c r="C163" s="10" t="str">
        <f aca="false">IF($L163="","",INDEX('Price List'!$C$2:$C$1352,$L163)&amp;"")</f>
        <v>Bristol / Vellum</v>
      </c>
      <c r="D163" s="11" t="str">
        <f aca="false">IF($L163="","",INDEX('Price List'!$D$2:$D$1352,$L163)&amp;"")</f>
        <v>Bristol / Vellum - Local</v>
      </c>
      <c r="E163" s="11" t="str">
        <f aca="false">IF($L163="","",INDEX('Price List'!$E$2:$E$1352,$L163)&amp;"")</f>
        <v/>
      </c>
      <c r="F163" s="10" t="str">
        <f aca="false">IF($L163="","",INDEX('Price List'!$F$2:$F$1352,$L163)&amp;"")</f>
        <v>180 gsm</v>
      </c>
      <c r="G163" s="10" t="str">
        <f aca="false">IF($L163="","",INDEX('Price List'!$G$2:$G$1352,$L163)&amp;"")</f>
        <v>22.5 x 28.5</v>
      </c>
      <c r="H163" s="10" t="str">
        <f aca="false">IF($L163="","",INDEX('Price List'!$H$2:$H$1352,$L163)&amp;"")</f>
        <v>sheet</v>
      </c>
      <c r="I163" s="12" t="n">
        <f aca="false">IF($L163="","",IF(INDEX('Price List'!$I$2:$I$1352,$L163)="","",INDEX('Price List'!$I$2:$I$1352,$L163)))</f>
        <v>5.5</v>
      </c>
      <c r="J163" s="11" t="str">
        <f aca="false">IF($L163="","",INDEX('Price List'!$J$2:$J$1352,$L163)&amp;"")</f>
        <v/>
      </c>
      <c r="K163" s="10" t="str">
        <f aca="false">IF($L163="","",INDEX('Price List'!$K$2:$K$1352,$L163)&amp;"")</f>
        <v>Nov 7, 2023</v>
      </c>
      <c r="L163" s="13" t="n">
        <f aca="false">IF(153&gt;$H$4,"",MATCH(153,'Price List'!$M$2:$M$1352,0))</f>
        <v>153</v>
      </c>
    </row>
    <row r="164" customFormat="false" ht="15" hidden="false" customHeight="false" outlineLevel="0" collapsed="false">
      <c r="A164" s="9" t="n">
        <v>154</v>
      </c>
      <c r="B164" s="10" t="str">
        <f aca="false">IF($L164="","",INDEX('Price List'!$B$2:$B$1352,$L164)&amp;"")</f>
        <v>NAPPCO (Nov 7, 2023 list)</v>
      </c>
      <c r="C164" s="10" t="str">
        <f aca="false">IF($L164="","",INDEX('Price List'!$C$2:$C$1352,$L164)&amp;"")</f>
        <v>Bristol / Vellum</v>
      </c>
      <c r="D164" s="11" t="str">
        <f aca="false">IF($L164="","",INDEX('Price List'!$D$2:$D$1352,$L164)&amp;"")</f>
        <v>Bristol / Vellum - Imported</v>
      </c>
      <c r="E164" s="11" t="str">
        <f aca="false">IF($L164="","",INDEX('Price List'!$E$2:$E$1352,$L164)&amp;"")</f>
        <v/>
      </c>
      <c r="F164" s="10" t="str">
        <f aca="false">IF($L164="","",INDEX('Price List'!$F$2:$F$1352,$L164)&amp;"")</f>
        <v>230 gsm</v>
      </c>
      <c r="G164" s="10" t="str">
        <f aca="false">IF($L164="","",INDEX('Price List'!$G$2:$G$1352,$L164)&amp;"")</f>
        <v>22.5 x 28.5</v>
      </c>
      <c r="H164" s="10" t="str">
        <f aca="false">IF($L164="","",INDEX('Price List'!$H$2:$H$1352,$L164)&amp;"")</f>
        <v>sheet</v>
      </c>
      <c r="I164" s="12" t="n">
        <f aca="false">IF($L164="","",IF(INDEX('Price List'!$I$2:$I$1352,$L164)="","",INDEX('Price List'!$I$2:$I$1352,$L164)))</f>
        <v>8.5</v>
      </c>
      <c r="J164" s="11" t="str">
        <f aca="false">IF($L164="","",INDEX('Price List'!$J$2:$J$1352,$L164)&amp;"")</f>
        <v/>
      </c>
      <c r="K164" s="10" t="str">
        <f aca="false">IF($L164="","",INDEX('Price List'!$K$2:$K$1352,$L164)&amp;"")</f>
        <v>Nov 7, 2023</v>
      </c>
      <c r="L164" s="13" t="n">
        <f aca="false">IF(154&gt;$H$4,"",MATCH(154,'Price List'!$M$2:$M$1352,0))</f>
        <v>154</v>
      </c>
    </row>
    <row r="165" customFormat="false" ht="15" hidden="false" customHeight="false" outlineLevel="0" collapsed="false">
      <c r="A165" s="9" t="n">
        <v>155</v>
      </c>
      <c r="B165" s="10" t="str">
        <f aca="false">IF($L165="","",INDEX('Price List'!$B$2:$B$1352,$L165)&amp;"")</f>
        <v>NAPPCO (Nov 7, 2023 list)</v>
      </c>
      <c r="C165" s="10" t="str">
        <f aca="false">IF($L165="","",INDEX('Price List'!$C$2:$C$1352,$L165)&amp;"")</f>
        <v>Bristol / Vellum</v>
      </c>
      <c r="D165" s="11" t="str">
        <f aca="false">IF($L165="","",INDEX('Price List'!$D$2:$D$1352,$L165)&amp;"")</f>
        <v>Bristol / Vellum - Imported</v>
      </c>
      <c r="E165" s="11" t="str">
        <f aca="false">IF($L165="","",INDEX('Price List'!$E$2:$E$1352,$L165)&amp;"")</f>
        <v/>
      </c>
      <c r="F165" s="10" t="str">
        <f aca="false">IF($L165="","",INDEX('Price List'!$F$2:$F$1352,$L165)&amp;"")</f>
        <v>Colored (230g)</v>
      </c>
      <c r="G165" s="10" t="str">
        <f aca="false">IF($L165="","",INDEX('Price List'!$G$2:$G$1352,$L165)&amp;"")</f>
        <v>22.5 x 28.5</v>
      </c>
      <c r="H165" s="10" t="str">
        <f aca="false">IF($L165="","",INDEX('Price List'!$H$2:$H$1352,$L165)&amp;"")</f>
        <v>sheet</v>
      </c>
      <c r="I165" s="12" t="n">
        <f aca="false">IF($L165="","",IF(INDEX('Price List'!$I$2:$I$1352,$L165)="","",INDEX('Price List'!$I$2:$I$1352,$L165)))</f>
        <v>10.75</v>
      </c>
      <c r="J165" s="11" t="str">
        <f aca="false">IF($L165="","",INDEX('Price List'!$J$2:$J$1352,$L165)&amp;"")</f>
        <v/>
      </c>
      <c r="K165" s="10" t="str">
        <f aca="false">IF($L165="","",INDEX('Price List'!$K$2:$K$1352,$L165)&amp;"")</f>
        <v>Nov 7, 2023</v>
      </c>
      <c r="L165" s="13" t="n">
        <f aca="false">IF(155&gt;$H$4,"",MATCH(155,'Price List'!$M$2:$M$1352,0))</f>
        <v>155</v>
      </c>
    </row>
    <row r="166" customFormat="false" ht="15" hidden="false" customHeight="false" outlineLevel="0" collapsed="false">
      <c r="A166" s="9" t="n">
        <v>156</v>
      </c>
      <c r="B166" s="10" t="str">
        <f aca="false">IF($L166="","",INDEX('Price List'!$B$2:$B$1352,$L166)&amp;"")</f>
        <v>NAPPCO (Nov 7, 2023 list)</v>
      </c>
      <c r="C166" s="10" t="str">
        <f aca="false">IF($L166="","",INDEX('Price List'!$C$2:$C$1352,$L166)&amp;"")</f>
        <v>Bristol / Vellum</v>
      </c>
      <c r="D166" s="11" t="str">
        <f aca="false">IF($L166="","",INDEX('Price List'!$D$2:$D$1352,$L166)&amp;"")</f>
        <v>Bristol / Vellum - Imported</v>
      </c>
      <c r="E166" s="11" t="str">
        <f aca="false">IF($L166="","",INDEX('Price List'!$E$2:$E$1352,$L166)&amp;"")</f>
        <v/>
      </c>
      <c r="F166" s="10" t="str">
        <f aca="false">IF($L166="","",INDEX('Price List'!$F$2:$F$1352,$L166)&amp;"")</f>
        <v>Colored (100g)</v>
      </c>
      <c r="G166" s="10" t="str">
        <f aca="false">IF($L166="","",INDEX('Price List'!$G$2:$G$1352,$L166)&amp;"")</f>
        <v>22.5 x 28.5</v>
      </c>
      <c r="H166" s="10" t="str">
        <f aca="false">IF($L166="","",INDEX('Price List'!$H$2:$H$1352,$L166)&amp;"")</f>
        <v>sheet</v>
      </c>
      <c r="I166" s="12" t="n">
        <f aca="false">IF($L166="","",IF(INDEX('Price List'!$I$2:$I$1352,$L166)="","",INDEX('Price List'!$I$2:$I$1352,$L166)))</f>
        <v>6</v>
      </c>
      <c r="J166" s="11" t="str">
        <f aca="false">IF($L166="","",INDEX('Price List'!$J$2:$J$1352,$L166)&amp;"")</f>
        <v/>
      </c>
      <c r="K166" s="10" t="str">
        <f aca="false">IF($L166="","",INDEX('Price List'!$K$2:$K$1352,$L166)&amp;"")</f>
        <v>Nov 7, 2023</v>
      </c>
      <c r="L166" s="13" t="n">
        <f aca="false">IF(156&gt;$H$4,"",MATCH(156,'Price List'!$M$2:$M$1352,0))</f>
        <v>156</v>
      </c>
    </row>
    <row r="167" customFormat="false" ht="15" hidden="false" customHeight="false" outlineLevel="0" collapsed="false">
      <c r="A167" s="9" t="n">
        <v>157</v>
      </c>
      <c r="B167" s="10" t="str">
        <f aca="false">IF($L167="","",INDEX('Price List'!$B$2:$B$1352,$L167)&amp;"")</f>
        <v>NAPPCO (Nov 7, 2023 list)</v>
      </c>
      <c r="C167" s="10" t="str">
        <f aca="false">IF($L167="","",INDEX('Price List'!$C$2:$C$1352,$L167)&amp;"")</f>
        <v>Bristol / Vellum</v>
      </c>
      <c r="D167" s="11" t="str">
        <f aca="false">IF($L167="","",INDEX('Price List'!$D$2:$D$1352,$L167)&amp;"")</f>
        <v>Bristol / Vellum - Local</v>
      </c>
      <c r="E167" s="11" t="str">
        <f aca="false">IF($L167="","",INDEX('Price List'!$E$2:$E$1352,$L167)&amp;"")</f>
        <v/>
      </c>
      <c r="F167" s="10" t="str">
        <f aca="false">IF($L167="","",INDEX('Price List'!$F$2:$F$1352,$L167)&amp;"")</f>
        <v>Colored (100g)</v>
      </c>
      <c r="G167" s="10" t="str">
        <f aca="false">IF($L167="","",INDEX('Price List'!$G$2:$G$1352,$L167)&amp;"")</f>
        <v>22.5 x 28.5</v>
      </c>
      <c r="H167" s="10" t="str">
        <f aca="false">IF($L167="","",INDEX('Price List'!$H$2:$H$1352,$L167)&amp;"")</f>
        <v>sheet</v>
      </c>
      <c r="I167" s="12" t="n">
        <f aca="false">IF($L167="","",IF(INDEX('Price List'!$I$2:$I$1352,$L167)="","",INDEX('Price List'!$I$2:$I$1352,$L167)))</f>
        <v>5.5</v>
      </c>
      <c r="J167" s="11" t="str">
        <f aca="false">IF($L167="","",INDEX('Price List'!$J$2:$J$1352,$L167)&amp;"")</f>
        <v>Local is 110gsm</v>
      </c>
      <c r="K167" s="10" t="str">
        <f aca="false">IF($L167="","",INDEX('Price List'!$K$2:$K$1352,$L167)&amp;"")</f>
        <v>Nov 7, 2023</v>
      </c>
      <c r="L167" s="13" t="n">
        <f aca="false">IF(157&gt;$H$4,"",MATCH(157,'Price List'!$M$2:$M$1352,0))</f>
        <v>157</v>
      </c>
    </row>
    <row r="168" customFormat="false" ht="15" hidden="false" customHeight="false" outlineLevel="0" collapsed="false">
      <c r="A168" s="9" t="n">
        <v>158</v>
      </c>
      <c r="B168" s="10" t="str">
        <f aca="false">IF($L168="","",INDEX('Price List'!$B$2:$B$1352,$L168)&amp;"")</f>
        <v>NAPPCO (Nov 7, 2023 list)</v>
      </c>
      <c r="C168" s="10" t="str">
        <f aca="false">IF($L168="","",INDEX('Price List'!$C$2:$C$1352,$L168)&amp;"")</f>
        <v>Kraft Paper</v>
      </c>
      <c r="D168" s="11" t="str">
        <f aca="false">IF($L168="","",INDEX('Price List'!$D$2:$D$1352,$L168)&amp;"")</f>
        <v>Kraft Paper - Local</v>
      </c>
      <c r="E168" s="11" t="str">
        <f aca="false">IF($L168="","",INDEX('Price List'!$E$2:$E$1352,$L168)&amp;"")</f>
        <v/>
      </c>
      <c r="F168" s="10" t="str">
        <f aca="false">IF($L168="","",INDEX('Price List'!$F$2:$F$1352,$L168)&amp;"")</f>
        <v>35 (50#)</v>
      </c>
      <c r="G168" s="10" t="str">
        <f aca="false">IF($L168="","",INDEX('Price List'!$G$2:$G$1352,$L168)&amp;"")</f>
        <v>36 x 48</v>
      </c>
      <c r="H168" s="10" t="str">
        <f aca="false">IF($L168="","",INDEX('Price List'!$H$2:$H$1352,$L168)&amp;"")</f>
        <v>ream</v>
      </c>
      <c r="I168" s="12" t="n">
        <f aca="false">IF($L168="","",IF(INDEX('Price List'!$I$2:$I$1352,$L168)="","",INDEX('Price List'!$I$2:$I$1352,$L168)))</f>
        <v>880</v>
      </c>
      <c r="J168" s="11" t="str">
        <f aca="false">IF($L168="","",INDEX('Price List'!$J$2:$J$1352,$L168)&amp;"")</f>
        <v/>
      </c>
      <c r="K168" s="10" t="str">
        <f aca="false">IF($L168="","",INDEX('Price List'!$K$2:$K$1352,$L168)&amp;"")</f>
        <v>Nov 7, 2023</v>
      </c>
      <c r="L168" s="13" t="n">
        <f aca="false">IF(158&gt;$H$4,"",MATCH(158,'Price List'!$M$2:$M$1352,0))</f>
        <v>158</v>
      </c>
    </row>
    <row r="169" customFormat="false" ht="15" hidden="false" customHeight="false" outlineLevel="0" collapsed="false">
      <c r="A169" s="9" t="n">
        <v>159</v>
      </c>
      <c r="B169" s="10" t="str">
        <f aca="false">IF($L169="","",INDEX('Price List'!$B$2:$B$1352,$L169)&amp;"")</f>
        <v>NAPPCO (Nov 7, 2023 list)</v>
      </c>
      <c r="C169" s="10" t="str">
        <f aca="false">IF($L169="","",INDEX('Price List'!$C$2:$C$1352,$L169)&amp;"")</f>
        <v>Kraft Paper</v>
      </c>
      <c r="D169" s="11" t="str">
        <f aca="false">IF($L169="","",INDEX('Price List'!$D$2:$D$1352,$L169)&amp;"")</f>
        <v>Kraft Paper - Local</v>
      </c>
      <c r="E169" s="11" t="str">
        <f aca="false">IF($L169="","",INDEX('Price List'!$E$2:$E$1352,$L169)&amp;"")</f>
        <v/>
      </c>
      <c r="F169" s="10" t="str">
        <f aca="false">IF($L169="","",INDEX('Price List'!$F$2:$F$1352,$L169)&amp;"")</f>
        <v>40 (55#)</v>
      </c>
      <c r="G169" s="10" t="str">
        <f aca="false">IF($L169="","",INDEX('Price List'!$G$2:$G$1352,$L169)&amp;"")</f>
        <v>36 x 48</v>
      </c>
      <c r="H169" s="10" t="str">
        <f aca="false">IF($L169="","",INDEX('Price List'!$H$2:$H$1352,$L169)&amp;"")</f>
        <v>ream</v>
      </c>
      <c r="I169" s="12" t="n">
        <f aca="false">IF($L169="","",IF(INDEX('Price List'!$I$2:$I$1352,$L169)="","",INDEX('Price List'!$I$2:$I$1352,$L169)))</f>
        <v>1010</v>
      </c>
      <c r="J169" s="11" t="str">
        <f aca="false">IF($L169="","",INDEX('Price List'!$J$2:$J$1352,$L169)&amp;"")</f>
        <v/>
      </c>
      <c r="K169" s="10" t="str">
        <f aca="false">IF($L169="","",INDEX('Price List'!$K$2:$K$1352,$L169)&amp;"")</f>
        <v>Nov 7, 2023</v>
      </c>
      <c r="L169" s="13" t="n">
        <f aca="false">IF(159&gt;$H$4,"",MATCH(159,'Price List'!$M$2:$M$1352,0))</f>
        <v>159</v>
      </c>
    </row>
    <row r="170" customFormat="false" ht="15" hidden="false" customHeight="false" outlineLevel="0" collapsed="false">
      <c r="A170" s="9" t="n">
        <v>160</v>
      </c>
      <c r="B170" s="10" t="str">
        <f aca="false">IF($L170="","",INDEX('Price List'!$B$2:$B$1352,$L170)&amp;"")</f>
        <v>NAPPCO (Nov 7, 2023 list)</v>
      </c>
      <c r="C170" s="10" t="str">
        <f aca="false">IF($L170="","",INDEX('Price List'!$C$2:$C$1352,$L170)&amp;"")</f>
        <v>Kraft Paper</v>
      </c>
      <c r="D170" s="11" t="str">
        <f aca="false">IF($L170="","",INDEX('Price List'!$D$2:$D$1352,$L170)&amp;"")</f>
        <v>Kraft Paper - Local</v>
      </c>
      <c r="E170" s="11" t="str">
        <f aca="false">IF($L170="","",INDEX('Price List'!$E$2:$E$1352,$L170)&amp;"")</f>
        <v/>
      </c>
      <c r="F170" s="10" t="str">
        <f aca="false">IF($L170="","",INDEX('Price List'!$F$2:$F$1352,$L170)&amp;"")</f>
        <v>50-53 (60#)</v>
      </c>
      <c r="G170" s="10" t="str">
        <f aca="false">IF($L170="","",INDEX('Price List'!$G$2:$G$1352,$L170)&amp;"")</f>
        <v>36 x 48</v>
      </c>
      <c r="H170" s="10" t="str">
        <f aca="false">IF($L170="","",INDEX('Price List'!$H$2:$H$1352,$L170)&amp;"")</f>
        <v>ream</v>
      </c>
      <c r="I170" s="12" t="n">
        <f aca="false">IF($L170="","",IF(INDEX('Price List'!$I$2:$I$1352,$L170)="","",INDEX('Price List'!$I$2:$I$1352,$L170)))</f>
        <v>1350</v>
      </c>
      <c r="J170" s="11" t="str">
        <f aca="false">IF($L170="","",INDEX('Price List'!$J$2:$J$1352,$L170)&amp;"")</f>
        <v/>
      </c>
      <c r="K170" s="10" t="str">
        <f aca="false">IF($L170="","",INDEX('Price List'!$K$2:$K$1352,$L170)&amp;"")</f>
        <v>Nov 7, 2023</v>
      </c>
      <c r="L170" s="13" t="n">
        <f aca="false">IF(160&gt;$H$4,"",MATCH(160,'Price List'!$M$2:$M$1352,0))</f>
        <v>160</v>
      </c>
    </row>
    <row r="171" customFormat="false" ht="15" hidden="false" customHeight="false" outlineLevel="0" collapsed="false">
      <c r="A171" s="9" t="n">
        <v>161</v>
      </c>
      <c r="B171" s="10" t="str">
        <f aca="false">IF($L171="","",INDEX('Price List'!$B$2:$B$1352,$L171)&amp;"")</f>
        <v>NAPPCO (Nov 7, 2023 list)</v>
      </c>
      <c r="C171" s="10" t="str">
        <f aca="false">IF($L171="","",INDEX('Price List'!$C$2:$C$1352,$L171)&amp;"")</f>
        <v>Kraft Paper</v>
      </c>
      <c r="D171" s="11" t="str">
        <f aca="false">IF($L171="","",INDEX('Price List'!$D$2:$D$1352,$L171)&amp;"")</f>
        <v>Kraft Paper - Imported</v>
      </c>
      <c r="E171" s="11" t="str">
        <f aca="false">IF($L171="","",INDEX('Price List'!$E$2:$E$1352,$L171)&amp;"")</f>
        <v/>
      </c>
      <c r="F171" s="10" t="str">
        <f aca="false">IF($L171="","",INDEX('Price List'!$F$2:$F$1352,$L171)&amp;"")</f>
        <v>50-53 (60#)</v>
      </c>
      <c r="G171" s="10" t="str">
        <f aca="false">IF($L171="","",INDEX('Price List'!$G$2:$G$1352,$L171)&amp;"")</f>
        <v>36 x 48</v>
      </c>
      <c r="H171" s="10" t="str">
        <f aca="false">IF($L171="","",INDEX('Price List'!$H$2:$H$1352,$L171)&amp;"")</f>
        <v>ream</v>
      </c>
      <c r="I171" s="12" t="n">
        <f aca="false">IF($L171="","",IF(INDEX('Price List'!$I$2:$I$1352,$L171)="","",INDEX('Price List'!$I$2:$I$1352,$L171)))</f>
        <v>2150</v>
      </c>
      <c r="J171" s="11" t="str">
        <f aca="false">IF($L171="","",INDEX('Price List'!$J$2:$J$1352,$L171)&amp;"")</f>
        <v/>
      </c>
      <c r="K171" s="10" t="str">
        <f aca="false">IF($L171="","",INDEX('Price List'!$K$2:$K$1352,$L171)&amp;"")</f>
        <v>Nov 7, 2023</v>
      </c>
      <c r="L171" s="13" t="n">
        <f aca="false">IF(161&gt;$H$4,"",MATCH(161,'Price List'!$M$2:$M$1352,0))</f>
        <v>161</v>
      </c>
    </row>
    <row r="172" customFormat="false" ht="15" hidden="false" customHeight="false" outlineLevel="0" collapsed="false">
      <c r="A172" s="9" t="n">
        <v>162</v>
      </c>
      <c r="B172" s="10" t="str">
        <f aca="false">IF($L172="","",INDEX('Price List'!$B$2:$B$1352,$L172)&amp;"")</f>
        <v>NAPPCO (Nov 7, 2023 list)</v>
      </c>
      <c r="C172" s="10" t="str">
        <f aca="false">IF($L172="","",INDEX('Price List'!$C$2:$C$1352,$L172)&amp;"")</f>
        <v>Kraft Paper</v>
      </c>
      <c r="D172" s="11" t="str">
        <f aca="false">IF($L172="","",INDEX('Price List'!$D$2:$D$1352,$L172)&amp;"")</f>
        <v>Kraft Paper - Bleach</v>
      </c>
      <c r="E172" s="11" t="str">
        <f aca="false">IF($L172="","",INDEX('Price List'!$E$2:$E$1352,$L172)&amp;"")</f>
        <v/>
      </c>
      <c r="F172" s="10" t="str">
        <f aca="false">IF($L172="","",INDEX('Price List'!$F$2:$F$1352,$L172)&amp;"")</f>
        <v>50-53 (60#)</v>
      </c>
      <c r="G172" s="10" t="str">
        <f aca="false">IF($L172="","",INDEX('Price List'!$G$2:$G$1352,$L172)&amp;"")</f>
        <v>36 x 48</v>
      </c>
      <c r="H172" s="10" t="str">
        <f aca="false">IF($L172="","",INDEX('Price List'!$H$2:$H$1352,$L172)&amp;"")</f>
        <v>ream</v>
      </c>
      <c r="I172" s="12" t="n">
        <f aca="false">IF($L172="","",IF(INDEX('Price List'!$I$2:$I$1352,$L172)="","",INDEX('Price List'!$I$2:$I$1352,$L172)))</f>
        <v>2250</v>
      </c>
      <c r="J172" s="11" t="str">
        <f aca="false">IF($L172="","",INDEX('Price List'!$J$2:$J$1352,$L172)&amp;"")</f>
        <v/>
      </c>
      <c r="K172" s="10" t="str">
        <f aca="false">IF($L172="","",INDEX('Price List'!$K$2:$K$1352,$L172)&amp;"")</f>
        <v>Nov 7, 2023</v>
      </c>
      <c r="L172" s="13" t="n">
        <f aca="false">IF(162&gt;$H$4,"",MATCH(162,'Price List'!$M$2:$M$1352,0))</f>
        <v>162</v>
      </c>
    </row>
    <row r="173" customFormat="false" ht="15" hidden="false" customHeight="false" outlineLevel="0" collapsed="false">
      <c r="A173" s="9" t="n">
        <v>163</v>
      </c>
      <c r="B173" s="10" t="str">
        <f aca="false">IF($L173="","",INDEX('Price List'!$B$2:$B$1352,$L173)&amp;"")</f>
        <v>NAPPCO (Nov 7, 2023 list)</v>
      </c>
      <c r="C173" s="10" t="str">
        <f aca="false">IF($L173="","",INDEX('Price List'!$C$2:$C$1352,$L173)&amp;"")</f>
        <v>Kraft Paper</v>
      </c>
      <c r="D173" s="11" t="str">
        <f aca="false">IF($L173="","",INDEX('Price List'!$D$2:$D$1352,$L173)&amp;"")</f>
        <v>Kraft Paper - Imported</v>
      </c>
      <c r="E173" s="11" t="str">
        <f aca="false">IF($L173="","",INDEX('Price List'!$E$2:$E$1352,$L173)&amp;"")</f>
        <v/>
      </c>
      <c r="F173" s="10" t="str">
        <f aca="false">IF($L173="","",INDEX('Price List'!$F$2:$F$1352,$L173)&amp;"")</f>
        <v>60 (70#)</v>
      </c>
      <c r="G173" s="10" t="str">
        <f aca="false">IF($L173="","",INDEX('Price List'!$G$2:$G$1352,$L173)&amp;"")</f>
        <v>36 x 48</v>
      </c>
      <c r="H173" s="10" t="str">
        <f aca="false">IF($L173="","",INDEX('Price List'!$H$2:$H$1352,$L173)&amp;"")</f>
        <v>ream</v>
      </c>
      <c r="I173" s="12" t="n">
        <f aca="false">IF($L173="","",IF(INDEX('Price List'!$I$2:$I$1352,$L173)="","",INDEX('Price List'!$I$2:$I$1352,$L173)))</f>
        <v>2570</v>
      </c>
      <c r="J173" s="11" t="str">
        <f aca="false">IF($L173="","",INDEX('Price List'!$J$2:$J$1352,$L173)&amp;"")</f>
        <v/>
      </c>
      <c r="K173" s="10" t="str">
        <f aca="false">IF($L173="","",INDEX('Price List'!$K$2:$K$1352,$L173)&amp;"")</f>
        <v>Nov 7, 2023</v>
      </c>
      <c r="L173" s="13" t="n">
        <f aca="false">IF(163&gt;$H$4,"",MATCH(163,'Price List'!$M$2:$M$1352,0))</f>
        <v>163</v>
      </c>
    </row>
    <row r="174" customFormat="false" ht="15" hidden="false" customHeight="false" outlineLevel="0" collapsed="false">
      <c r="A174" s="9" t="n">
        <v>164</v>
      </c>
      <c r="B174" s="10" t="str">
        <f aca="false">IF($L174="","",INDEX('Price List'!$B$2:$B$1352,$L174)&amp;"")</f>
        <v>NAPPCO (Nov 7, 2023 list)</v>
      </c>
      <c r="C174" s="10" t="str">
        <f aca="false">IF($L174="","",INDEX('Price List'!$C$2:$C$1352,$L174)&amp;"")</f>
        <v>Kraft Paper</v>
      </c>
      <c r="D174" s="11" t="str">
        <f aca="false">IF($L174="","",INDEX('Price List'!$D$2:$D$1352,$L174)&amp;"")</f>
        <v>Kraft Paper - Bleach</v>
      </c>
      <c r="E174" s="11" t="str">
        <f aca="false">IF($L174="","",INDEX('Price List'!$E$2:$E$1352,$L174)&amp;"")</f>
        <v/>
      </c>
      <c r="F174" s="10" t="str">
        <f aca="false">IF($L174="","",INDEX('Price List'!$F$2:$F$1352,$L174)&amp;"")</f>
        <v>60 (70#)</v>
      </c>
      <c r="G174" s="10" t="str">
        <f aca="false">IF($L174="","",INDEX('Price List'!$G$2:$G$1352,$L174)&amp;"")</f>
        <v>36 x 48</v>
      </c>
      <c r="H174" s="10" t="str">
        <f aca="false">IF($L174="","",INDEX('Price List'!$H$2:$H$1352,$L174)&amp;"")</f>
        <v>ream</v>
      </c>
      <c r="I174" s="12" t="n">
        <f aca="false">IF($L174="","",IF(INDEX('Price List'!$I$2:$I$1352,$L174)="","",INDEX('Price List'!$I$2:$I$1352,$L174)))</f>
        <v>2700</v>
      </c>
      <c r="J174" s="11" t="str">
        <f aca="false">IF($L174="","",INDEX('Price List'!$J$2:$J$1352,$L174)&amp;"")</f>
        <v/>
      </c>
      <c r="K174" s="10" t="str">
        <f aca="false">IF($L174="","",INDEX('Price List'!$K$2:$K$1352,$L174)&amp;"")</f>
        <v>Nov 7, 2023</v>
      </c>
      <c r="L174" s="13" t="n">
        <f aca="false">IF(164&gt;$H$4,"",MATCH(164,'Price List'!$M$2:$M$1352,0))</f>
        <v>164</v>
      </c>
    </row>
    <row r="175" customFormat="false" ht="15" hidden="false" customHeight="false" outlineLevel="0" collapsed="false">
      <c r="A175" s="9" t="n">
        <v>165</v>
      </c>
      <c r="B175" s="10" t="str">
        <f aca="false">IF($L175="","",INDEX('Price List'!$B$2:$B$1352,$L175)&amp;"")</f>
        <v>NAPPCO (Nov 7, 2023 list)</v>
      </c>
      <c r="C175" s="10" t="str">
        <f aca="false">IF($L175="","",INDEX('Price List'!$C$2:$C$1352,$L175)&amp;"")</f>
        <v>Kraft Paper</v>
      </c>
      <c r="D175" s="11" t="str">
        <f aca="false">IF($L175="","",INDEX('Price List'!$D$2:$D$1352,$L175)&amp;"")</f>
        <v>Kraft Paper - Local</v>
      </c>
      <c r="E175" s="11" t="str">
        <f aca="false">IF($L175="","",INDEX('Price List'!$E$2:$E$1352,$L175)&amp;"")</f>
        <v/>
      </c>
      <c r="F175" s="10" t="str">
        <f aca="false">IF($L175="","",INDEX('Price List'!$F$2:$F$1352,$L175)&amp;"")</f>
        <v>63-65 (80#)</v>
      </c>
      <c r="G175" s="10" t="str">
        <f aca="false">IF($L175="","",INDEX('Price List'!$G$2:$G$1352,$L175)&amp;"")</f>
        <v>36 x 48</v>
      </c>
      <c r="H175" s="10" t="str">
        <f aca="false">IF($L175="","",INDEX('Price List'!$H$2:$H$1352,$L175)&amp;"")</f>
        <v>ream</v>
      </c>
      <c r="I175" s="12" t="n">
        <f aca="false">IF($L175="","",IF(INDEX('Price List'!$I$2:$I$1352,$L175)="","",INDEX('Price List'!$I$2:$I$1352,$L175)))</f>
        <v>1450</v>
      </c>
      <c r="J175" s="11" t="str">
        <f aca="false">IF($L175="","",INDEX('Price List'!$J$2:$J$1352,$L175)&amp;"")</f>
        <v/>
      </c>
      <c r="K175" s="10" t="str">
        <f aca="false">IF($L175="","",INDEX('Price List'!$K$2:$K$1352,$L175)&amp;"")</f>
        <v>Nov 7, 2023</v>
      </c>
      <c r="L175" s="13" t="n">
        <f aca="false">IF(165&gt;$H$4,"",MATCH(165,'Price List'!$M$2:$M$1352,0))</f>
        <v>165</v>
      </c>
    </row>
    <row r="176" customFormat="false" ht="15" hidden="false" customHeight="false" outlineLevel="0" collapsed="false">
      <c r="A176" s="9" t="n">
        <v>166</v>
      </c>
      <c r="B176" s="10" t="str">
        <f aca="false">IF($L176="","",INDEX('Price List'!$B$2:$B$1352,$L176)&amp;"")</f>
        <v>NAPPCO (Nov 7, 2023 list)</v>
      </c>
      <c r="C176" s="10" t="str">
        <f aca="false">IF($L176="","",INDEX('Price List'!$C$2:$C$1352,$L176)&amp;"")</f>
        <v>Kraft Paper</v>
      </c>
      <c r="D176" s="11" t="str">
        <f aca="false">IF($L176="","",INDEX('Price List'!$D$2:$D$1352,$L176)&amp;"")</f>
        <v>Kraft Paper - Imported</v>
      </c>
      <c r="E176" s="11" t="str">
        <f aca="false">IF($L176="","",INDEX('Price List'!$E$2:$E$1352,$L176)&amp;"")</f>
        <v/>
      </c>
      <c r="F176" s="10" t="str">
        <f aca="false">IF($L176="","",INDEX('Price List'!$F$2:$F$1352,$L176)&amp;"")</f>
        <v>63-65 (80#)</v>
      </c>
      <c r="G176" s="10" t="str">
        <f aca="false">IF($L176="","",INDEX('Price List'!$G$2:$G$1352,$L176)&amp;"")</f>
        <v>36 x 48</v>
      </c>
      <c r="H176" s="10" t="str">
        <f aca="false">IF($L176="","",INDEX('Price List'!$H$2:$H$1352,$L176)&amp;"")</f>
        <v>ream</v>
      </c>
      <c r="I176" s="12" t="n">
        <f aca="false">IF($L176="","",IF(INDEX('Price List'!$I$2:$I$1352,$L176)="","",INDEX('Price List'!$I$2:$I$1352,$L176)))</f>
        <v>2790</v>
      </c>
      <c r="J176" s="11" t="str">
        <f aca="false">IF($L176="","",INDEX('Price List'!$J$2:$J$1352,$L176)&amp;"")</f>
        <v/>
      </c>
      <c r="K176" s="10" t="str">
        <f aca="false">IF($L176="","",INDEX('Price List'!$K$2:$K$1352,$L176)&amp;"")</f>
        <v>Nov 7, 2023</v>
      </c>
      <c r="L176" s="13" t="n">
        <f aca="false">IF(166&gt;$H$4,"",MATCH(166,'Price List'!$M$2:$M$1352,0))</f>
        <v>166</v>
      </c>
    </row>
    <row r="177" customFormat="false" ht="15" hidden="false" customHeight="false" outlineLevel="0" collapsed="false">
      <c r="A177" s="9" t="n">
        <v>167</v>
      </c>
      <c r="B177" s="10" t="str">
        <f aca="false">IF($L177="","",INDEX('Price List'!$B$2:$B$1352,$L177)&amp;"")</f>
        <v>NAPPCO (Nov 7, 2023 list)</v>
      </c>
      <c r="C177" s="10" t="str">
        <f aca="false">IF($L177="","",INDEX('Price List'!$C$2:$C$1352,$L177)&amp;"")</f>
        <v>Kraft Paper</v>
      </c>
      <c r="D177" s="11" t="str">
        <f aca="false">IF($L177="","",INDEX('Price List'!$D$2:$D$1352,$L177)&amp;"")</f>
        <v>Kraft Paper - Bleach</v>
      </c>
      <c r="E177" s="11" t="str">
        <f aca="false">IF($L177="","",INDEX('Price List'!$E$2:$E$1352,$L177)&amp;"")</f>
        <v/>
      </c>
      <c r="F177" s="10" t="str">
        <f aca="false">IF($L177="","",INDEX('Price List'!$F$2:$F$1352,$L177)&amp;"")</f>
        <v>63-65 (80#)</v>
      </c>
      <c r="G177" s="10" t="str">
        <f aca="false">IF($L177="","",INDEX('Price List'!$G$2:$G$1352,$L177)&amp;"")</f>
        <v>36 x 48</v>
      </c>
      <c r="H177" s="10" t="str">
        <f aca="false">IF($L177="","",INDEX('Price List'!$H$2:$H$1352,$L177)&amp;"")</f>
        <v>ream</v>
      </c>
      <c r="I177" s="12" t="n">
        <f aca="false">IF($L177="","",IF(INDEX('Price List'!$I$2:$I$1352,$L177)="","",INDEX('Price List'!$I$2:$I$1352,$L177)))</f>
        <v>2930</v>
      </c>
      <c r="J177" s="11" t="str">
        <f aca="false">IF($L177="","",INDEX('Price List'!$J$2:$J$1352,$L177)&amp;"")</f>
        <v/>
      </c>
      <c r="K177" s="10" t="str">
        <f aca="false">IF($L177="","",INDEX('Price List'!$K$2:$K$1352,$L177)&amp;"")</f>
        <v>Nov 7, 2023</v>
      </c>
      <c r="L177" s="13" t="n">
        <f aca="false">IF(167&gt;$H$4,"",MATCH(167,'Price List'!$M$2:$M$1352,0))</f>
        <v>167</v>
      </c>
    </row>
    <row r="178" customFormat="false" ht="15" hidden="false" customHeight="false" outlineLevel="0" collapsed="false">
      <c r="A178" s="9" t="n">
        <v>168</v>
      </c>
      <c r="B178" s="10" t="str">
        <f aca="false">IF($L178="","",INDEX('Price List'!$B$2:$B$1352,$L178)&amp;"")</f>
        <v>NAPPCO (Nov 7, 2023 list)</v>
      </c>
      <c r="C178" s="10" t="str">
        <f aca="false">IF($L178="","",INDEX('Price List'!$C$2:$C$1352,$L178)&amp;"")</f>
        <v>Kraft Paper</v>
      </c>
      <c r="D178" s="11" t="str">
        <f aca="false">IF($L178="","",INDEX('Price List'!$D$2:$D$1352,$L178)&amp;"")</f>
        <v>Kraft Paper - Local</v>
      </c>
      <c r="E178" s="11" t="str">
        <f aca="false">IF($L178="","",INDEX('Price List'!$E$2:$E$1352,$L178)&amp;"")</f>
        <v/>
      </c>
      <c r="F178" s="10" t="str">
        <f aca="false">IF($L178="","",INDEX('Price List'!$F$2:$F$1352,$L178)&amp;"")</f>
        <v>70 (80#)</v>
      </c>
      <c r="G178" s="10" t="str">
        <f aca="false">IF($L178="","",INDEX('Price List'!$G$2:$G$1352,$L178)&amp;"")</f>
        <v>36 x 48</v>
      </c>
      <c r="H178" s="10" t="str">
        <f aca="false">IF($L178="","",INDEX('Price List'!$H$2:$H$1352,$L178)&amp;"")</f>
        <v>ream</v>
      </c>
      <c r="I178" s="12" t="n">
        <f aca="false">IF($L178="","",IF(INDEX('Price List'!$I$2:$I$1352,$L178)="","",INDEX('Price List'!$I$2:$I$1352,$L178)))</f>
        <v>1765</v>
      </c>
      <c r="J178" s="11" t="str">
        <f aca="false">IF($L178="","",INDEX('Price List'!$J$2:$J$1352,$L178)&amp;"")</f>
        <v/>
      </c>
      <c r="K178" s="10" t="str">
        <f aca="false">IF($L178="","",INDEX('Price List'!$K$2:$K$1352,$L178)&amp;"")</f>
        <v>Nov 7, 2023</v>
      </c>
      <c r="L178" s="13" t="n">
        <f aca="false">IF(168&gt;$H$4,"",MATCH(168,'Price List'!$M$2:$M$1352,0))</f>
        <v>168</v>
      </c>
    </row>
    <row r="179" customFormat="false" ht="15" hidden="false" customHeight="false" outlineLevel="0" collapsed="false">
      <c r="A179" s="9" t="n">
        <v>169</v>
      </c>
      <c r="B179" s="10" t="str">
        <f aca="false">IF($L179="","",INDEX('Price List'!$B$2:$B$1352,$L179)&amp;"")</f>
        <v>NAPPCO (Nov 7, 2023 list)</v>
      </c>
      <c r="C179" s="10" t="str">
        <f aca="false">IF($L179="","",INDEX('Price List'!$C$2:$C$1352,$L179)&amp;"")</f>
        <v>Kraft Paper</v>
      </c>
      <c r="D179" s="11" t="str">
        <f aca="false">IF($L179="","",INDEX('Price List'!$D$2:$D$1352,$L179)&amp;"")</f>
        <v>Kraft Paper - Imported</v>
      </c>
      <c r="E179" s="11" t="str">
        <f aca="false">IF($L179="","",INDEX('Price List'!$E$2:$E$1352,$L179)&amp;"")</f>
        <v/>
      </c>
      <c r="F179" s="10" t="str">
        <f aca="false">IF($L179="","",INDEX('Price List'!$F$2:$F$1352,$L179)&amp;"")</f>
        <v>70 (80#)</v>
      </c>
      <c r="G179" s="10" t="str">
        <f aca="false">IF($L179="","",INDEX('Price List'!$G$2:$G$1352,$L179)&amp;"")</f>
        <v>36 x 48</v>
      </c>
      <c r="H179" s="10" t="str">
        <f aca="false">IF($L179="","",INDEX('Price List'!$H$2:$H$1352,$L179)&amp;"")</f>
        <v>ream</v>
      </c>
      <c r="I179" s="12" t="n">
        <f aca="false">IF($L179="","",IF(INDEX('Price List'!$I$2:$I$1352,$L179)="","",INDEX('Price List'!$I$2:$I$1352,$L179)))</f>
        <v>3000</v>
      </c>
      <c r="J179" s="11" t="str">
        <f aca="false">IF($L179="","",INDEX('Price List'!$J$2:$J$1352,$L179)&amp;"")</f>
        <v/>
      </c>
      <c r="K179" s="10" t="str">
        <f aca="false">IF($L179="","",INDEX('Price List'!$K$2:$K$1352,$L179)&amp;"")</f>
        <v>Nov 7, 2023</v>
      </c>
      <c r="L179" s="13" t="n">
        <f aca="false">IF(169&gt;$H$4,"",MATCH(169,'Price List'!$M$2:$M$1352,0))</f>
        <v>169</v>
      </c>
    </row>
    <row r="180" customFormat="false" ht="15" hidden="false" customHeight="false" outlineLevel="0" collapsed="false">
      <c r="A180" s="9" t="n">
        <v>170</v>
      </c>
      <c r="B180" s="10" t="str">
        <f aca="false">IF($L180="","",INDEX('Price List'!$B$2:$B$1352,$L180)&amp;"")</f>
        <v>NAPPCO (Nov 7, 2023 list)</v>
      </c>
      <c r="C180" s="10" t="str">
        <f aca="false">IF($L180="","",INDEX('Price List'!$C$2:$C$1352,$L180)&amp;"")</f>
        <v>Kraft Paper</v>
      </c>
      <c r="D180" s="11" t="str">
        <f aca="false">IF($L180="","",INDEX('Price List'!$D$2:$D$1352,$L180)&amp;"")</f>
        <v>Kraft Paper - Bleach</v>
      </c>
      <c r="E180" s="11" t="str">
        <f aca="false">IF($L180="","",INDEX('Price List'!$E$2:$E$1352,$L180)&amp;"")</f>
        <v/>
      </c>
      <c r="F180" s="10" t="str">
        <f aca="false">IF($L180="","",INDEX('Price List'!$F$2:$F$1352,$L180)&amp;"")</f>
        <v>70 (80#)</v>
      </c>
      <c r="G180" s="10" t="str">
        <f aca="false">IF($L180="","",INDEX('Price List'!$G$2:$G$1352,$L180)&amp;"")</f>
        <v>36 x 48</v>
      </c>
      <c r="H180" s="10" t="str">
        <f aca="false">IF($L180="","",INDEX('Price List'!$H$2:$H$1352,$L180)&amp;"")</f>
        <v>ream</v>
      </c>
      <c r="I180" s="12" t="n">
        <f aca="false">IF($L180="","",IF(INDEX('Price List'!$I$2:$I$1352,$L180)="","",INDEX('Price List'!$I$2:$I$1352,$L180)))</f>
        <v>3150</v>
      </c>
      <c r="J180" s="11" t="str">
        <f aca="false">IF($L180="","",INDEX('Price List'!$J$2:$J$1352,$L180)&amp;"")</f>
        <v/>
      </c>
      <c r="K180" s="10" t="str">
        <f aca="false">IF($L180="","",INDEX('Price List'!$K$2:$K$1352,$L180)&amp;"")</f>
        <v>Nov 7, 2023</v>
      </c>
      <c r="L180" s="13" t="n">
        <f aca="false">IF(170&gt;$H$4,"",MATCH(170,'Price List'!$M$2:$M$1352,0))</f>
        <v>170</v>
      </c>
    </row>
    <row r="181" customFormat="false" ht="15" hidden="false" customHeight="false" outlineLevel="0" collapsed="false">
      <c r="A181" s="9" t="n">
        <v>171</v>
      </c>
      <c r="B181" s="10" t="str">
        <f aca="false">IF($L181="","",INDEX('Price List'!$B$2:$B$1352,$L181)&amp;"")</f>
        <v>NAPPCO (Nov 7, 2023 list)</v>
      </c>
      <c r="C181" s="10" t="str">
        <f aca="false">IF($L181="","",INDEX('Price List'!$C$2:$C$1352,$L181)&amp;"")</f>
        <v>Kraft Paper</v>
      </c>
      <c r="D181" s="11" t="str">
        <f aca="false">IF($L181="","",INDEX('Price List'!$D$2:$D$1352,$L181)&amp;"")</f>
        <v>Kraft Paper - Local</v>
      </c>
      <c r="E181" s="11" t="str">
        <f aca="false">IF($L181="","",INDEX('Price List'!$E$2:$E$1352,$L181)&amp;"")</f>
        <v/>
      </c>
      <c r="F181" s="10" t="str">
        <f aca="false">IF($L181="","",INDEX('Price List'!$F$2:$F$1352,$L181)&amp;"")</f>
        <v>80 (100#)</v>
      </c>
      <c r="G181" s="10" t="str">
        <f aca="false">IF($L181="","",INDEX('Price List'!$G$2:$G$1352,$L181)&amp;"")</f>
        <v>36 x 48</v>
      </c>
      <c r="H181" s="10" t="str">
        <f aca="false">IF($L181="","",INDEX('Price List'!$H$2:$H$1352,$L181)&amp;"")</f>
        <v>ream</v>
      </c>
      <c r="I181" s="12" t="n">
        <f aca="false">IF($L181="","",IF(INDEX('Price List'!$I$2:$I$1352,$L181)="","",INDEX('Price List'!$I$2:$I$1352,$L181)))</f>
        <v>2020</v>
      </c>
      <c r="J181" s="11" t="str">
        <f aca="false">IF($L181="","",INDEX('Price List'!$J$2:$J$1352,$L181)&amp;"")</f>
        <v/>
      </c>
      <c r="K181" s="10" t="str">
        <f aca="false">IF($L181="","",INDEX('Price List'!$K$2:$K$1352,$L181)&amp;"")</f>
        <v>Nov 7, 2023</v>
      </c>
      <c r="L181" s="13" t="n">
        <f aca="false">IF(171&gt;$H$4,"",MATCH(171,'Price List'!$M$2:$M$1352,0))</f>
        <v>171</v>
      </c>
    </row>
    <row r="182" customFormat="false" ht="15" hidden="false" customHeight="false" outlineLevel="0" collapsed="false">
      <c r="A182" s="9" t="n">
        <v>172</v>
      </c>
      <c r="B182" s="10" t="str">
        <f aca="false">IF($L182="","",INDEX('Price List'!$B$2:$B$1352,$L182)&amp;"")</f>
        <v>NAPPCO (Nov 7, 2023 list)</v>
      </c>
      <c r="C182" s="10" t="str">
        <f aca="false">IF($L182="","",INDEX('Price List'!$C$2:$C$1352,$L182)&amp;"")</f>
        <v>Kraft Paper</v>
      </c>
      <c r="D182" s="11" t="str">
        <f aca="false">IF($L182="","",INDEX('Price List'!$D$2:$D$1352,$L182)&amp;"")</f>
        <v>Kraft Paper - Imported</v>
      </c>
      <c r="E182" s="11" t="str">
        <f aca="false">IF($L182="","",INDEX('Price List'!$E$2:$E$1352,$L182)&amp;"")</f>
        <v/>
      </c>
      <c r="F182" s="10" t="str">
        <f aca="false">IF($L182="","",INDEX('Price List'!$F$2:$F$1352,$L182)&amp;"")</f>
        <v>80 (100#)</v>
      </c>
      <c r="G182" s="10" t="str">
        <f aca="false">IF($L182="","",INDEX('Price List'!$G$2:$G$1352,$L182)&amp;"")</f>
        <v>36 x 48</v>
      </c>
      <c r="H182" s="10" t="str">
        <f aca="false">IF($L182="","",INDEX('Price List'!$H$2:$H$1352,$L182)&amp;"")</f>
        <v>ream</v>
      </c>
      <c r="I182" s="12" t="n">
        <f aca="false">IF($L182="","",IF(INDEX('Price List'!$I$2:$I$1352,$L182)="","",INDEX('Price List'!$I$2:$I$1352,$L182)))</f>
        <v>3430</v>
      </c>
      <c r="J182" s="11" t="str">
        <f aca="false">IF($L182="","",INDEX('Price List'!$J$2:$J$1352,$L182)&amp;"")</f>
        <v/>
      </c>
      <c r="K182" s="10" t="str">
        <f aca="false">IF($L182="","",INDEX('Price List'!$K$2:$K$1352,$L182)&amp;"")</f>
        <v>Nov 7, 2023</v>
      </c>
      <c r="L182" s="13" t="n">
        <f aca="false">IF(172&gt;$H$4,"",MATCH(172,'Price List'!$M$2:$M$1352,0))</f>
        <v>172</v>
      </c>
    </row>
    <row r="183" customFormat="false" ht="15" hidden="false" customHeight="false" outlineLevel="0" collapsed="false">
      <c r="A183" s="9" t="n">
        <v>173</v>
      </c>
      <c r="B183" s="10" t="str">
        <f aca="false">IF($L183="","",INDEX('Price List'!$B$2:$B$1352,$L183)&amp;"")</f>
        <v>NAPPCO (Nov 7, 2023 list)</v>
      </c>
      <c r="C183" s="10" t="str">
        <f aca="false">IF($L183="","",INDEX('Price List'!$C$2:$C$1352,$L183)&amp;"")</f>
        <v>Kraft Paper</v>
      </c>
      <c r="D183" s="11" t="str">
        <f aca="false">IF($L183="","",INDEX('Price List'!$D$2:$D$1352,$L183)&amp;"")</f>
        <v>Kraft Paper - Bleach</v>
      </c>
      <c r="E183" s="11" t="str">
        <f aca="false">IF($L183="","",INDEX('Price List'!$E$2:$E$1352,$L183)&amp;"")</f>
        <v/>
      </c>
      <c r="F183" s="10" t="str">
        <f aca="false">IF($L183="","",INDEX('Price List'!$F$2:$F$1352,$L183)&amp;"")</f>
        <v>80 (100#)</v>
      </c>
      <c r="G183" s="10" t="str">
        <f aca="false">IF($L183="","",INDEX('Price List'!$G$2:$G$1352,$L183)&amp;"")</f>
        <v>36 x 48</v>
      </c>
      <c r="H183" s="10" t="str">
        <f aca="false">IF($L183="","",INDEX('Price List'!$H$2:$H$1352,$L183)&amp;"")</f>
        <v>ream</v>
      </c>
      <c r="I183" s="12" t="n">
        <f aca="false">IF($L183="","",IF(INDEX('Price List'!$I$2:$I$1352,$L183)="","",INDEX('Price List'!$I$2:$I$1352,$L183)))</f>
        <v>3600</v>
      </c>
      <c r="J183" s="11" t="str">
        <f aca="false">IF($L183="","",INDEX('Price List'!$J$2:$J$1352,$L183)&amp;"")</f>
        <v/>
      </c>
      <c r="K183" s="10" t="str">
        <f aca="false">IF($L183="","",INDEX('Price List'!$K$2:$K$1352,$L183)&amp;"")</f>
        <v>Nov 7, 2023</v>
      </c>
      <c r="L183" s="13" t="n">
        <f aca="false">IF(173&gt;$H$4,"",MATCH(173,'Price List'!$M$2:$M$1352,0))</f>
        <v>173</v>
      </c>
    </row>
    <row r="184" customFormat="false" ht="15" hidden="false" customHeight="false" outlineLevel="0" collapsed="false">
      <c r="A184" s="9" t="n">
        <v>174</v>
      </c>
      <c r="B184" s="10" t="str">
        <f aca="false">IF($L184="","",INDEX('Price List'!$B$2:$B$1352,$L184)&amp;"")</f>
        <v>NAPPCO (Nov 7, 2023 list)</v>
      </c>
      <c r="C184" s="10" t="str">
        <f aca="false">IF($L184="","",INDEX('Price List'!$C$2:$C$1352,$L184)&amp;"")</f>
        <v>Kraft Paper</v>
      </c>
      <c r="D184" s="11" t="str">
        <f aca="false">IF($L184="","",INDEX('Price List'!$D$2:$D$1352,$L184)&amp;"")</f>
        <v>Kraft Paper - Imported</v>
      </c>
      <c r="E184" s="11" t="str">
        <f aca="false">IF($L184="","",INDEX('Price List'!$E$2:$E$1352,$L184)&amp;"")</f>
        <v/>
      </c>
      <c r="F184" s="10" t="str">
        <f aca="false">IF($L184="","",INDEX('Price List'!$F$2:$F$1352,$L184)&amp;"")</f>
        <v>90 (110#)</v>
      </c>
      <c r="G184" s="10" t="str">
        <f aca="false">IF($L184="","",INDEX('Price List'!$G$2:$G$1352,$L184)&amp;"")</f>
        <v>36 x 48</v>
      </c>
      <c r="H184" s="10" t="str">
        <f aca="false">IF($L184="","",INDEX('Price List'!$H$2:$H$1352,$L184)&amp;"")</f>
        <v>ream</v>
      </c>
      <c r="I184" s="12" t="n">
        <f aca="false">IF($L184="","",IF(INDEX('Price List'!$I$2:$I$1352,$L184)="","",INDEX('Price List'!$I$2:$I$1352,$L184)))</f>
        <v>3860</v>
      </c>
      <c r="J184" s="11" t="str">
        <f aca="false">IF($L184="","",INDEX('Price List'!$J$2:$J$1352,$L184)&amp;"")</f>
        <v/>
      </c>
      <c r="K184" s="10" t="str">
        <f aca="false">IF($L184="","",INDEX('Price List'!$K$2:$K$1352,$L184)&amp;"")</f>
        <v>Nov 7, 2023</v>
      </c>
      <c r="L184" s="13" t="n">
        <f aca="false">IF(174&gt;$H$4,"",MATCH(174,'Price List'!$M$2:$M$1352,0))</f>
        <v>174</v>
      </c>
    </row>
    <row r="185" customFormat="false" ht="15" hidden="false" customHeight="false" outlineLevel="0" collapsed="false">
      <c r="A185" s="9" t="n">
        <v>175</v>
      </c>
      <c r="B185" s="10" t="str">
        <f aca="false">IF($L185="","",INDEX('Price List'!$B$2:$B$1352,$L185)&amp;"")</f>
        <v>NAPPCO (Nov 7, 2023 list)</v>
      </c>
      <c r="C185" s="10" t="str">
        <f aca="false">IF($L185="","",INDEX('Price List'!$C$2:$C$1352,$L185)&amp;"")</f>
        <v>Kraft Paper</v>
      </c>
      <c r="D185" s="11" t="str">
        <f aca="false">IF($L185="","",INDEX('Price List'!$D$2:$D$1352,$L185)&amp;"")</f>
        <v>Kraft Paper - Bleach</v>
      </c>
      <c r="E185" s="11" t="str">
        <f aca="false">IF($L185="","",INDEX('Price List'!$E$2:$E$1352,$L185)&amp;"")</f>
        <v/>
      </c>
      <c r="F185" s="10" t="str">
        <f aca="false">IF($L185="","",INDEX('Price List'!$F$2:$F$1352,$L185)&amp;"")</f>
        <v>90 (110#)</v>
      </c>
      <c r="G185" s="10" t="str">
        <f aca="false">IF($L185="","",INDEX('Price List'!$G$2:$G$1352,$L185)&amp;"")</f>
        <v>36 x 48</v>
      </c>
      <c r="H185" s="10" t="str">
        <f aca="false">IF($L185="","",INDEX('Price List'!$H$2:$H$1352,$L185)&amp;"")</f>
        <v>ream</v>
      </c>
      <c r="I185" s="12" t="n">
        <f aca="false">IF($L185="","",IF(INDEX('Price List'!$I$2:$I$1352,$L185)="","",INDEX('Price List'!$I$2:$I$1352,$L185)))</f>
        <v>4050</v>
      </c>
      <c r="J185" s="11" t="str">
        <f aca="false">IF($L185="","",INDEX('Price List'!$J$2:$J$1352,$L185)&amp;"")</f>
        <v/>
      </c>
      <c r="K185" s="10" t="str">
        <f aca="false">IF($L185="","",INDEX('Price List'!$K$2:$K$1352,$L185)&amp;"")</f>
        <v>Nov 7, 2023</v>
      </c>
      <c r="L185" s="13" t="n">
        <f aca="false">IF(175&gt;$H$4,"",MATCH(175,'Price List'!$M$2:$M$1352,0))</f>
        <v>175</v>
      </c>
    </row>
    <row r="186" customFormat="false" ht="15" hidden="false" customHeight="false" outlineLevel="0" collapsed="false">
      <c r="A186" s="9" t="n">
        <v>176</v>
      </c>
      <c r="B186" s="10" t="str">
        <f aca="false">IF($L186="","",INDEX('Price List'!$B$2:$B$1352,$L186)&amp;"")</f>
        <v>NAPPCO (Nov 7, 2023 list)</v>
      </c>
      <c r="C186" s="10" t="str">
        <f aca="false">IF($L186="","",INDEX('Price List'!$C$2:$C$1352,$L186)&amp;"")</f>
        <v>Kraft Paper</v>
      </c>
      <c r="D186" s="11" t="str">
        <f aca="false">IF($L186="","",INDEX('Price List'!$D$2:$D$1352,$L186)&amp;"")</f>
        <v>Kraft Paper - Local</v>
      </c>
      <c r="E186" s="11" t="str">
        <f aca="false">IF($L186="","",INDEX('Price List'!$E$2:$E$1352,$L186)&amp;"")</f>
        <v/>
      </c>
      <c r="F186" s="10" t="str">
        <f aca="false">IF($L186="","",INDEX('Price List'!$F$2:$F$1352,$L186)&amp;"")</f>
        <v>100 (120#)</v>
      </c>
      <c r="G186" s="10" t="str">
        <f aca="false">IF($L186="","",INDEX('Price List'!$G$2:$G$1352,$L186)&amp;"")</f>
        <v>36 x 48</v>
      </c>
      <c r="H186" s="10" t="str">
        <f aca="false">IF($L186="","",INDEX('Price List'!$H$2:$H$1352,$L186)&amp;"")</f>
        <v>sheet</v>
      </c>
      <c r="I186" s="12" t="n">
        <f aca="false">IF($L186="","",IF(INDEX('Price List'!$I$2:$I$1352,$L186)="","",INDEX('Price List'!$I$2:$I$1352,$L186)))</f>
        <v>5.3</v>
      </c>
      <c r="J186" s="11" t="str">
        <f aca="false">IF($L186="","",INDEX('Price List'!$J$2:$J$1352,$L186)&amp;"")</f>
        <v/>
      </c>
      <c r="K186" s="10" t="str">
        <f aca="false">IF($L186="","",INDEX('Price List'!$K$2:$K$1352,$L186)&amp;"")</f>
        <v>Nov 7, 2023</v>
      </c>
      <c r="L186" s="13" t="n">
        <f aca="false">IF(176&gt;$H$4,"",MATCH(176,'Price List'!$M$2:$M$1352,0))</f>
        <v>176</v>
      </c>
    </row>
    <row r="187" customFormat="false" ht="15" hidden="false" customHeight="false" outlineLevel="0" collapsed="false">
      <c r="A187" s="9" t="n">
        <v>177</v>
      </c>
      <c r="B187" s="10" t="str">
        <f aca="false">IF($L187="","",INDEX('Price List'!$B$2:$B$1352,$L187)&amp;"")</f>
        <v>NAPPCO (Nov 7, 2023 list)</v>
      </c>
      <c r="C187" s="10" t="str">
        <f aca="false">IF($L187="","",INDEX('Price List'!$C$2:$C$1352,$L187)&amp;"")</f>
        <v>Kraft Paper</v>
      </c>
      <c r="D187" s="11" t="str">
        <f aca="false">IF($L187="","",INDEX('Price List'!$D$2:$D$1352,$L187)&amp;"")</f>
        <v>Kraft Paper - Imported</v>
      </c>
      <c r="E187" s="11" t="str">
        <f aca="false">IF($L187="","",INDEX('Price List'!$E$2:$E$1352,$L187)&amp;"")</f>
        <v/>
      </c>
      <c r="F187" s="10" t="str">
        <f aca="false">IF($L187="","",INDEX('Price List'!$F$2:$F$1352,$L187)&amp;"")</f>
        <v>100 (120#)</v>
      </c>
      <c r="G187" s="10" t="str">
        <f aca="false">IF($L187="","",INDEX('Price List'!$G$2:$G$1352,$L187)&amp;"")</f>
        <v>36 x 48</v>
      </c>
      <c r="H187" s="10" t="str">
        <f aca="false">IF($L187="","",INDEX('Price List'!$H$2:$H$1352,$L187)&amp;"")</f>
        <v>sheet</v>
      </c>
      <c r="I187" s="12" t="n">
        <f aca="false">IF($L187="","",IF(INDEX('Price List'!$I$2:$I$1352,$L187)="","",INDEX('Price List'!$I$2:$I$1352,$L187)))</f>
        <v>9</v>
      </c>
      <c r="J187" s="11" t="str">
        <f aca="false">IF($L187="","",INDEX('Price List'!$J$2:$J$1352,$L187)&amp;"")</f>
        <v/>
      </c>
      <c r="K187" s="10" t="str">
        <f aca="false">IF($L187="","",INDEX('Price List'!$K$2:$K$1352,$L187)&amp;"")</f>
        <v>Nov 7, 2023</v>
      </c>
      <c r="L187" s="13" t="n">
        <f aca="false">IF(177&gt;$H$4,"",MATCH(177,'Price List'!$M$2:$M$1352,0))</f>
        <v>177</v>
      </c>
    </row>
    <row r="188" customFormat="false" ht="15" hidden="false" customHeight="false" outlineLevel="0" collapsed="false">
      <c r="A188" s="9" t="n">
        <v>178</v>
      </c>
      <c r="B188" s="10" t="str">
        <f aca="false">IF($L188="","",INDEX('Price List'!$B$2:$B$1352,$L188)&amp;"")</f>
        <v>NAPPCO (Nov 7, 2023 list)</v>
      </c>
      <c r="C188" s="10" t="str">
        <f aca="false">IF($L188="","",INDEX('Price List'!$C$2:$C$1352,$L188)&amp;"")</f>
        <v>Kraft Paper</v>
      </c>
      <c r="D188" s="11" t="str">
        <f aca="false">IF($L188="","",INDEX('Price List'!$D$2:$D$1352,$L188)&amp;"")</f>
        <v>Kraft Paper - Bleach</v>
      </c>
      <c r="E188" s="11" t="str">
        <f aca="false">IF($L188="","",INDEX('Price List'!$E$2:$E$1352,$L188)&amp;"")</f>
        <v/>
      </c>
      <c r="F188" s="10" t="str">
        <f aca="false">IF($L188="","",INDEX('Price List'!$F$2:$F$1352,$L188)&amp;"")</f>
        <v>100 (120#)</v>
      </c>
      <c r="G188" s="10" t="str">
        <f aca="false">IF($L188="","",INDEX('Price List'!$G$2:$G$1352,$L188)&amp;"")</f>
        <v>36 x 48</v>
      </c>
      <c r="H188" s="10" t="str">
        <f aca="false">IF($L188="","",INDEX('Price List'!$H$2:$H$1352,$L188)&amp;"")</f>
        <v>sheet</v>
      </c>
      <c r="I188" s="12" t="n">
        <f aca="false">IF($L188="","",IF(INDEX('Price List'!$I$2:$I$1352,$L188)="","",INDEX('Price List'!$I$2:$I$1352,$L188)))</f>
        <v>9.4</v>
      </c>
      <c r="J188" s="11" t="str">
        <f aca="false">IF($L188="","",INDEX('Price List'!$J$2:$J$1352,$L188)&amp;"")</f>
        <v/>
      </c>
      <c r="K188" s="10" t="str">
        <f aca="false">IF($L188="","",INDEX('Price List'!$K$2:$K$1352,$L188)&amp;"")</f>
        <v>Nov 7, 2023</v>
      </c>
      <c r="L188" s="13" t="n">
        <f aca="false">IF(178&gt;$H$4,"",MATCH(178,'Price List'!$M$2:$M$1352,0))</f>
        <v>178</v>
      </c>
    </row>
    <row r="189" customFormat="false" ht="15" hidden="false" customHeight="false" outlineLevel="0" collapsed="false">
      <c r="A189" s="9" t="n">
        <v>179</v>
      </c>
      <c r="B189" s="10" t="str">
        <f aca="false">IF($L189="","",INDEX('Price List'!$B$2:$B$1352,$L189)&amp;"")</f>
        <v>NAPPCO (Nov 7, 2023 list)</v>
      </c>
      <c r="C189" s="10" t="str">
        <f aca="false">IF($L189="","",INDEX('Price List'!$C$2:$C$1352,$L189)&amp;"")</f>
        <v>Kraft Paper</v>
      </c>
      <c r="D189" s="11" t="str">
        <f aca="false">IF($L189="","",INDEX('Price List'!$D$2:$D$1352,$L189)&amp;"")</f>
        <v>Kraft Paper - Local</v>
      </c>
      <c r="E189" s="11" t="str">
        <f aca="false">IF($L189="","",INDEX('Price List'!$E$2:$E$1352,$L189)&amp;"")</f>
        <v/>
      </c>
      <c r="F189" s="10" t="str">
        <f aca="false">IF($L189="","",INDEX('Price List'!$F$2:$F$1352,$L189)&amp;"")</f>
        <v>110 (135#)</v>
      </c>
      <c r="G189" s="10" t="str">
        <f aca="false">IF($L189="","",INDEX('Price List'!$G$2:$G$1352,$L189)&amp;"")</f>
        <v>36 x 48</v>
      </c>
      <c r="H189" s="10" t="str">
        <f aca="false">IF($L189="","",INDEX('Price List'!$H$2:$H$1352,$L189)&amp;"")</f>
        <v>sheet</v>
      </c>
      <c r="I189" s="12" t="n">
        <f aca="false">IF($L189="","",IF(INDEX('Price List'!$I$2:$I$1352,$L189)="","",INDEX('Price List'!$I$2:$I$1352,$L189)))</f>
        <v>5.8</v>
      </c>
      <c r="J189" s="11" t="str">
        <f aca="false">IF($L189="","",INDEX('Price List'!$J$2:$J$1352,$L189)&amp;"")</f>
        <v/>
      </c>
      <c r="K189" s="10" t="str">
        <f aca="false">IF($L189="","",INDEX('Price List'!$K$2:$K$1352,$L189)&amp;"")</f>
        <v>Nov 7, 2023</v>
      </c>
      <c r="L189" s="13" t="n">
        <f aca="false">IF(179&gt;$H$4,"",MATCH(179,'Price List'!$M$2:$M$1352,0))</f>
        <v>179</v>
      </c>
    </row>
    <row r="190" customFormat="false" ht="15" hidden="false" customHeight="false" outlineLevel="0" collapsed="false">
      <c r="A190" s="9" t="n">
        <v>180</v>
      </c>
      <c r="B190" s="10" t="str">
        <f aca="false">IF($L190="","",INDEX('Price List'!$B$2:$B$1352,$L190)&amp;"")</f>
        <v>NAPPCO (Nov 7, 2023 list)</v>
      </c>
      <c r="C190" s="10" t="str">
        <f aca="false">IF($L190="","",INDEX('Price List'!$C$2:$C$1352,$L190)&amp;"")</f>
        <v>Kraft Paper</v>
      </c>
      <c r="D190" s="11" t="str">
        <f aca="false">IF($L190="","",INDEX('Price List'!$D$2:$D$1352,$L190)&amp;"")</f>
        <v>Kraft Paper - Imported</v>
      </c>
      <c r="E190" s="11" t="str">
        <f aca="false">IF($L190="","",INDEX('Price List'!$E$2:$E$1352,$L190)&amp;"")</f>
        <v/>
      </c>
      <c r="F190" s="10" t="str">
        <f aca="false">IF($L190="","",INDEX('Price List'!$F$2:$F$1352,$L190)&amp;"")</f>
        <v>110 (135#)</v>
      </c>
      <c r="G190" s="10" t="str">
        <f aca="false">IF($L190="","",INDEX('Price List'!$G$2:$G$1352,$L190)&amp;"")</f>
        <v>36 x 48</v>
      </c>
      <c r="H190" s="10" t="str">
        <f aca="false">IF($L190="","",INDEX('Price List'!$H$2:$H$1352,$L190)&amp;"")</f>
        <v>sheet</v>
      </c>
      <c r="I190" s="12" t="n">
        <f aca="false">IF($L190="","",IF(INDEX('Price List'!$I$2:$I$1352,$L190)="","",INDEX('Price List'!$I$2:$I$1352,$L190)))</f>
        <v>9.9</v>
      </c>
      <c r="J190" s="11" t="str">
        <f aca="false">IF($L190="","",INDEX('Price List'!$J$2:$J$1352,$L190)&amp;"")</f>
        <v/>
      </c>
      <c r="K190" s="10" t="str">
        <f aca="false">IF($L190="","",INDEX('Price List'!$K$2:$K$1352,$L190)&amp;"")</f>
        <v>Nov 7, 2023</v>
      </c>
      <c r="L190" s="13" t="n">
        <f aca="false">IF(180&gt;$H$4,"",MATCH(180,'Price List'!$M$2:$M$1352,0))</f>
        <v>180</v>
      </c>
    </row>
    <row r="191" customFormat="false" ht="15" hidden="false" customHeight="false" outlineLevel="0" collapsed="false">
      <c r="A191" s="9" t="n">
        <v>181</v>
      </c>
      <c r="B191" s="10" t="str">
        <f aca="false">IF($L191="","",INDEX('Price List'!$B$2:$B$1352,$L191)&amp;"")</f>
        <v>NAPPCO (Nov 7, 2023 list)</v>
      </c>
      <c r="C191" s="10" t="str">
        <f aca="false">IF($L191="","",INDEX('Price List'!$C$2:$C$1352,$L191)&amp;"")</f>
        <v>Kraft Paper</v>
      </c>
      <c r="D191" s="11" t="str">
        <f aca="false">IF($L191="","",INDEX('Price List'!$D$2:$D$1352,$L191)&amp;"")</f>
        <v>Kraft Paper - Bleach</v>
      </c>
      <c r="E191" s="11" t="str">
        <f aca="false">IF($L191="","",INDEX('Price List'!$E$2:$E$1352,$L191)&amp;"")</f>
        <v/>
      </c>
      <c r="F191" s="10" t="str">
        <f aca="false">IF($L191="","",INDEX('Price List'!$F$2:$F$1352,$L191)&amp;"")</f>
        <v>110 (135#)</v>
      </c>
      <c r="G191" s="10" t="str">
        <f aca="false">IF($L191="","",INDEX('Price List'!$G$2:$G$1352,$L191)&amp;"")</f>
        <v>36 x 48</v>
      </c>
      <c r="H191" s="10" t="str">
        <f aca="false">IF($L191="","",INDEX('Price List'!$H$2:$H$1352,$L191)&amp;"")</f>
        <v>sheet</v>
      </c>
      <c r="I191" s="12" t="n">
        <f aca="false">IF($L191="","",IF(INDEX('Price List'!$I$2:$I$1352,$L191)="","",INDEX('Price List'!$I$2:$I$1352,$L191)))</f>
        <v>10.3</v>
      </c>
      <c r="J191" s="11" t="str">
        <f aca="false">IF($L191="","",INDEX('Price List'!$J$2:$J$1352,$L191)&amp;"")</f>
        <v/>
      </c>
      <c r="K191" s="10" t="str">
        <f aca="false">IF($L191="","",INDEX('Price List'!$K$2:$K$1352,$L191)&amp;"")</f>
        <v>Nov 7, 2023</v>
      </c>
      <c r="L191" s="13" t="n">
        <f aca="false">IF(181&gt;$H$4,"",MATCH(181,'Price List'!$M$2:$M$1352,0))</f>
        <v>181</v>
      </c>
    </row>
    <row r="192" customFormat="false" ht="15" hidden="false" customHeight="false" outlineLevel="0" collapsed="false">
      <c r="A192" s="9" t="n">
        <v>182</v>
      </c>
      <c r="B192" s="10" t="str">
        <f aca="false">IF($L192="","",INDEX('Price List'!$B$2:$B$1352,$L192)&amp;"")</f>
        <v>NAPPCO (Nov 7, 2023 list)</v>
      </c>
      <c r="C192" s="10" t="str">
        <f aca="false">IF($L192="","",INDEX('Price List'!$C$2:$C$1352,$L192)&amp;"")</f>
        <v>Kraft Paper</v>
      </c>
      <c r="D192" s="11" t="str">
        <f aca="false">IF($L192="","",INDEX('Price List'!$D$2:$D$1352,$L192)&amp;"")</f>
        <v>Kraft Paper - Local</v>
      </c>
      <c r="E192" s="11" t="str">
        <f aca="false">IF($L192="","",INDEX('Price List'!$E$2:$E$1352,$L192)&amp;"")</f>
        <v/>
      </c>
      <c r="F192" s="10" t="str">
        <f aca="false">IF($L192="","",INDEX('Price List'!$F$2:$F$1352,$L192)&amp;"")</f>
        <v>115 (140#)</v>
      </c>
      <c r="G192" s="10" t="str">
        <f aca="false">IF($L192="","",INDEX('Price List'!$G$2:$G$1352,$L192)&amp;"")</f>
        <v>36 x 48</v>
      </c>
      <c r="H192" s="10" t="str">
        <f aca="false">IF($L192="","",INDEX('Price List'!$H$2:$H$1352,$L192)&amp;"")</f>
        <v>sheet</v>
      </c>
      <c r="I192" s="12" t="n">
        <f aca="false">IF($L192="","",IF(INDEX('Price List'!$I$2:$I$1352,$L192)="","",INDEX('Price List'!$I$2:$I$1352,$L192)))</f>
        <v>6</v>
      </c>
      <c r="J192" s="11" t="str">
        <f aca="false">IF($L192="","",INDEX('Price List'!$J$2:$J$1352,$L192)&amp;"")</f>
        <v/>
      </c>
      <c r="K192" s="10" t="str">
        <f aca="false">IF($L192="","",INDEX('Price List'!$K$2:$K$1352,$L192)&amp;"")</f>
        <v>Nov 7, 2023</v>
      </c>
      <c r="L192" s="13" t="n">
        <f aca="false">IF(182&gt;$H$4,"",MATCH(182,'Price List'!$M$2:$M$1352,0))</f>
        <v>182</v>
      </c>
    </row>
    <row r="193" customFormat="false" ht="15" hidden="false" customHeight="false" outlineLevel="0" collapsed="false">
      <c r="A193" s="9" t="n">
        <v>183</v>
      </c>
      <c r="B193" s="10" t="str">
        <f aca="false">IF($L193="","",INDEX('Price List'!$B$2:$B$1352,$L193)&amp;"")</f>
        <v>NAPPCO (Nov 7, 2023 list)</v>
      </c>
      <c r="C193" s="10" t="str">
        <f aca="false">IF($L193="","",INDEX('Price List'!$C$2:$C$1352,$L193)&amp;"")</f>
        <v>Kraft Paper</v>
      </c>
      <c r="D193" s="11" t="str">
        <f aca="false">IF($L193="","",INDEX('Price List'!$D$2:$D$1352,$L193)&amp;"")</f>
        <v>Kraft Paper - Imported</v>
      </c>
      <c r="E193" s="11" t="str">
        <f aca="false">IF($L193="","",INDEX('Price List'!$E$2:$E$1352,$L193)&amp;"")</f>
        <v/>
      </c>
      <c r="F193" s="10" t="str">
        <f aca="false">IF($L193="","",INDEX('Price List'!$F$2:$F$1352,$L193)&amp;"")</f>
        <v>115 (140#)</v>
      </c>
      <c r="G193" s="10" t="str">
        <f aca="false">IF($L193="","",INDEX('Price List'!$G$2:$G$1352,$L193)&amp;"")</f>
        <v>36 x 48</v>
      </c>
      <c r="H193" s="10" t="str">
        <f aca="false">IF($L193="","",INDEX('Price List'!$H$2:$H$1352,$L193)&amp;"")</f>
        <v>sheet</v>
      </c>
      <c r="I193" s="12" t="n">
        <f aca="false">IF($L193="","",IF(INDEX('Price List'!$I$2:$I$1352,$L193)="","",INDEX('Price List'!$I$2:$I$1352,$L193)))</f>
        <v>10.3</v>
      </c>
      <c r="J193" s="11" t="str">
        <f aca="false">IF($L193="","",INDEX('Price List'!$J$2:$J$1352,$L193)&amp;"")</f>
        <v/>
      </c>
      <c r="K193" s="10" t="str">
        <f aca="false">IF($L193="","",INDEX('Price List'!$K$2:$K$1352,$L193)&amp;"")</f>
        <v>Nov 7, 2023</v>
      </c>
      <c r="L193" s="13" t="n">
        <f aca="false">IF(183&gt;$H$4,"",MATCH(183,'Price List'!$M$2:$M$1352,0))</f>
        <v>183</v>
      </c>
    </row>
    <row r="194" customFormat="false" ht="15" hidden="false" customHeight="false" outlineLevel="0" collapsed="false">
      <c r="A194" s="9" t="n">
        <v>184</v>
      </c>
      <c r="B194" s="10" t="str">
        <f aca="false">IF($L194="","",INDEX('Price List'!$B$2:$B$1352,$L194)&amp;"")</f>
        <v>NAPPCO (Nov 7, 2023 list)</v>
      </c>
      <c r="C194" s="10" t="str">
        <f aca="false">IF($L194="","",INDEX('Price List'!$C$2:$C$1352,$L194)&amp;"")</f>
        <v>Kraft Paper</v>
      </c>
      <c r="D194" s="11" t="str">
        <f aca="false">IF($L194="","",INDEX('Price List'!$D$2:$D$1352,$L194)&amp;"")</f>
        <v>Kraft Paper - Kraft Top</v>
      </c>
      <c r="E194" s="11" t="str">
        <f aca="false">IF($L194="","",INDEX('Price List'!$E$2:$E$1352,$L194)&amp;"")</f>
        <v/>
      </c>
      <c r="F194" s="10" t="str">
        <f aca="false">IF($L194="","",INDEX('Price List'!$F$2:$F$1352,$L194)&amp;"")</f>
        <v>115 (140#)</v>
      </c>
      <c r="G194" s="10" t="str">
        <f aca="false">IF($L194="","",INDEX('Price List'!$G$2:$G$1352,$L194)&amp;"")</f>
        <v>36 x 48</v>
      </c>
      <c r="H194" s="10" t="str">
        <f aca="false">IF($L194="","",INDEX('Price List'!$H$2:$H$1352,$L194)&amp;"")</f>
        <v>sheet</v>
      </c>
      <c r="I194" s="12" t="n">
        <f aca="false">IF($L194="","",IF(INDEX('Price List'!$I$2:$I$1352,$L194)="","",INDEX('Price List'!$I$2:$I$1352,$L194)))</f>
        <v>7.7</v>
      </c>
      <c r="J194" s="11" t="str">
        <f aca="false">IF($L194="","",INDEX('Price List'!$J$2:$J$1352,$L194)&amp;"")</f>
        <v/>
      </c>
      <c r="K194" s="10" t="str">
        <f aca="false">IF($L194="","",INDEX('Price List'!$K$2:$K$1352,$L194)&amp;"")</f>
        <v>Nov 7, 2023</v>
      </c>
      <c r="L194" s="13" t="n">
        <f aca="false">IF(184&gt;$H$4,"",MATCH(184,'Price List'!$M$2:$M$1352,0))</f>
        <v>184</v>
      </c>
    </row>
    <row r="195" customFormat="false" ht="15" hidden="false" customHeight="false" outlineLevel="0" collapsed="false">
      <c r="A195" s="9" t="n">
        <v>185</v>
      </c>
      <c r="B195" s="10" t="str">
        <f aca="false">IF($L195="","",INDEX('Price List'!$B$2:$B$1352,$L195)&amp;"")</f>
        <v>NAPPCO (Nov 7, 2023 list)</v>
      </c>
      <c r="C195" s="10" t="str">
        <f aca="false">IF($L195="","",INDEX('Price List'!$C$2:$C$1352,$L195)&amp;"")</f>
        <v>Kraft Paper</v>
      </c>
      <c r="D195" s="11" t="str">
        <f aca="false">IF($L195="","",INDEX('Price List'!$D$2:$D$1352,$L195)&amp;"")</f>
        <v>Kraft Paper - Local</v>
      </c>
      <c r="E195" s="11" t="str">
        <f aca="false">IF($L195="","",INDEX('Price List'!$E$2:$E$1352,$L195)&amp;"")</f>
        <v/>
      </c>
      <c r="F195" s="10" t="str">
        <f aca="false">IF($L195="","",INDEX('Price List'!$F$2:$F$1352,$L195)&amp;"")</f>
        <v>120 (150#)</v>
      </c>
      <c r="G195" s="10" t="str">
        <f aca="false">IF($L195="","",INDEX('Price List'!$G$2:$G$1352,$L195)&amp;"")</f>
        <v>36 x 48</v>
      </c>
      <c r="H195" s="10" t="str">
        <f aca="false">IF($L195="","",INDEX('Price List'!$H$2:$H$1352,$L195)&amp;"")</f>
        <v>sheet</v>
      </c>
      <c r="I195" s="12" t="n">
        <f aca="false">IF($L195="","",IF(INDEX('Price List'!$I$2:$I$1352,$L195)="","",INDEX('Price List'!$I$2:$I$1352,$L195)))</f>
        <v>6.3</v>
      </c>
      <c r="J195" s="11" t="str">
        <f aca="false">IF($L195="","",INDEX('Price List'!$J$2:$J$1352,$L195)&amp;"")</f>
        <v/>
      </c>
      <c r="K195" s="10" t="str">
        <f aca="false">IF($L195="","",INDEX('Price List'!$K$2:$K$1352,$L195)&amp;"")</f>
        <v>Nov 7, 2023</v>
      </c>
      <c r="L195" s="13" t="n">
        <f aca="false">IF(185&gt;$H$4,"",MATCH(185,'Price List'!$M$2:$M$1352,0))</f>
        <v>185</v>
      </c>
    </row>
    <row r="196" customFormat="false" ht="15" hidden="false" customHeight="false" outlineLevel="0" collapsed="false">
      <c r="A196" s="9" t="n">
        <v>186</v>
      </c>
      <c r="B196" s="10" t="str">
        <f aca="false">IF($L196="","",INDEX('Price List'!$B$2:$B$1352,$L196)&amp;"")</f>
        <v>NAPPCO (Nov 7, 2023 list)</v>
      </c>
      <c r="C196" s="10" t="str">
        <f aca="false">IF($L196="","",INDEX('Price List'!$C$2:$C$1352,$L196)&amp;"")</f>
        <v>Kraft Paper</v>
      </c>
      <c r="D196" s="11" t="str">
        <f aca="false">IF($L196="","",INDEX('Price List'!$D$2:$D$1352,$L196)&amp;"")</f>
        <v>Kraft Paper - Imported</v>
      </c>
      <c r="E196" s="11" t="str">
        <f aca="false">IF($L196="","",INDEX('Price List'!$E$2:$E$1352,$L196)&amp;"")</f>
        <v/>
      </c>
      <c r="F196" s="10" t="str">
        <f aca="false">IF($L196="","",INDEX('Price List'!$F$2:$F$1352,$L196)&amp;"")</f>
        <v>120 (150#)</v>
      </c>
      <c r="G196" s="10" t="str">
        <f aca="false">IF($L196="","",INDEX('Price List'!$G$2:$G$1352,$L196)&amp;"")</f>
        <v>36 x 48</v>
      </c>
      <c r="H196" s="10" t="str">
        <f aca="false">IF($L196="","",INDEX('Price List'!$H$2:$H$1352,$L196)&amp;"")</f>
        <v>sheet</v>
      </c>
      <c r="I196" s="12" t="n">
        <f aca="false">IF($L196="","",IF(INDEX('Price List'!$I$2:$I$1352,$L196)="","",INDEX('Price List'!$I$2:$I$1352,$L196)))</f>
        <v>10.7</v>
      </c>
      <c r="J196" s="11" t="str">
        <f aca="false">IF($L196="","",INDEX('Price List'!$J$2:$J$1352,$L196)&amp;"")</f>
        <v/>
      </c>
      <c r="K196" s="10" t="str">
        <f aca="false">IF($L196="","",INDEX('Price List'!$K$2:$K$1352,$L196)&amp;"")</f>
        <v>Nov 7, 2023</v>
      </c>
      <c r="L196" s="13" t="n">
        <f aca="false">IF(186&gt;$H$4,"",MATCH(186,'Price List'!$M$2:$M$1352,0))</f>
        <v>186</v>
      </c>
    </row>
    <row r="197" customFormat="false" ht="15" hidden="false" customHeight="false" outlineLevel="0" collapsed="false">
      <c r="A197" s="9" t="n">
        <v>187</v>
      </c>
      <c r="B197" s="10" t="str">
        <f aca="false">IF($L197="","",INDEX('Price List'!$B$2:$B$1352,$L197)&amp;"")</f>
        <v>NAPPCO (Nov 7, 2023 list)</v>
      </c>
      <c r="C197" s="10" t="str">
        <f aca="false">IF($L197="","",INDEX('Price List'!$C$2:$C$1352,$L197)&amp;"")</f>
        <v>Kraft Paper</v>
      </c>
      <c r="D197" s="11" t="str">
        <f aca="false">IF($L197="","",INDEX('Price List'!$D$2:$D$1352,$L197)&amp;"")</f>
        <v>Kraft Paper - Bleach</v>
      </c>
      <c r="E197" s="11" t="str">
        <f aca="false">IF($L197="","",INDEX('Price List'!$E$2:$E$1352,$L197)&amp;"")</f>
        <v/>
      </c>
      <c r="F197" s="10" t="str">
        <f aca="false">IF($L197="","",INDEX('Price List'!$F$2:$F$1352,$L197)&amp;"")</f>
        <v>120 (150#)</v>
      </c>
      <c r="G197" s="10" t="str">
        <f aca="false">IF($L197="","",INDEX('Price List'!$G$2:$G$1352,$L197)&amp;"")</f>
        <v>36 x 48</v>
      </c>
      <c r="H197" s="10" t="str">
        <f aca="false">IF($L197="","",INDEX('Price List'!$H$2:$H$1352,$L197)&amp;"")</f>
        <v>sheet</v>
      </c>
      <c r="I197" s="12" t="n">
        <f aca="false">IF($L197="","",IF(INDEX('Price List'!$I$2:$I$1352,$L197)="","",INDEX('Price List'!$I$2:$I$1352,$L197)))</f>
        <v>11.3</v>
      </c>
      <c r="J197" s="11" t="str">
        <f aca="false">IF($L197="","",INDEX('Price List'!$J$2:$J$1352,$L197)&amp;"")</f>
        <v/>
      </c>
      <c r="K197" s="10" t="str">
        <f aca="false">IF($L197="","",INDEX('Price List'!$K$2:$K$1352,$L197)&amp;"")</f>
        <v>Nov 7, 2023</v>
      </c>
      <c r="L197" s="13" t="n">
        <f aca="false">IF(187&gt;$H$4,"",MATCH(187,'Price List'!$M$2:$M$1352,0))</f>
        <v>187</v>
      </c>
    </row>
    <row r="198" customFormat="false" ht="15" hidden="false" customHeight="false" outlineLevel="0" collapsed="false">
      <c r="A198" s="9" t="n">
        <v>188</v>
      </c>
      <c r="B198" s="10" t="str">
        <f aca="false">IF($L198="","",INDEX('Price List'!$B$2:$B$1352,$L198)&amp;"")</f>
        <v>NAPPCO (Nov 7, 2023 list)</v>
      </c>
      <c r="C198" s="10" t="str">
        <f aca="false">IF($L198="","",INDEX('Price List'!$C$2:$C$1352,$L198)&amp;"")</f>
        <v>Kraft Paper</v>
      </c>
      <c r="D198" s="11" t="str">
        <f aca="false">IF($L198="","",INDEX('Price List'!$D$2:$D$1352,$L198)&amp;"")</f>
        <v>Kraft Paper - Local</v>
      </c>
      <c r="E198" s="11" t="str">
        <f aca="false">IF($L198="","",INDEX('Price List'!$E$2:$E$1352,$L198)&amp;"")</f>
        <v/>
      </c>
      <c r="F198" s="10" t="str">
        <f aca="false">IF($L198="","",INDEX('Price List'!$F$2:$F$1352,$L198)&amp;"")</f>
        <v>125 (155#)</v>
      </c>
      <c r="G198" s="10" t="str">
        <f aca="false">IF($L198="","",INDEX('Price List'!$G$2:$G$1352,$L198)&amp;"")</f>
        <v>36 x 48</v>
      </c>
      <c r="H198" s="10" t="str">
        <f aca="false">IF($L198="","",INDEX('Price List'!$H$2:$H$1352,$L198)&amp;"")</f>
        <v>sheet</v>
      </c>
      <c r="I198" s="12" t="n">
        <f aca="false">IF($L198="","",IF(INDEX('Price List'!$I$2:$I$1352,$L198)="","",INDEX('Price List'!$I$2:$I$1352,$L198)))</f>
        <v>6.6</v>
      </c>
      <c r="J198" s="11" t="str">
        <f aca="false">IF($L198="","",INDEX('Price List'!$J$2:$J$1352,$L198)&amp;"")</f>
        <v/>
      </c>
      <c r="K198" s="10" t="str">
        <f aca="false">IF($L198="","",INDEX('Price List'!$K$2:$K$1352,$L198)&amp;"")</f>
        <v>Nov 7, 2023</v>
      </c>
      <c r="L198" s="13" t="n">
        <f aca="false">IF(188&gt;$H$4,"",MATCH(188,'Price List'!$M$2:$M$1352,0))</f>
        <v>188</v>
      </c>
    </row>
    <row r="199" customFormat="false" ht="15" hidden="false" customHeight="false" outlineLevel="0" collapsed="false">
      <c r="A199" s="9" t="n">
        <v>189</v>
      </c>
      <c r="B199" s="10" t="str">
        <f aca="false">IF($L199="","",INDEX('Price List'!$B$2:$B$1352,$L199)&amp;"")</f>
        <v>NAPPCO (Nov 7, 2023 list)</v>
      </c>
      <c r="C199" s="10" t="str">
        <f aca="false">IF($L199="","",INDEX('Price List'!$C$2:$C$1352,$L199)&amp;"")</f>
        <v>Kraft Paper</v>
      </c>
      <c r="D199" s="11" t="str">
        <f aca="false">IF($L199="","",INDEX('Price List'!$D$2:$D$1352,$L199)&amp;"")</f>
        <v>Kraft Paper - Imported</v>
      </c>
      <c r="E199" s="11" t="str">
        <f aca="false">IF($L199="","",INDEX('Price List'!$E$2:$E$1352,$L199)&amp;"")</f>
        <v/>
      </c>
      <c r="F199" s="10" t="str">
        <f aca="false">IF($L199="","",INDEX('Price List'!$F$2:$F$1352,$L199)&amp;"")</f>
        <v>125 (155#)</v>
      </c>
      <c r="G199" s="10" t="str">
        <f aca="false">IF($L199="","",INDEX('Price List'!$G$2:$G$1352,$L199)&amp;"")</f>
        <v>36 x 48</v>
      </c>
      <c r="H199" s="10" t="str">
        <f aca="false">IF($L199="","",INDEX('Price List'!$H$2:$H$1352,$L199)&amp;"")</f>
        <v>sheet</v>
      </c>
      <c r="I199" s="12" t="n">
        <f aca="false">IF($L199="","",IF(INDEX('Price List'!$I$2:$I$1352,$L199)="","",INDEX('Price List'!$I$2:$I$1352,$L199)))</f>
        <v>11.2</v>
      </c>
      <c r="J199" s="11" t="str">
        <f aca="false">IF($L199="","",INDEX('Price List'!$J$2:$J$1352,$L199)&amp;"")</f>
        <v/>
      </c>
      <c r="K199" s="10" t="str">
        <f aca="false">IF($L199="","",INDEX('Price List'!$K$2:$K$1352,$L199)&amp;"")</f>
        <v>Nov 7, 2023</v>
      </c>
      <c r="L199" s="13" t="n">
        <f aca="false">IF(189&gt;$H$4,"",MATCH(189,'Price List'!$M$2:$M$1352,0))</f>
        <v>189</v>
      </c>
    </row>
    <row r="200" customFormat="false" ht="15" hidden="false" customHeight="false" outlineLevel="0" collapsed="false">
      <c r="A200" s="9" t="n">
        <v>190</v>
      </c>
      <c r="B200" s="10" t="str">
        <f aca="false">IF($L200="","",INDEX('Price List'!$B$2:$B$1352,$L200)&amp;"")</f>
        <v>NAPPCO (Nov 7, 2023 list)</v>
      </c>
      <c r="C200" s="10" t="str">
        <f aca="false">IF($L200="","",INDEX('Price List'!$C$2:$C$1352,$L200)&amp;"")</f>
        <v>Kraft Paper</v>
      </c>
      <c r="D200" s="11" t="str">
        <f aca="false">IF($L200="","",INDEX('Price List'!$D$2:$D$1352,$L200)&amp;"")</f>
        <v>Kraft Paper - Kraft Top</v>
      </c>
      <c r="E200" s="11" t="str">
        <f aca="false">IF($L200="","",INDEX('Price List'!$E$2:$E$1352,$L200)&amp;"")</f>
        <v/>
      </c>
      <c r="F200" s="10" t="str">
        <f aca="false">IF($L200="","",INDEX('Price List'!$F$2:$F$1352,$L200)&amp;"")</f>
        <v>125 (155#)</v>
      </c>
      <c r="G200" s="10" t="str">
        <f aca="false">IF($L200="","",INDEX('Price List'!$G$2:$G$1352,$L200)&amp;"")</f>
        <v>36 x 48</v>
      </c>
      <c r="H200" s="10" t="str">
        <f aca="false">IF($L200="","",INDEX('Price List'!$H$2:$H$1352,$L200)&amp;"")</f>
        <v>sheet</v>
      </c>
      <c r="I200" s="12" t="n">
        <f aca="false">IF($L200="","",IF(INDEX('Price List'!$I$2:$I$1352,$L200)="","",INDEX('Price List'!$I$2:$I$1352,$L200)))</f>
        <v>8.3</v>
      </c>
      <c r="J200" s="11" t="str">
        <f aca="false">IF($L200="","",INDEX('Price List'!$J$2:$J$1352,$L200)&amp;"")</f>
        <v/>
      </c>
      <c r="K200" s="10" t="str">
        <f aca="false">IF($L200="","",INDEX('Price List'!$K$2:$K$1352,$L200)&amp;"")</f>
        <v>Nov 7, 2023</v>
      </c>
      <c r="L200" s="13" t="n">
        <f aca="false">IF(190&gt;$H$4,"",MATCH(190,'Price List'!$M$2:$M$1352,0))</f>
        <v>190</v>
      </c>
    </row>
    <row r="201" customFormat="false" ht="15" hidden="false" customHeight="false" outlineLevel="0" collapsed="false">
      <c r="A201" s="9" t="n">
        <v>191</v>
      </c>
      <c r="B201" s="10" t="str">
        <f aca="false">IF($L201="","",INDEX('Price List'!$B$2:$B$1352,$L201)&amp;"")</f>
        <v>NAPPCO (Nov 7, 2023 list)</v>
      </c>
      <c r="C201" s="10" t="str">
        <f aca="false">IF($L201="","",INDEX('Price List'!$C$2:$C$1352,$L201)&amp;"")</f>
        <v>Kraft Paper</v>
      </c>
      <c r="D201" s="11" t="str">
        <f aca="false">IF($L201="","",INDEX('Price List'!$D$2:$D$1352,$L201)&amp;"")</f>
        <v>Kraft Paper - Imported</v>
      </c>
      <c r="E201" s="11" t="str">
        <f aca="false">IF($L201="","",INDEX('Price List'!$E$2:$E$1352,$L201)&amp;"")</f>
        <v/>
      </c>
      <c r="F201" s="10" t="str">
        <f aca="false">IF($L201="","",INDEX('Price List'!$F$2:$F$1352,$L201)&amp;"")</f>
        <v>130 (160#)</v>
      </c>
      <c r="G201" s="10" t="str">
        <f aca="false">IF($L201="","",INDEX('Price List'!$G$2:$G$1352,$L201)&amp;"")</f>
        <v>36 x 48</v>
      </c>
      <c r="H201" s="10" t="str">
        <f aca="false">IF($L201="","",INDEX('Price List'!$H$2:$H$1352,$L201)&amp;"")</f>
        <v>sheet</v>
      </c>
      <c r="I201" s="12" t="n">
        <f aca="false">IF($L201="","",IF(INDEX('Price List'!$I$2:$I$1352,$L201)="","",INDEX('Price List'!$I$2:$I$1352,$L201)))</f>
        <v>11.6</v>
      </c>
      <c r="J201" s="11" t="str">
        <f aca="false">IF($L201="","",INDEX('Price List'!$J$2:$J$1352,$L201)&amp;"")</f>
        <v/>
      </c>
      <c r="K201" s="10" t="str">
        <f aca="false">IF($L201="","",INDEX('Price List'!$K$2:$K$1352,$L201)&amp;"")</f>
        <v>Nov 7, 2023</v>
      </c>
      <c r="L201" s="13" t="n">
        <f aca="false">IF(191&gt;$H$4,"",MATCH(191,'Price List'!$M$2:$M$1352,0))</f>
        <v>191</v>
      </c>
    </row>
    <row r="202" customFormat="false" ht="15" hidden="false" customHeight="false" outlineLevel="0" collapsed="false">
      <c r="A202" s="9" t="n">
        <v>192</v>
      </c>
      <c r="B202" s="10" t="str">
        <f aca="false">IF($L202="","",INDEX('Price List'!$B$2:$B$1352,$L202)&amp;"")</f>
        <v>NAPPCO (Nov 7, 2023 list)</v>
      </c>
      <c r="C202" s="10" t="str">
        <f aca="false">IF($L202="","",INDEX('Price List'!$C$2:$C$1352,$L202)&amp;"")</f>
        <v>Kraft Paper</v>
      </c>
      <c r="D202" s="11" t="str">
        <f aca="false">IF($L202="","",INDEX('Price List'!$D$2:$D$1352,$L202)&amp;"")</f>
        <v>Kraft Paper - Bleach</v>
      </c>
      <c r="E202" s="11" t="str">
        <f aca="false">IF($L202="","",INDEX('Price List'!$E$2:$E$1352,$L202)&amp;"")</f>
        <v/>
      </c>
      <c r="F202" s="10" t="str">
        <f aca="false">IF($L202="","",INDEX('Price List'!$F$2:$F$1352,$L202)&amp;"")</f>
        <v>130 (160#)</v>
      </c>
      <c r="G202" s="10" t="str">
        <f aca="false">IF($L202="","",INDEX('Price List'!$G$2:$G$1352,$L202)&amp;"")</f>
        <v>36 x 48</v>
      </c>
      <c r="H202" s="10" t="str">
        <f aca="false">IF($L202="","",INDEX('Price List'!$H$2:$H$1352,$L202)&amp;"")</f>
        <v>sheet</v>
      </c>
      <c r="I202" s="12" t="n">
        <f aca="false">IF($L202="","",IF(INDEX('Price List'!$I$2:$I$1352,$L202)="","",INDEX('Price List'!$I$2:$I$1352,$L202)))</f>
        <v>12.2</v>
      </c>
      <c r="J202" s="11" t="str">
        <f aca="false">IF($L202="","",INDEX('Price List'!$J$2:$J$1352,$L202)&amp;"")</f>
        <v/>
      </c>
      <c r="K202" s="10" t="str">
        <f aca="false">IF($L202="","",INDEX('Price List'!$K$2:$K$1352,$L202)&amp;"")</f>
        <v>Nov 7, 2023</v>
      </c>
      <c r="L202" s="13" t="n">
        <f aca="false">IF(192&gt;$H$4,"",MATCH(192,'Price List'!$M$2:$M$1352,0))</f>
        <v>192</v>
      </c>
    </row>
    <row r="203" customFormat="false" ht="15" hidden="false" customHeight="false" outlineLevel="0" collapsed="false">
      <c r="A203" s="9" t="n">
        <v>193</v>
      </c>
      <c r="B203" s="10" t="str">
        <f aca="false">IF($L203="","",INDEX('Price List'!$B$2:$B$1352,$L203)&amp;"")</f>
        <v>NAPPCO (Nov 7, 2023 list)</v>
      </c>
      <c r="C203" s="10" t="str">
        <f aca="false">IF($L203="","",INDEX('Price List'!$C$2:$C$1352,$L203)&amp;"")</f>
        <v>Kraft Paper</v>
      </c>
      <c r="D203" s="11" t="str">
        <f aca="false">IF($L203="","",INDEX('Price List'!$D$2:$D$1352,$L203)&amp;"")</f>
        <v>Kraft Paper - Imported</v>
      </c>
      <c r="E203" s="11" t="str">
        <f aca="false">IF($L203="","",INDEX('Price List'!$E$2:$E$1352,$L203)&amp;"")</f>
        <v/>
      </c>
      <c r="F203" s="10" t="str">
        <f aca="false">IF($L203="","",INDEX('Price List'!$F$2:$F$1352,$L203)&amp;"")</f>
        <v>135 (165#)</v>
      </c>
      <c r="G203" s="10" t="str">
        <f aca="false">IF($L203="","",INDEX('Price List'!$G$2:$G$1352,$L203)&amp;"")</f>
        <v>36 x 48</v>
      </c>
      <c r="H203" s="10" t="str">
        <f aca="false">IF($L203="","",INDEX('Price List'!$H$2:$H$1352,$L203)&amp;"")</f>
        <v>sheet</v>
      </c>
      <c r="I203" s="12" t="n">
        <f aca="false">IF($L203="","",IF(INDEX('Price List'!$I$2:$I$1352,$L203)="","",INDEX('Price List'!$I$2:$I$1352,$L203)))</f>
        <v>12</v>
      </c>
      <c r="J203" s="11" t="str">
        <f aca="false">IF($L203="","",INDEX('Price List'!$J$2:$J$1352,$L203)&amp;"")</f>
        <v/>
      </c>
      <c r="K203" s="10" t="str">
        <f aca="false">IF($L203="","",INDEX('Price List'!$K$2:$K$1352,$L203)&amp;"")</f>
        <v>Nov 7, 2023</v>
      </c>
      <c r="L203" s="13" t="n">
        <f aca="false">IF(193&gt;$H$4,"",MATCH(193,'Price List'!$M$2:$M$1352,0))</f>
        <v>193</v>
      </c>
    </row>
    <row r="204" customFormat="false" ht="15" hidden="false" customHeight="false" outlineLevel="0" collapsed="false">
      <c r="A204" s="9" t="n">
        <v>194</v>
      </c>
      <c r="B204" s="10" t="str">
        <f aca="false">IF($L204="","",INDEX('Price List'!$B$2:$B$1352,$L204)&amp;"")</f>
        <v>NAPPCO (Nov 7, 2023 list)</v>
      </c>
      <c r="C204" s="10" t="str">
        <f aca="false">IF($L204="","",INDEX('Price List'!$C$2:$C$1352,$L204)&amp;"")</f>
        <v>Kraft Paper</v>
      </c>
      <c r="D204" s="11" t="str">
        <f aca="false">IF($L204="","",INDEX('Price List'!$D$2:$D$1352,$L204)&amp;"")</f>
        <v>Kraft Paper - Bleach</v>
      </c>
      <c r="E204" s="11" t="str">
        <f aca="false">IF($L204="","",INDEX('Price List'!$E$2:$E$1352,$L204)&amp;"")</f>
        <v/>
      </c>
      <c r="F204" s="10" t="str">
        <f aca="false">IF($L204="","",INDEX('Price List'!$F$2:$F$1352,$L204)&amp;"")</f>
        <v>135 (165#)</v>
      </c>
      <c r="G204" s="10" t="str">
        <f aca="false">IF($L204="","",INDEX('Price List'!$G$2:$G$1352,$L204)&amp;"")</f>
        <v>36 x 48</v>
      </c>
      <c r="H204" s="10" t="str">
        <f aca="false">IF($L204="","",INDEX('Price List'!$H$2:$H$1352,$L204)&amp;"")</f>
        <v>sheet</v>
      </c>
      <c r="I204" s="12" t="n">
        <f aca="false">IF($L204="","",IF(INDEX('Price List'!$I$2:$I$1352,$L204)="","",INDEX('Price List'!$I$2:$I$1352,$L204)))</f>
        <v>12.7</v>
      </c>
      <c r="J204" s="11" t="str">
        <f aca="false">IF($L204="","",INDEX('Price List'!$J$2:$J$1352,$L204)&amp;"")</f>
        <v/>
      </c>
      <c r="K204" s="10" t="str">
        <f aca="false">IF($L204="","",INDEX('Price List'!$K$2:$K$1352,$L204)&amp;"")</f>
        <v>Nov 7, 2023</v>
      </c>
      <c r="L204" s="13" t="n">
        <f aca="false">IF(194&gt;$H$4,"",MATCH(194,'Price List'!$M$2:$M$1352,0))</f>
        <v>194</v>
      </c>
    </row>
    <row r="205" customFormat="false" ht="15" hidden="false" customHeight="false" outlineLevel="0" collapsed="false">
      <c r="A205" s="9" t="n">
        <v>195</v>
      </c>
      <c r="B205" s="10" t="str">
        <f aca="false">IF($L205="","",INDEX('Price List'!$B$2:$B$1352,$L205)&amp;"")</f>
        <v>NAPPCO (Nov 7, 2023 list)</v>
      </c>
      <c r="C205" s="10" t="str">
        <f aca="false">IF($L205="","",INDEX('Price List'!$C$2:$C$1352,$L205)&amp;"")</f>
        <v>Kraft Paper</v>
      </c>
      <c r="D205" s="11" t="str">
        <f aca="false">IF($L205="","",INDEX('Price List'!$D$2:$D$1352,$L205)&amp;"")</f>
        <v>Kraft Paper - Local</v>
      </c>
      <c r="E205" s="11" t="str">
        <f aca="false">IF($L205="","",INDEX('Price List'!$E$2:$E$1352,$L205)&amp;"")</f>
        <v/>
      </c>
      <c r="F205" s="10" t="str">
        <f aca="false">IF($L205="","",INDEX('Price List'!$F$2:$F$1352,$L205)&amp;"")</f>
        <v>140 (175#)</v>
      </c>
      <c r="G205" s="10" t="str">
        <f aca="false">IF($L205="","",INDEX('Price List'!$G$2:$G$1352,$L205)&amp;"")</f>
        <v>36 x 48</v>
      </c>
      <c r="H205" s="10" t="str">
        <f aca="false">IF($L205="","",INDEX('Price List'!$H$2:$H$1352,$L205)&amp;"")</f>
        <v>sheet</v>
      </c>
      <c r="I205" s="12" t="n">
        <f aca="false">IF($L205="","",IF(INDEX('Price List'!$I$2:$I$1352,$L205)="","",INDEX('Price List'!$I$2:$I$1352,$L205)))</f>
        <v>7.4</v>
      </c>
      <c r="J205" s="11" t="str">
        <f aca="false">IF($L205="","",INDEX('Price List'!$J$2:$J$1352,$L205)&amp;"")</f>
        <v/>
      </c>
      <c r="K205" s="10" t="str">
        <f aca="false">IF($L205="","",INDEX('Price List'!$K$2:$K$1352,$L205)&amp;"")</f>
        <v>Nov 7, 2023</v>
      </c>
      <c r="L205" s="13" t="n">
        <f aca="false">IF(195&gt;$H$4,"",MATCH(195,'Price List'!$M$2:$M$1352,0))</f>
        <v>195</v>
      </c>
    </row>
    <row r="206" customFormat="false" ht="15" hidden="false" customHeight="false" outlineLevel="0" collapsed="false">
      <c r="A206" s="9" t="n">
        <v>196</v>
      </c>
      <c r="B206" s="10" t="str">
        <f aca="false">IF($L206="","",INDEX('Price List'!$B$2:$B$1352,$L206)&amp;"")</f>
        <v>NAPPCO (Nov 7, 2023 list)</v>
      </c>
      <c r="C206" s="10" t="str">
        <f aca="false">IF($L206="","",INDEX('Price List'!$C$2:$C$1352,$L206)&amp;"")</f>
        <v>Kraft Paper</v>
      </c>
      <c r="D206" s="11" t="str">
        <f aca="false">IF($L206="","",INDEX('Price List'!$D$2:$D$1352,$L206)&amp;"")</f>
        <v>Kraft Paper - Imported</v>
      </c>
      <c r="E206" s="11" t="str">
        <f aca="false">IF($L206="","",INDEX('Price List'!$E$2:$E$1352,$L206)&amp;"")</f>
        <v/>
      </c>
      <c r="F206" s="10" t="str">
        <f aca="false">IF($L206="","",INDEX('Price List'!$F$2:$F$1352,$L206)&amp;"")</f>
        <v>140 (175#)</v>
      </c>
      <c r="G206" s="10" t="str">
        <f aca="false">IF($L206="","",INDEX('Price List'!$G$2:$G$1352,$L206)&amp;"")</f>
        <v>36 x 48</v>
      </c>
      <c r="H206" s="10" t="str">
        <f aca="false">IF($L206="","",INDEX('Price List'!$H$2:$H$1352,$L206)&amp;"")</f>
        <v>sheet</v>
      </c>
      <c r="I206" s="12" t="n">
        <f aca="false">IF($L206="","",IF(INDEX('Price List'!$I$2:$I$1352,$L206)="","",INDEX('Price List'!$I$2:$I$1352,$L206)))</f>
        <v>12.5</v>
      </c>
      <c r="J206" s="11" t="str">
        <f aca="false">IF($L206="","",INDEX('Price List'!$J$2:$J$1352,$L206)&amp;"")</f>
        <v/>
      </c>
      <c r="K206" s="10" t="str">
        <f aca="false">IF($L206="","",INDEX('Price List'!$K$2:$K$1352,$L206)&amp;"")</f>
        <v>Nov 7, 2023</v>
      </c>
      <c r="L206" s="13" t="n">
        <f aca="false">IF(196&gt;$H$4,"",MATCH(196,'Price List'!$M$2:$M$1352,0))</f>
        <v>196</v>
      </c>
    </row>
    <row r="207" customFormat="false" ht="15" hidden="false" customHeight="false" outlineLevel="0" collapsed="false">
      <c r="A207" s="9" t="n">
        <v>197</v>
      </c>
      <c r="B207" s="10" t="str">
        <f aca="false">IF($L207="","",INDEX('Price List'!$B$2:$B$1352,$L207)&amp;"")</f>
        <v>NAPPCO (Nov 7, 2023 list)</v>
      </c>
      <c r="C207" s="10" t="str">
        <f aca="false">IF($L207="","",INDEX('Price List'!$C$2:$C$1352,$L207)&amp;"")</f>
        <v>Kraft Paper</v>
      </c>
      <c r="D207" s="11" t="str">
        <f aca="false">IF($L207="","",INDEX('Price List'!$D$2:$D$1352,$L207)&amp;"")</f>
        <v>Kraft Paper - Bleach</v>
      </c>
      <c r="E207" s="11" t="str">
        <f aca="false">IF($L207="","",INDEX('Price List'!$E$2:$E$1352,$L207)&amp;"")</f>
        <v/>
      </c>
      <c r="F207" s="10" t="str">
        <f aca="false">IF($L207="","",INDEX('Price List'!$F$2:$F$1352,$L207)&amp;"")</f>
        <v>140 (175#)</v>
      </c>
      <c r="G207" s="10" t="str">
        <f aca="false">IF($L207="","",INDEX('Price List'!$G$2:$G$1352,$L207)&amp;"")</f>
        <v>36 x 48</v>
      </c>
      <c r="H207" s="10" t="str">
        <f aca="false">IF($L207="","",INDEX('Price List'!$H$2:$H$1352,$L207)&amp;"")</f>
        <v>sheet</v>
      </c>
      <c r="I207" s="12" t="n">
        <f aca="false">IF($L207="","",IF(INDEX('Price List'!$I$2:$I$1352,$L207)="","",INDEX('Price List'!$I$2:$I$1352,$L207)))</f>
        <v>13.2</v>
      </c>
      <c r="J207" s="11" t="str">
        <f aca="false">IF($L207="","",INDEX('Price List'!$J$2:$J$1352,$L207)&amp;"")</f>
        <v/>
      </c>
      <c r="K207" s="10" t="str">
        <f aca="false">IF($L207="","",INDEX('Price List'!$K$2:$K$1352,$L207)&amp;"")</f>
        <v>Nov 7, 2023</v>
      </c>
      <c r="L207" s="13" t="n">
        <f aca="false">IF(197&gt;$H$4,"",MATCH(197,'Price List'!$M$2:$M$1352,0))</f>
        <v>197</v>
      </c>
    </row>
    <row r="208" customFormat="false" ht="15" hidden="false" customHeight="false" outlineLevel="0" collapsed="false">
      <c r="A208" s="9" t="n">
        <v>198</v>
      </c>
      <c r="B208" s="10" t="str">
        <f aca="false">IF($L208="","",INDEX('Price List'!$B$2:$B$1352,$L208)&amp;"")</f>
        <v>NAPPCO (Nov 7, 2023 list)</v>
      </c>
      <c r="C208" s="10" t="str">
        <f aca="false">IF($L208="","",INDEX('Price List'!$C$2:$C$1352,$L208)&amp;"")</f>
        <v>Kraft Paper</v>
      </c>
      <c r="D208" s="11" t="str">
        <f aca="false">IF($L208="","",INDEX('Price List'!$D$2:$D$1352,$L208)&amp;"")</f>
        <v>Kraft Paper - Kraft Top</v>
      </c>
      <c r="E208" s="11" t="str">
        <f aca="false">IF($L208="","",INDEX('Price List'!$E$2:$E$1352,$L208)&amp;"")</f>
        <v/>
      </c>
      <c r="F208" s="10" t="str">
        <f aca="false">IF($L208="","",INDEX('Price List'!$F$2:$F$1352,$L208)&amp;"")</f>
        <v>140 (175#)</v>
      </c>
      <c r="G208" s="10" t="str">
        <f aca="false">IF($L208="","",INDEX('Price List'!$G$2:$G$1352,$L208)&amp;"")</f>
        <v>36 x 48</v>
      </c>
      <c r="H208" s="10" t="str">
        <f aca="false">IF($L208="","",INDEX('Price List'!$H$2:$H$1352,$L208)&amp;"")</f>
        <v>sheet</v>
      </c>
      <c r="I208" s="12" t="n">
        <f aca="false">IF($L208="","",IF(INDEX('Price List'!$I$2:$I$1352,$L208)="","",INDEX('Price List'!$I$2:$I$1352,$L208)))</f>
        <v>9.3</v>
      </c>
      <c r="J208" s="11" t="str">
        <f aca="false">IF($L208="","",INDEX('Price List'!$J$2:$J$1352,$L208)&amp;"")</f>
        <v/>
      </c>
      <c r="K208" s="10" t="str">
        <f aca="false">IF($L208="","",INDEX('Price List'!$K$2:$K$1352,$L208)&amp;"")</f>
        <v>Nov 7, 2023</v>
      </c>
      <c r="L208" s="13" t="n">
        <f aca="false">IF(198&gt;$H$4,"",MATCH(198,'Price List'!$M$2:$M$1352,0))</f>
        <v>198</v>
      </c>
    </row>
    <row r="209" customFormat="false" ht="15" hidden="false" customHeight="false" outlineLevel="0" collapsed="false">
      <c r="A209" s="9" t="n">
        <v>199</v>
      </c>
      <c r="B209" s="10" t="str">
        <f aca="false">IF($L209="","",INDEX('Price List'!$B$2:$B$1352,$L209)&amp;"")</f>
        <v>NAPPCO (Nov 7, 2023 list)</v>
      </c>
      <c r="C209" s="10" t="str">
        <f aca="false">IF($L209="","",INDEX('Price List'!$C$2:$C$1352,$L209)&amp;"")</f>
        <v>Kraft Paper</v>
      </c>
      <c r="D209" s="11" t="str">
        <f aca="false">IF($L209="","",INDEX('Price List'!$D$2:$D$1352,$L209)&amp;"")</f>
        <v>Kraft Paper - Local</v>
      </c>
      <c r="E209" s="11" t="str">
        <f aca="false">IF($L209="","",INDEX('Price List'!$E$2:$E$1352,$L209)&amp;"")</f>
        <v/>
      </c>
      <c r="F209" s="10" t="str">
        <f aca="false">IF($L209="","",INDEX('Price List'!$F$2:$F$1352,$L209)&amp;"")</f>
        <v>150 (185#)</v>
      </c>
      <c r="G209" s="10" t="str">
        <f aca="false">IF($L209="","",INDEX('Price List'!$G$2:$G$1352,$L209)&amp;"")</f>
        <v>36 x 48</v>
      </c>
      <c r="H209" s="10" t="str">
        <f aca="false">IF($L209="","",INDEX('Price List'!$H$2:$H$1352,$L209)&amp;"")</f>
        <v>sheet</v>
      </c>
      <c r="I209" s="12" t="n">
        <f aca="false">IF($L209="","",IF(INDEX('Price List'!$I$2:$I$1352,$L209)="","",INDEX('Price List'!$I$2:$I$1352,$L209)))</f>
        <v>7.9</v>
      </c>
      <c r="J209" s="11" t="str">
        <f aca="false">IF($L209="","",INDEX('Price List'!$J$2:$J$1352,$L209)&amp;"")</f>
        <v/>
      </c>
      <c r="K209" s="10" t="str">
        <f aca="false">IF($L209="","",INDEX('Price List'!$K$2:$K$1352,$L209)&amp;"")</f>
        <v>Nov 7, 2023</v>
      </c>
      <c r="L209" s="13" t="n">
        <f aca="false">IF(199&gt;$H$4,"",MATCH(199,'Price List'!$M$2:$M$1352,0))</f>
        <v>199</v>
      </c>
    </row>
    <row r="210" customFormat="false" ht="15" hidden="false" customHeight="false" outlineLevel="0" collapsed="false">
      <c r="A210" s="9" t="n">
        <v>200</v>
      </c>
      <c r="B210" s="10" t="str">
        <f aca="false">IF($L210="","",INDEX('Price List'!$B$2:$B$1352,$L210)&amp;"")</f>
        <v>NAPPCO (Nov 7, 2023 list)</v>
      </c>
      <c r="C210" s="10" t="str">
        <f aca="false">IF($L210="","",INDEX('Price List'!$C$2:$C$1352,$L210)&amp;"")</f>
        <v>Kraft Paper</v>
      </c>
      <c r="D210" s="11" t="str">
        <f aca="false">IF($L210="","",INDEX('Price List'!$D$2:$D$1352,$L210)&amp;"")</f>
        <v>Kraft Paper - Imported</v>
      </c>
      <c r="E210" s="11" t="str">
        <f aca="false">IF($L210="","",INDEX('Price List'!$E$2:$E$1352,$L210)&amp;"")</f>
        <v/>
      </c>
      <c r="F210" s="10" t="str">
        <f aca="false">IF($L210="","",INDEX('Price List'!$F$2:$F$1352,$L210)&amp;"")</f>
        <v>150 (185#)</v>
      </c>
      <c r="G210" s="10" t="str">
        <f aca="false">IF($L210="","",INDEX('Price List'!$G$2:$G$1352,$L210)&amp;"")</f>
        <v>36 x 48</v>
      </c>
      <c r="H210" s="10" t="str">
        <f aca="false">IF($L210="","",INDEX('Price List'!$H$2:$H$1352,$L210)&amp;"")</f>
        <v>sheet</v>
      </c>
      <c r="I210" s="12" t="n">
        <f aca="false">IF($L210="","",IF(INDEX('Price List'!$I$2:$I$1352,$L210)="","",INDEX('Price List'!$I$2:$I$1352,$L210)))</f>
        <v>13.4</v>
      </c>
      <c r="J210" s="11" t="str">
        <f aca="false">IF($L210="","",INDEX('Price List'!$J$2:$J$1352,$L210)&amp;"")</f>
        <v/>
      </c>
      <c r="K210" s="10" t="str">
        <f aca="false">IF($L210="","",INDEX('Price List'!$K$2:$K$1352,$L210)&amp;"")</f>
        <v>Nov 7, 2023</v>
      </c>
      <c r="L210" s="13" t="n">
        <f aca="false">IF(200&gt;$H$4,"",MATCH(200,'Price List'!$M$2:$M$1352,0))</f>
        <v>200</v>
      </c>
    </row>
    <row r="211" customFormat="false" ht="15" hidden="false" customHeight="false" outlineLevel="0" collapsed="false">
      <c r="A211" s="9" t="n">
        <v>201</v>
      </c>
      <c r="B211" s="10" t="str">
        <f aca="false">IF($L211="","",INDEX('Price List'!$B$2:$B$1352,$L211)&amp;"")</f>
        <v>NAPPCO (Nov 7, 2023 list)</v>
      </c>
      <c r="C211" s="10" t="str">
        <f aca="false">IF($L211="","",INDEX('Price List'!$C$2:$C$1352,$L211)&amp;"")</f>
        <v>Kraft Paper</v>
      </c>
      <c r="D211" s="11" t="str">
        <f aca="false">IF($L211="","",INDEX('Price List'!$D$2:$D$1352,$L211)&amp;"")</f>
        <v>Kraft Paper - Imported</v>
      </c>
      <c r="E211" s="11" t="str">
        <f aca="false">IF($L211="","",INDEX('Price List'!$E$2:$E$1352,$L211)&amp;"")</f>
        <v/>
      </c>
      <c r="F211" s="10" t="str">
        <f aca="false">IF($L211="","",INDEX('Price List'!$F$2:$F$1352,$L211)&amp;"")</f>
        <v>155 (190#)</v>
      </c>
      <c r="G211" s="10" t="str">
        <f aca="false">IF($L211="","",INDEX('Price List'!$G$2:$G$1352,$L211)&amp;"")</f>
        <v>36 x 48</v>
      </c>
      <c r="H211" s="10" t="str">
        <f aca="false">IF($L211="","",INDEX('Price List'!$H$2:$H$1352,$L211)&amp;"")</f>
        <v>sheet</v>
      </c>
      <c r="I211" s="12" t="n">
        <f aca="false">IF($L211="","",IF(INDEX('Price List'!$I$2:$I$1352,$L211)="","",INDEX('Price List'!$I$2:$I$1352,$L211)))</f>
        <v>13.8</v>
      </c>
      <c r="J211" s="11" t="str">
        <f aca="false">IF($L211="","",INDEX('Price List'!$J$2:$J$1352,$L211)&amp;"")</f>
        <v/>
      </c>
      <c r="K211" s="10" t="str">
        <f aca="false">IF($L211="","",INDEX('Price List'!$K$2:$K$1352,$L211)&amp;"")</f>
        <v>Nov 7, 2023</v>
      </c>
      <c r="L211" s="13" t="n">
        <f aca="false">IF(201&gt;$H$4,"",MATCH(201,'Price List'!$M$2:$M$1352,0))</f>
        <v>201</v>
      </c>
    </row>
    <row r="212" customFormat="false" ht="15" hidden="false" customHeight="false" outlineLevel="0" collapsed="false">
      <c r="A212" s="9" t="n">
        <v>202</v>
      </c>
      <c r="B212" s="10" t="str">
        <f aca="false">IF($L212="","",INDEX('Price List'!$B$2:$B$1352,$L212)&amp;"")</f>
        <v>NAPPCO (Nov 7, 2023 list)</v>
      </c>
      <c r="C212" s="10" t="str">
        <f aca="false">IF($L212="","",INDEX('Price List'!$C$2:$C$1352,$L212)&amp;"")</f>
        <v>Kraft Paper</v>
      </c>
      <c r="D212" s="11" t="str">
        <f aca="false">IF($L212="","",INDEX('Price List'!$D$2:$D$1352,$L212)&amp;"")</f>
        <v>Kraft Paper - Imported</v>
      </c>
      <c r="E212" s="11" t="str">
        <f aca="false">IF($L212="","",INDEX('Price List'!$E$2:$E$1352,$L212)&amp;"")</f>
        <v/>
      </c>
      <c r="F212" s="10" t="str">
        <f aca="false">IF($L212="","",INDEX('Price List'!$F$2:$F$1352,$L212)&amp;"")</f>
        <v>160 (195#)</v>
      </c>
      <c r="G212" s="10" t="str">
        <f aca="false">IF($L212="","",INDEX('Price List'!$G$2:$G$1352,$L212)&amp;"")</f>
        <v>36 x 48</v>
      </c>
      <c r="H212" s="10" t="str">
        <f aca="false">IF($L212="","",INDEX('Price List'!$H$2:$H$1352,$L212)&amp;"")</f>
        <v>sheet</v>
      </c>
      <c r="I212" s="12" t="n">
        <f aca="false">IF($L212="","",IF(INDEX('Price List'!$I$2:$I$1352,$L212)="","",INDEX('Price List'!$I$2:$I$1352,$L212)))</f>
        <v>14.3</v>
      </c>
      <c r="J212" s="11" t="str">
        <f aca="false">IF($L212="","",INDEX('Price List'!$J$2:$J$1352,$L212)&amp;"")</f>
        <v/>
      </c>
      <c r="K212" s="10" t="str">
        <f aca="false">IF($L212="","",INDEX('Price List'!$K$2:$K$1352,$L212)&amp;"")</f>
        <v>Nov 7, 2023</v>
      </c>
      <c r="L212" s="13" t="n">
        <f aca="false">IF(202&gt;$H$4,"",MATCH(202,'Price List'!$M$2:$M$1352,0))</f>
        <v>202</v>
      </c>
    </row>
    <row r="213" customFormat="false" ht="15" hidden="false" customHeight="false" outlineLevel="0" collapsed="false">
      <c r="A213" s="9" t="n">
        <v>203</v>
      </c>
      <c r="B213" s="10" t="str">
        <f aca="false">IF($L213="","",INDEX('Price List'!$B$2:$B$1352,$L213)&amp;"")</f>
        <v>NAPPCO (Nov 7, 2023 list)</v>
      </c>
      <c r="C213" s="10" t="str">
        <f aca="false">IF($L213="","",INDEX('Price List'!$C$2:$C$1352,$L213)&amp;"")</f>
        <v>Kraft Paper</v>
      </c>
      <c r="D213" s="11" t="str">
        <f aca="false">IF($L213="","",INDEX('Price List'!$D$2:$D$1352,$L213)&amp;"")</f>
        <v>Kraft Paper - Local</v>
      </c>
      <c r="E213" s="11" t="str">
        <f aca="false">IF($L213="","",INDEX('Price List'!$E$2:$E$1352,$L213)&amp;"")</f>
        <v/>
      </c>
      <c r="F213" s="10" t="str">
        <f aca="false">IF($L213="","",INDEX('Price List'!$F$2:$F$1352,$L213)&amp;"")</f>
        <v>170 (210#)</v>
      </c>
      <c r="G213" s="10" t="str">
        <f aca="false">IF($L213="","",INDEX('Price List'!$G$2:$G$1352,$L213)&amp;"")</f>
        <v>36 x 48</v>
      </c>
      <c r="H213" s="10" t="str">
        <f aca="false">IF($L213="","",INDEX('Price List'!$H$2:$H$1352,$L213)&amp;"")</f>
        <v>sheet</v>
      </c>
      <c r="I213" s="12" t="n">
        <f aca="false">IF($L213="","",IF(INDEX('Price List'!$I$2:$I$1352,$L213)="","",INDEX('Price List'!$I$2:$I$1352,$L213)))</f>
        <v>8.9</v>
      </c>
      <c r="J213" s="11" t="str">
        <f aca="false">IF($L213="","",INDEX('Price List'!$J$2:$J$1352,$L213)&amp;"")</f>
        <v/>
      </c>
      <c r="K213" s="10" t="str">
        <f aca="false">IF($L213="","",INDEX('Price List'!$K$2:$K$1352,$L213)&amp;"")</f>
        <v>Nov 7, 2023</v>
      </c>
      <c r="L213" s="13" t="n">
        <f aca="false">IF(203&gt;$H$4,"",MATCH(203,'Price List'!$M$2:$M$1352,0))</f>
        <v>203</v>
      </c>
    </row>
    <row r="214" customFormat="false" ht="15" hidden="false" customHeight="false" outlineLevel="0" collapsed="false">
      <c r="A214" s="9" t="n">
        <v>204</v>
      </c>
      <c r="B214" s="10" t="str">
        <f aca="false">IF($L214="","",INDEX('Price List'!$B$2:$B$1352,$L214)&amp;"")</f>
        <v>NAPPCO (Nov 7, 2023 list)</v>
      </c>
      <c r="C214" s="10" t="str">
        <f aca="false">IF($L214="","",INDEX('Price List'!$C$2:$C$1352,$L214)&amp;"")</f>
        <v>Kraft Paper</v>
      </c>
      <c r="D214" s="11" t="str">
        <f aca="false">IF($L214="","",INDEX('Price List'!$D$2:$D$1352,$L214)&amp;"")</f>
        <v>Kraft Paper - Imported</v>
      </c>
      <c r="E214" s="11" t="str">
        <f aca="false">IF($L214="","",INDEX('Price List'!$E$2:$E$1352,$L214)&amp;"")</f>
        <v/>
      </c>
      <c r="F214" s="10" t="str">
        <f aca="false">IF($L214="","",INDEX('Price List'!$F$2:$F$1352,$L214)&amp;"")</f>
        <v>170 (210#)</v>
      </c>
      <c r="G214" s="10" t="str">
        <f aca="false">IF($L214="","",INDEX('Price List'!$G$2:$G$1352,$L214)&amp;"")</f>
        <v>36 x 48</v>
      </c>
      <c r="H214" s="10" t="str">
        <f aca="false">IF($L214="","",INDEX('Price List'!$H$2:$H$1352,$L214)&amp;"")</f>
        <v>sheet</v>
      </c>
      <c r="I214" s="12" t="n">
        <f aca="false">IF($L214="","",IF(INDEX('Price List'!$I$2:$I$1352,$L214)="","",INDEX('Price List'!$I$2:$I$1352,$L214)))</f>
        <v>15.2</v>
      </c>
      <c r="J214" s="11" t="str">
        <f aca="false">IF($L214="","",INDEX('Price List'!$J$2:$J$1352,$L214)&amp;"")</f>
        <v/>
      </c>
      <c r="K214" s="10" t="str">
        <f aca="false">IF($L214="","",INDEX('Price List'!$K$2:$K$1352,$L214)&amp;"")</f>
        <v>Nov 7, 2023</v>
      </c>
      <c r="L214" s="13" t="n">
        <f aca="false">IF(204&gt;$H$4,"",MATCH(204,'Price List'!$M$2:$M$1352,0))</f>
        <v>204</v>
      </c>
    </row>
    <row r="215" customFormat="false" ht="15" hidden="false" customHeight="false" outlineLevel="0" collapsed="false">
      <c r="A215" s="9" t="n">
        <v>205</v>
      </c>
      <c r="B215" s="10" t="str">
        <f aca="false">IF($L215="","",INDEX('Price List'!$B$2:$B$1352,$L215)&amp;"")</f>
        <v>NAPPCO (Nov 7, 2023 list)</v>
      </c>
      <c r="C215" s="10" t="str">
        <f aca="false">IF($L215="","",INDEX('Price List'!$C$2:$C$1352,$L215)&amp;"")</f>
        <v>Kraft Paper</v>
      </c>
      <c r="D215" s="11" t="str">
        <f aca="false">IF($L215="","",INDEX('Price List'!$D$2:$D$1352,$L215)&amp;"")</f>
        <v>Kraft Paper - Imported</v>
      </c>
      <c r="E215" s="11" t="str">
        <f aca="false">IF($L215="","",INDEX('Price List'!$E$2:$E$1352,$L215)&amp;"")</f>
        <v/>
      </c>
      <c r="F215" s="10" t="str">
        <f aca="false">IF($L215="","",INDEX('Price List'!$F$2:$F$1352,$L215)&amp;"")</f>
        <v>175 (215#)</v>
      </c>
      <c r="G215" s="10" t="str">
        <f aca="false">IF($L215="","",INDEX('Price List'!$G$2:$G$1352,$L215)&amp;"")</f>
        <v>36 x 48</v>
      </c>
      <c r="H215" s="10" t="str">
        <f aca="false">IF($L215="","",INDEX('Price List'!$H$2:$H$1352,$L215)&amp;"")</f>
        <v>sheet</v>
      </c>
      <c r="I215" s="12" t="n">
        <f aca="false">IF($L215="","",IF(INDEX('Price List'!$I$2:$I$1352,$L215)="","",INDEX('Price List'!$I$2:$I$1352,$L215)))</f>
        <v>15.6</v>
      </c>
      <c r="J215" s="11" t="str">
        <f aca="false">IF($L215="","",INDEX('Price List'!$J$2:$J$1352,$L215)&amp;"")</f>
        <v/>
      </c>
      <c r="K215" s="10" t="str">
        <f aca="false">IF($L215="","",INDEX('Price List'!$K$2:$K$1352,$L215)&amp;"")</f>
        <v>Nov 7, 2023</v>
      </c>
      <c r="L215" s="13" t="n">
        <f aca="false">IF(205&gt;$H$4,"",MATCH(205,'Price List'!$M$2:$M$1352,0))</f>
        <v>205</v>
      </c>
    </row>
    <row r="216" customFormat="false" ht="15" hidden="false" customHeight="false" outlineLevel="0" collapsed="false">
      <c r="A216" s="9" t="n">
        <v>206</v>
      </c>
      <c r="B216" s="10" t="str">
        <f aca="false">IF($L216="","",INDEX('Price List'!$B$2:$B$1352,$L216)&amp;"")</f>
        <v>NAPPCO (Nov 7, 2023 list)</v>
      </c>
      <c r="C216" s="10" t="str">
        <f aca="false">IF($L216="","",INDEX('Price List'!$C$2:$C$1352,$L216)&amp;"")</f>
        <v>Kraft Paper</v>
      </c>
      <c r="D216" s="11" t="str">
        <f aca="false">IF($L216="","",INDEX('Price List'!$D$2:$D$1352,$L216)&amp;"")</f>
        <v>Kraft Paper - Local</v>
      </c>
      <c r="E216" s="11" t="str">
        <f aca="false">IF($L216="","",INDEX('Price List'!$E$2:$E$1352,$L216)&amp;"")</f>
        <v/>
      </c>
      <c r="F216" s="10" t="str">
        <f aca="false">IF($L216="","",INDEX('Price List'!$F$2:$F$1352,$L216)&amp;"")</f>
        <v>200 (245#)</v>
      </c>
      <c r="G216" s="10" t="str">
        <f aca="false">IF($L216="","",INDEX('Price List'!$G$2:$G$1352,$L216)&amp;"")</f>
        <v>36 x 48</v>
      </c>
      <c r="H216" s="10" t="str">
        <f aca="false">IF($L216="","",INDEX('Price List'!$H$2:$H$1352,$L216)&amp;"")</f>
        <v>sheet</v>
      </c>
      <c r="I216" s="12" t="n">
        <f aca="false">IF($L216="","",IF(INDEX('Price List'!$I$2:$I$1352,$L216)="","",INDEX('Price List'!$I$2:$I$1352,$L216)))</f>
        <v>10.5</v>
      </c>
      <c r="J216" s="11" t="str">
        <f aca="false">IF($L216="","",INDEX('Price List'!$J$2:$J$1352,$L216)&amp;"")</f>
        <v/>
      </c>
      <c r="K216" s="10" t="str">
        <f aca="false">IF($L216="","",INDEX('Price List'!$K$2:$K$1352,$L216)&amp;"")</f>
        <v>Nov 7, 2023</v>
      </c>
      <c r="L216" s="13" t="n">
        <f aca="false">IF(206&gt;$H$4,"",MATCH(206,'Price List'!$M$2:$M$1352,0))</f>
        <v>206</v>
      </c>
    </row>
    <row r="217" customFormat="false" ht="15" hidden="false" customHeight="false" outlineLevel="0" collapsed="false">
      <c r="A217" s="9" t="n">
        <v>207</v>
      </c>
      <c r="B217" s="10" t="str">
        <f aca="false">IF($L217="","",INDEX('Price List'!$B$2:$B$1352,$L217)&amp;"")</f>
        <v>NAPPCO (Nov 7, 2023 list)</v>
      </c>
      <c r="C217" s="10" t="str">
        <f aca="false">IF($L217="","",INDEX('Price List'!$C$2:$C$1352,$L217)&amp;"")</f>
        <v>Kraft Paper</v>
      </c>
      <c r="D217" s="11" t="str">
        <f aca="false">IF($L217="","",INDEX('Price List'!$D$2:$D$1352,$L217)&amp;"")</f>
        <v>Kraft Paper - Local</v>
      </c>
      <c r="E217" s="11" t="str">
        <f aca="false">IF($L217="","",INDEX('Price List'!$E$2:$E$1352,$L217)&amp;"")</f>
        <v/>
      </c>
      <c r="F217" s="10" t="str">
        <f aca="false">IF($L217="","",INDEX('Price List'!$F$2:$F$1352,$L217)&amp;"")</f>
        <v>250 (300#)</v>
      </c>
      <c r="G217" s="10" t="str">
        <f aca="false">IF($L217="","",INDEX('Price List'!$G$2:$G$1352,$L217)&amp;"")</f>
        <v>36 x 48</v>
      </c>
      <c r="H217" s="10" t="str">
        <f aca="false">IF($L217="","",INDEX('Price List'!$H$2:$H$1352,$L217)&amp;"")</f>
        <v>sheet</v>
      </c>
      <c r="I217" s="12" t="n">
        <f aca="false">IF($L217="","",IF(INDEX('Price List'!$I$2:$I$1352,$L217)="","",INDEX('Price List'!$I$2:$I$1352,$L217)))</f>
        <v>13.1</v>
      </c>
      <c r="J217" s="11" t="str">
        <f aca="false">IF($L217="","",INDEX('Price List'!$J$2:$J$1352,$L217)&amp;"")</f>
        <v/>
      </c>
      <c r="K217" s="10" t="str">
        <f aca="false">IF($L217="","",INDEX('Price List'!$K$2:$K$1352,$L217)&amp;"")</f>
        <v>Nov 7, 2023</v>
      </c>
      <c r="L217" s="13" t="n">
        <f aca="false">IF(207&gt;$H$4,"",MATCH(207,'Price List'!$M$2:$M$1352,0))</f>
        <v>207</v>
      </c>
    </row>
    <row r="218" customFormat="false" ht="15" hidden="false" customHeight="false" outlineLevel="0" collapsed="false">
      <c r="A218" s="9" t="n">
        <v>208</v>
      </c>
      <c r="B218" s="10" t="str">
        <f aca="false">IF($L218="","",INDEX('Price List'!$B$2:$B$1352,$L218)&amp;"")</f>
        <v>NAPPCO (Nov 7, 2023 list)</v>
      </c>
      <c r="C218" s="10" t="str">
        <f aca="false">IF($L218="","",INDEX('Price List'!$C$2:$C$1352,$L218)&amp;"")</f>
        <v>Kraft Paper</v>
      </c>
      <c r="D218" s="11" t="str">
        <f aca="false">IF($L218="","",INDEX('Price List'!$D$2:$D$1352,$L218)&amp;"")</f>
        <v>Kraft Paper - Kraft Top</v>
      </c>
      <c r="E218" s="11" t="str">
        <f aca="false">IF($L218="","",INDEX('Price List'!$E$2:$E$1352,$L218)&amp;"")</f>
        <v/>
      </c>
      <c r="F218" s="10" t="str">
        <f aca="false">IF($L218="","",INDEX('Price List'!$F$2:$F$1352,$L218)&amp;"")</f>
        <v>250 (300#)</v>
      </c>
      <c r="G218" s="10" t="str">
        <f aca="false">IF($L218="","",INDEX('Price List'!$G$2:$G$1352,$L218)&amp;"")</f>
        <v>36 x 48</v>
      </c>
      <c r="H218" s="10" t="str">
        <f aca="false">IF($L218="","",INDEX('Price List'!$H$2:$H$1352,$L218)&amp;"")</f>
        <v>sheet</v>
      </c>
      <c r="I218" s="12" t="n">
        <f aca="false">IF($L218="","",IF(INDEX('Price List'!$I$2:$I$1352,$L218)="","",INDEX('Price List'!$I$2:$I$1352,$L218)))</f>
        <v>16.5</v>
      </c>
      <c r="J218" s="11" t="str">
        <f aca="false">IF($L218="","",INDEX('Price List'!$J$2:$J$1352,$L218)&amp;"")</f>
        <v/>
      </c>
      <c r="K218" s="10" t="str">
        <f aca="false">IF($L218="","",INDEX('Price List'!$K$2:$K$1352,$L218)&amp;"")</f>
        <v>Nov 7, 2023</v>
      </c>
      <c r="L218" s="13" t="n">
        <f aca="false">IF(208&gt;$H$4,"",MATCH(208,'Price List'!$M$2:$M$1352,0))</f>
        <v>208</v>
      </c>
    </row>
    <row r="219" customFormat="false" ht="15" hidden="false" customHeight="false" outlineLevel="0" collapsed="false">
      <c r="A219" s="9" t="n">
        <v>209</v>
      </c>
      <c r="B219" s="10" t="str">
        <f aca="false">IF($L219="","",INDEX('Price List'!$B$2:$B$1352,$L219)&amp;"")</f>
        <v>NAPPCO (Nov 7, 2023 list)</v>
      </c>
      <c r="C219" s="10" t="str">
        <f aca="false">IF($L219="","",INDEX('Price List'!$C$2:$C$1352,$L219)&amp;"")</f>
        <v>Kraft Paper</v>
      </c>
      <c r="D219" s="11" t="str">
        <f aca="false">IF($L219="","",INDEX('Price List'!$D$2:$D$1352,$L219)&amp;"")</f>
        <v>Kraft Paper - Local</v>
      </c>
      <c r="E219" s="11" t="str">
        <f aca="false">IF($L219="","",INDEX('Price List'!$E$2:$E$1352,$L219)&amp;"")</f>
        <v/>
      </c>
      <c r="F219" s="10" t="str">
        <f aca="false">IF($L219="","",INDEX('Price List'!$F$2:$F$1352,$L219)&amp;"")</f>
        <v>300 (400#)</v>
      </c>
      <c r="G219" s="10" t="str">
        <f aca="false">IF($L219="","",INDEX('Price List'!$G$2:$G$1352,$L219)&amp;"")</f>
        <v>36 x 48</v>
      </c>
      <c r="H219" s="10" t="str">
        <f aca="false">IF($L219="","",INDEX('Price List'!$H$2:$H$1352,$L219)&amp;"")</f>
        <v>sheet</v>
      </c>
      <c r="I219" s="12" t="n">
        <f aca="false">IF($L219="","",IF(INDEX('Price List'!$I$2:$I$1352,$L219)="","",INDEX('Price List'!$I$2:$I$1352,$L219)))</f>
        <v>15.7</v>
      </c>
      <c r="J219" s="11" t="str">
        <f aca="false">IF($L219="","",INDEX('Price List'!$J$2:$J$1352,$L219)&amp;"")</f>
        <v/>
      </c>
      <c r="K219" s="10" t="str">
        <f aca="false">IF($L219="","",INDEX('Price List'!$K$2:$K$1352,$L219)&amp;"")</f>
        <v>Nov 7, 2023</v>
      </c>
      <c r="L219" s="13" t="n">
        <f aca="false">IF(209&gt;$H$4,"",MATCH(209,'Price List'!$M$2:$M$1352,0))</f>
        <v>209</v>
      </c>
    </row>
    <row r="220" customFormat="false" ht="35.05" hidden="false" customHeight="false" outlineLevel="0" collapsed="false">
      <c r="A220" s="9" t="n">
        <v>210</v>
      </c>
      <c r="B220" s="10" t="str">
        <f aca="false">IF($L220="","",INDEX('Price List'!$B$2:$B$1352,$L220)&amp;"")</f>
        <v>NAPPCO (Nov 7, 2023 list)</v>
      </c>
      <c r="C220" s="10" t="str">
        <f aca="false">IF($L220="","",INDEX('Price List'!$C$2:$C$1352,$L220)&amp;"")</f>
        <v>Kraft Paper</v>
      </c>
      <c r="D220" s="11" t="str">
        <f aca="false">IF($L220="","",INDEX('Price List'!$D$2:$D$1352,$L220)&amp;"")</f>
        <v>Kraft Paper - Local</v>
      </c>
      <c r="E220" s="11" t="str">
        <f aca="false">IF($L220="","",INDEX('Price List'!$E$2:$E$1352,$L220)&amp;"")</f>
        <v>Kilo price</v>
      </c>
      <c r="F220" s="10" t="str">
        <f aca="false">IF($L220="","",INDEX('Price List'!$F$2:$F$1352,$L220)&amp;"")</f>
        <v/>
      </c>
      <c r="G220" s="10" t="str">
        <f aca="false">IF($L220="","",INDEX('Price List'!$G$2:$G$1352,$L220)&amp;"")</f>
        <v/>
      </c>
      <c r="H220" s="10" t="str">
        <f aca="false">IF($L220="","",INDEX('Price List'!$H$2:$H$1352,$L220)&amp;"")</f>
        <v>per kg</v>
      </c>
      <c r="I220" s="12" t="n">
        <f aca="false">IF($L220="","",IF(INDEX('Price List'!$I$2:$I$1352,$L220)="","",INDEX('Price List'!$I$2:$I$1352,$L220)))</f>
        <v>47</v>
      </c>
      <c r="J220" s="11" t="str">
        <f aca="false">IF($L220="","",INDEX('Price List'!$J$2:$J$1352,$L220)&amp;"")</f>
        <v>Counter roll: add 35%. Kraft GSM = lbs x 1.6275 x 2. 35-40gsm KFSK sold as KFPR; 130-175gsm price is of SK origin.</v>
      </c>
      <c r="K220" s="10" t="str">
        <f aca="false">IF($L220="","",INDEX('Price List'!$K$2:$K$1352,$L220)&amp;"")</f>
        <v>Nov 7, 2023</v>
      </c>
      <c r="L220" s="13" t="n">
        <f aca="false">IF(210&gt;$H$4,"",MATCH(210,'Price List'!$M$2:$M$1352,0))</f>
        <v>210</v>
      </c>
    </row>
    <row r="221" customFormat="false" ht="35.05" hidden="false" customHeight="false" outlineLevel="0" collapsed="false">
      <c r="A221" s="9" t="n">
        <v>211</v>
      </c>
      <c r="B221" s="10" t="str">
        <f aca="false">IF($L221="","",INDEX('Price List'!$B$2:$B$1352,$L221)&amp;"")</f>
        <v>NAPPCO (Nov 7, 2023 list)</v>
      </c>
      <c r="C221" s="10" t="str">
        <f aca="false">IF($L221="","",INDEX('Price List'!$C$2:$C$1352,$L221)&amp;"")</f>
        <v>Kraft Paper</v>
      </c>
      <c r="D221" s="11" t="str">
        <f aca="false">IF($L221="","",INDEX('Price List'!$D$2:$D$1352,$L221)&amp;"")</f>
        <v>Kraft Paper - Imported</v>
      </c>
      <c r="E221" s="11" t="str">
        <f aca="false">IF($L221="","",INDEX('Price List'!$E$2:$E$1352,$L221)&amp;"")</f>
        <v>Kilo price</v>
      </c>
      <c r="F221" s="10" t="str">
        <f aca="false">IF($L221="","",INDEX('Price List'!$F$2:$F$1352,$L221)&amp;"")</f>
        <v/>
      </c>
      <c r="G221" s="10" t="str">
        <f aca="false">IF($L221="","",INDEX('Price List'!$G$2:$G$1352,$L221)&amp;"")</f>
        <v/>
      </c>
      <c r="H221" s="10" t="str">
        <f aca="false">IF($L221="","",INDEX('Price List'!$H$2:$H$1352,$L221)&amp;"")</f>
        <v>per kg</v>
      </c>
      <c r="I221" s="12" t="n">
        <f aca="false">IF($L221="","",IF(INDEX('Price List'!$I$2:$I$1352,$L221)="","",INDEX('Price List'!$I$2:$I$1352,$L221)))</f>
        <v>80</v>
      </c>
      <c r="J221" s="11" t="str">
        <f aca="false">IF($L221="","",INDEX('Price List'!$J$2:$J$1352,$L221)&amp;"")</f>
        <v>Counter roll: add 35%. Kraft GSM = lbs x 1.6275 x 2. 35-40gsm KFSK sold as KFPR; 130-175gsm price is of SK origin.</v>
      </c>
      <c r="K221" s="10" t="str">
        <f aca="false">IF($L221="","",INDEX('Price List'!$K$2:$K$1352,$L221)&amp;"")</f>
        <v>Nov 7, 2023</v>
      </c>
      <c r="L221" s="13" t="n">
        <f aca="false">IF(211&gt;$H$4,"",MATCH(211,'Price List'!$M$2:$M$1352,0))</f>
        <v>211</v>
      </c>
    </row>
    <row r="222" customFormat="false" ht="35.05" hidden="false" customHeight="false" outlineLevel="0" collapsed="false">
      <c r="A222" s="9" t="n">
        <v>212</v>
      </c>
      <c r="B222" s="10" t="str">
        <f aca="false">IF($L222="","",INDEX('Price List'!$B$2:$B$1352,$L222)&amp;"")</f>
        <v>NAPPCO (Nov 7, 2023 list)</v>
      </c>
      <c r="C222" s="10" t="str">
        <f aca="false">IF($L222="","",INDEX('Price List'!$C$2:$C$1352,$L222)&amp;"")</f>
        <v>Kraft Paper</v>
      </c>
      <c r="D222" s="11" t="str">
        <f aca="false">IF($L222="","",INDEX('Price List'!$D$2:$D$1352,$L222)&amp;"")</f>
        <v>Kraft Paper - Bleach</v>
      </c>
      <c r="E222" s="11" t="str">
        <f aca="false">IF($L222="","",INDEX('Price List'!$E$2:$E$1352,$L222)&amp;"")</f>
        <v>Kilo price</v>
      </c>
      <c r="F222" s="10" t="str">
        <f aca="false">IF($L222="","",INDEX('Price List'!$F$2:$F$1352,$L222)&amp;"")</f>
        <v/>
      </c>
      <c r="G222" s="10" t="str">
        <f aca="false">IF($L222="","",INDEX('Price List'!$G$2:$G$1352,$L222)&amp;"")</f>
        <v/>
      </c>
      <c r="H222" s="10" t="str">
        <f aca="false">IF($L222="","",INDEX('Price List'!$H$2:$H$1352,$L222)&amp;"")</f>
        <v>per kg</v>
      </c>
      <c r="I222" s="12" t="n">
        <f aca="false">IF($L222="","",IF(INDEX('Price List'!$I$2:$I$1352,$L222)="","",INDEX('Price List'!$I$2:$I$1352,$L222)))</f>
        <v>84</v>
      </c>
      <c r="J222" s="11" t="str">
        <f aca="false">IF($L222="","",INDEX('Price List'!$J$2:$J$1352,$L222)&amp;"")</f>
        <v>Counter roll: add 35%. Kraft GSM = lbs x 1.6275 x 2. 35-40gsm KFSK sold as KFPR; 130-175gsm price is of SK origin.</v>
      </c>
      <c r="K222" s="10" t="str">
        <f aca="false">IF($L222="","",INDEX('Price List'!$K$2:$K$1352,$L222)&amp;"")</f>
        <v>Nov 7, 2023</v>
      </c>
      <c r="L222" s="13" t="n">
        <f aca="false">IF(212&gt;$H$4,"",MATCH(212,'Price List'!$M$2:$M$1352,0))</f>
        <v>212</v>
      </c>
    </row>
    <row r="223" customFormat="false" ht="35.05" hidden="false" customHeight="false" outlineLevel="0" collapsed="false">
      <c r="A223" s="9" t="n">
        <v>213</v>
      </c>
      <c r="B223" s="10" t="str">
        <f aca="false">IF($L223="","",INDEX('Price List'!$B$2:$B$1352,$L223)&amp;"")</f>
        <v>NAPPCO (Nov 7, 2023 list)</v>
      </c>
      <c r="C223" s="10" t="str">
        <f aca="false">IF($L223="","",INDEX('Price List'!$C$2:$C$1352,$L223)&amp;"")</f>
        <v>Kraft Paper</v>
      </c>
      <c r="D223" s="11" t="str">
        <f aca="false">IF($L223="","",INDEX('Price List'!$D$2:$D$1352,$L223)&amp;"")</f>
        <v>Kraft Paper - Kraft Top</v>
      </c>
      <c r="E223" s="11" t="str">
        <f aca="false">IF($L223="","",INDEX('Price List'!$E$2:$E$1352,$L223)&amp;"")</f>
        <v>Kilo price</v>
      </c>
      <c r="F223" s="10" t="str">
        <f aca="false">IF($L223="","",INDEX('Price List'!$F$2:$F$1352,$L223)&amp;"")</f>
        <v/>
      </c>
      <c r="G223" s="10" t="str">
        <f aca="false">IF($L223="","",INDEX('Price List'!$G$2:$G$1352,$L223)&amp;"")</f>
        <v/>
      </c>
      <c r="H223" s="10" t="str">
        <f aca="false">IF($L223="","",INDEX('Price List'!$H$2:$H$1352,$L223)&amp;"")</f>
        <v>per kg</v>
      </c>
      <c r="I223" s="12" t="n">
        <f aca="false">IF($L223="","",IF(INDEX('Price List'!$I$2:$I$1352,$L223)="","",INDEX('Price List'!$I$2:$I$1352,$L223)))</f>
        <v>62</v>
      </c>
      <c r="J223" s="11" t="str">
        <f aca="false">IF($L223="","",INDEX('Price List'!$J$2:$J$1352,$L223)&amp;"")</f>
        <v>Counter roll: add 35%. Kraft GSM = lbs x 1.6275 x 2. 35-40gsm KFSK sold as KFPR; 130-175gsm price is of SK origin.</v>
      </c>
      <c r="K223" s="10" t="str">
        <f aca="false">IF($L223="","",INDEX('Price List'!$K$2:$K$1352,$L223)&amp;"")</f>
        <v>Nov 7, 2023</v>
      </c>
      <c r="L223" s="13" t="n">
        <f aca="false">IF(213&gt;$H$4,"",MATCH(213,'Price List'!$M$2:$M$1352,0))</f>
        <v>213</v>
      </c>
    </row>
    <row r="224" customFormat="false" ht="15" hidden="false" customHeight="false" outlineLevel="0" collapsed="false">
      <c r="A224" s="9" t="n">
        <v>214</v>
      </c>
      <c r="B224" s="10" t="str">
        <f aca="false">IF($L224="","",INDEX('Price List'!$B$2:$B$1352,$L224)&amp;"")</f>
        <v>NAPPCO (Nov 7, 2023 list)</v>
      </c>
      <c r="C224" s="10" t="str">
        <f aca="false">IF($L224="","",INDEX('Price List'!$C$2:$C$1352,$L224)&amp;"")</f>
        <v>Carbonless Paper</v>
      </c>
      <c r="D224" s="11" t="str">
        <f aca="false">IF($L224="","",INDEX('Price List'!$D$2:$D$1352,$L224)&amp;"")</f>
        <v>CB White 48</v>
      </c>
      <c r="E224" s="11" t="str">
        <f aca="false">IF($L224="","",INDEX('Price List'!$E$2:$E$1352,$L224)&amp;"")</f>
        <v/>
      </c>
      <c r="F224" s="10" t="str">
        <f aca="false">IF($L224="","",INDEX('Price List'!$F$2:$F$1352,$L224)&amp;"")</f>
        <v/>
      </c>
      <c r="G224" s="10" t="str">
        <f aca="false">IF($L224="","",INDEX('Price List'!$G$2:$G$1352,$L224)&amp;"")</f>
        <v>34 x 22</v>
      </c>
      <c r="H224" s="10" t="str">
        <f aca="false">IF($L224="","",INDEX('Price List'!$H$2:$H$1352,$L224)&amp;"")</f>
        <v>ream</v>
      </c>
      <c r="I224" s="12" t="n">
        <f aca="false">IF($L224="","",IF(INDEX('Price List'!$I$2:$I$1352,$L224)="","",INDEX('Price List'!$I$2:$I$1352,$L224)))</f>
        <v>1550</v>
      </c>
      <c r="J224" s="11" t="str">
        <f aca="false">IF($L224="","",INDEX('Price List'!$J$2:$J$1352,$L224)&amp;"")</f>
        <v/>
      </c>
      <c r="K224" s="10" t="str">
        <f aca="false">IF($L224="","",INDEX('Price List'!$K$2:$K$1352,$L224)&amp;"")</f>
        <v>Nov 7, 2023</v>
      </c>
      <c r="L224" s="13" t="n">
        <f aca="false">IF(214&gt;$H$4,"",MATCH(214,'Price List'!$M$2:$M$1352,0))</f>
        <v>214</v>
      </c>
    </row>
    <row r="225" customFormat="false" ht="15" hidden="false" customHeight="false" outlineLevel="0" collapsed="false">
      <c r="A225" s="9" t="n">
        <v>215</v>
      </c>
      <c r="B225" s="10" t="str">
        <f aca="false">IF($L225="","",INDEX('Price List'!$B$2:$B$1352,$L225)&amp;"")</f>
        <v>NAPPCO (Nov 7, 2023 list)</v>
      </c>
      <c r="C225" s="10" t="str">
        <f aca="false">IF($L225="","",INDEX('Price List'!$C$2:$C$1352,$L225)&amp;"")</f>
        <v>Carbonless Paper</v>
      </c>
      <c r="D225" s="11" t="str">
        <f aca="false">IF($L225="","",INDEX('Price List'!$D$2:$D$1352,$L225)&amp;"")</f>
        <v>CB White 48</v>
      </c>
      <c r="E225" s="11" t="str">
        <f aca="false">IF($L225="","",INDEX('Price List'!$E$2:$E$1352,$L225)&amp;"")</f>
        <v/>
      </c>
      <c r="F225" s="10" t="str">
        <f aca="false">IF($L225="","",INDEX('Price List'!$F$2:$F$1352,$L225)&amp;"")</f>
        <v/>
      </c>
      <c r="G225" s="10" t="str">
        <f aca="false">IF($L225="","",INDEX('Price List'!$G$2:$G$1352,$L225)&amp;"")</f>
        <v>34 x 28</v>
      </c>
      <c r="H225" s="10" t="str">
        <f aca="false">IF($L225="","",INDEX('Price List'!$H$2:$H$1352,$L225)&amp;"")</f>
        <v>ream</v>
      </c>
      <c r="I225" s="12" t="n">
        <f aca="false">IF($L225="","",IF(INDEX('Price List'!$I$2:$I$1352,$L225)="","",INDEX('Price List'!$I$2:$I$1352,$L225)))</f>
        <v>1950</v>
      </c>
      <c r="J225" s="11" t="str">
        <f aca="false">IF($L225="","",INDEX('Price List'!$J$2:$J$1352,$L225)&amp;"")</f>
        <v/>
      </c>
      <c r="K225" s="10" t="str">
        <f aca="false">IF($L225="","",INDEX('Price List'!$K$2:$K$1352,$L225)&amp;"")</f>
        <v>Nov 7, 2023</v>
      </c>
      <c r="L225" s="13" t="n">
        <f aca="false">IF(215&gt;$H$4,"",MATCH(215,'Price List'!$M$2:$M$1352,0))</f>
        <v>215</v>
      </c>
    </row>
    <row r="226" customFormat="false" ht="15" hidden="false" customHeight="false" outlineLevel="0" collapsed="false">
      <c r="A226" s="9" t="n">
        <v>216</v>
      </c>
      <c r="B226" s="10" t="str">
        <f aca="false">IF($L226="","",INDEX('Price List'!$B$2:$B$1352,$L226)&amp;"")</f>
        <v>NAPPCO (Nov 7, 2023 list)</v>
      </c>
      <c r="C226" s="10" t="str">
        <f aca="false">IF($L226="","",INDEX('Price List'!$C$2:$C$1352,$L226)&amp;"")</f>
        <v>Carbonless Paper</v>
      </c>
      <c r="D226" s="11" t="str">
        <f aca="false">IF($L226="","",INDEX('Price List'!$D$2:$D$1352,$L226)&amp;"")</f>
        <v>CB White 55</v>
      </c>
      <c r="E226" s="11" t="str">
        <f aca="false">IF($L226="","",INDEX('Price List'!$E$2:$E$1352,$L226)&amp;"")</f>
        <v/>
      </c>
      <c r="F226" s="10" t="str">
        <f aca="false">IF($L226="","",INDEX('Price List'!$F$2:$F$1352,$L226)&amp;"")</f>
        <v/>
      </c>
      <c r="G226" s="10" t="str">
        <f aca="false">IF($L226="","",INDEX('Price List'!$G$2:$G$1352,$L226)&amp;"")</f>
        <v>34 x 22</v>
      </c>
      <c r="H226" s="10" t="str">
        <f aca="false">IF($L226="","",INDEX('Price List'!$H$2:$H$1352,$L226)&amp;"")</f>
        <v>ream</v>
      </c>
      <c r="I226" s="12" t="n">
        <f aca="false">IF($L226="","",IF(INDEX('Price List'!$I$2:$I$1352,$L226)="","",INDEX('Price List'!$I$2:$I$1352,$L226)))</f>
        <v>1800</v>
      </c>
      <c r="J226" s="11" t="str">
        <f aca="false">IF($L226="","",INDEX('Price List'!$J$2:$J$1352,$L226)&amp;"")</f>
        <v/>
      </c>
      <c r="K226" s="10" t="str">
        <f aca="false">IF($L226="","",INDEX('Price List'!$K$2:$K$1352,$L226)&amp;"")</f>
        <v>Nov 7, 2023</v>
      </c>
      <c r="L226" s="13" t="n">
        <f aca="false">IF(216&gt;$H$4,"",MATCH(216,'Price List'!$M$2:$M$1352,0))</f>
        <v>216</v>
      </c>
    </row>
    <row r="227" customFormat="false" ht="15" hidden="false" customHeight="false" outlineLevel="0" collapsed="false">
      <c r="A227" s="9" t="n">
        <v>217</v>
      </c>
      <c r="B227" s="10" t="str">
        <f aca="false">IF($L227="","",INDEX('Price List'!$B$2:$B$1352,$L227)&amp;"")</f>
        <v>NAPPCO (Nov 7, 2023 list)</v>
      </c>
      <c r="C227" s="10" t="str">
        <f aca="false">IF($L227="","",INDEX('Price List'!$C$2:$C$1352,$L227)&amp;"")</f>
        <v>Carbonless Paper</v>
      </c>
      <c r="D227" s="11" t="str">
        <f aca="false">IF($L227="","",INDEX('Price List'!$D$2:$D$1352,$L227)&amp;"")</f>
        <v>CB White 55</v>
      </c>
      <c r="E227" s="11" t="str">
        <f aca="false">IF($L227="","",INDEX('Price List'!$E$2:$E$1352,$L227)&amp;"")</f>
        <v/>
      </c>
      <c r="F227" s="10" t="str">
        <f aca="false">IF($L227="","",INDEX('Price List'!$F$2:$F$1352,$L227)&amp;"")</f>
        <v/>
      </c>
      <c r="G227" s="10" t="str">
        <f aca="false">IF($L227="","",INDEX('Price List'!$G$2:$G$1352,$L227)&amp;"")</f>
        <v>34 x 28</v>
      </c>
      <c r="H227" s="10" t="str">
        <f aca="false">IF($L227="","",INDEX('Price List'!$H$2:$H$1352,$L227)&amp;"")</f>
        <v>ream</v>
      </c>
      <c r="I227" s="12" t="n">
        <f aca="false">IF($L227="","",IF(INDEX('Price List'!$I$2:$I$1352,$L227)="","",INDEX('Price List'!$I$2:$I$1352,$L227)))</f>
        <v>2250</v>
      </c>
      <c r="J227" s="11" t="str">
        <f aca="false">IF($L227="","",INDEX('Price List'!$J$2:$J$1352,$L227)&amp;"")</f>
        <v/>
      </c>
      <c r="K227" s="10" t="str">
        <f aca="false">IF($L227="","",INDEX('Price List'!$K$2:$K$1352,$L227)&amp;"")</f>
        <v>Nov 7, 2023</v>
      </c>
      <c r="L227" s="13" t="n">
        <f aca="false">IF(217&gt;$H$4,"",MATCH(217,'Price List'!$M$2:$M$1352,0))</f>
        <v>217</v>
      </c>
    </row>
    <row r="228" customFormat="false" ht="15" hidden="false" customHeight="false" outlineLevel="0" collapsed="false">
      <c r="A228" s="9" t="n">
        <v>218</v>
      </c>
      <c r="B228" s="10" t="str">
        <f aca="false">IF($L228="","",INDEX('Price List'!$B$2:$B$1352,$L228)&amp;"")</f>
        <v>NAPPCO (Nov 7, 2023 list)</v>
      </c>
      <c r="C228" s="10" t="str">
        <f aca="false">IF($L228="","",INDEX('Price List'!$C$2:$C$1352,$L228)&amp;"")</f>
        <v>Carbonless Paper</v>
      </c>
      <c r="D228" s="11" t="str">
        <f aca="false">IF($L228="","",INDEX('Price List'!$D$2:$D$1352,$L228)&amp;"")</f>
        <v>CFB Color/White</v>
      </c>
      <c r="E228" s="11" t="str">
        <f aca="false">IF($L228="","",INDEX('Price List'!$E$2:$E$1352,$L228)&amp;"")</f>
        <v/>
      </c>
      <c r="F228" s="10" t="str">
        <f aca="false">IF($L228="","",INDEX('Price List'!$F$2:$F$1352,$L228)&amp;"")</f>
        <v/>
      </c>
      <c r="G228" s="10" t="str">
        <f aca="false">IF($L228="","",INDEX('Price List'!$G$2:$G$1352,$L228)&amp;"")</f>
        <v>34 x 22</v>
      </c>
      <c r="H228" s="10" t="str">
        <f aca="false">IF($L228="","",INDEX('Price List'!$H$2:$H$1352,$L228)&amp;"")</f>
        <v>ream</v>
      </c>
      <c r="I228" s="12" t="n">
        <f aca="false">IF($L228="","",IF(INDEX('Price List'!$I$2:$I$1352,$L228)="","",INDEX('Price List'!$I$2:$I$1352,$L228)))</f>
        <v>1650</v>
      </c>
      <c r="J228" s="11" t="str">
        <f aca="false">IF($L228="","",INDEX('Price List'!$J$2:$J$1352,$L228)&amp;"")</f>
        <v/>
      </c>
      <c r="K228" s="10" t="str">
        <f aca="false">IF($L228="","",INDEX('Price List'!$K$2:$K$1352,$L228)&amp;"")</f>
        <v>Nov 7, 2023</v>
      </c>
      <c r="L228" s="13" t="n">
        <f aca="false">IF(218&gt;$H$4,"",MATCH(218,'Price List'!$M$2:$M$1352,0))</f>
        <v>218</v>
      </c>
    </row>
    <row r="229" customFormat="false" ht="15" hidden="false" customHeight="false" outlineLevel="0" collapsed="false">
      <c r="A229" s="9" t="n">
        <v>219</v>
      </c>
      <c r="B229" s="10" t="str">
        <f aca="false">IF($L229="","",INDEX('Price List'!$B$2:$B$1352,$L229)&amp;"")</f>
        <v>NAPPCO (Nov 7, 2023 list)</v>
      </c>
      <c r="C229" s="10" t="str">
        <f aca="false">IF($L229="","",INDEX('Price List'!$C$2:$C$1352,$L229)&amp;"")</f>
        <v>Carbonless Paper</v>
      </c>
      <c r="D229" s="11" t="str">
        <f aca="false">IF($L229="","",INDEX('Price List'!$D$2:$D$1352,$L229)&amp;"")</f>
        <v>CFB Color/White</v>
      </c>
      <c r="E229" s="11" t="str">
        <f aca="false">IF($L229="","",INDEX('Price List'!$E$2:$E$1352,$L229)&amp;"")</f>
        <v/>
      </c>
      <c r="F229" s="10" t="str">
        <f aca="false">IF($L229="","",INDEX('Price List'!$F$2:$F$1352,$L229)&amp;"")</f>
        <v/>
      </c>
      <c r="G229" s="10" t="str">
        <f aca="false">IF($L229="","",INDEX('Price List'!$G$2:$G$1352,$L229)&amp;"")</f>
        <v>34 x 28</v>
      </c>
      <c r="H229" s="10" t="str">
        <f aca="false">IF($L229="","",INDEX('Price List'!$H$2:$H$1352,$L229)&amp;"")</f>
        <v>ream</v>
      </c>
      <c r="I229" s="12" t="n">
        <f aca="false">IF($L229="","",IF(INDEX('Price List'!$I$2:$I$1352,$L229)="","",INDEX('Price List'!$I$2:$I$1352,$L229)))</f>
        <v>2100</v>
      </c>
      <c r="J229" s="11" t="str">
        <f aca="false">IF($L229="","",INDEX('Price List'!$J$2:$J$1352,$L229)&amp;"")</f>
        <v/>
      </c>
      <c r="K229" s="10" t="str">
        <f aca="false">IF($L229="","",INDEX('Price List'!$K$2:$K$1352,$L229)&amp;"")</f>
        <v>Nov 7, 2023</v>
      </c>
      <c r="L229" s="13" t="n">
        <f aca="false">IF(219&gt;$H$4,"",MATCH(219,'Price List'!$M$2:$M$1352,0))</f>
        <v>219</v>
      </c>
    </row>
    <row r="230" customFormat="false" ht="15" hidden="false" customHeight="false" outlineLevel="0" collapsed="false">
      <c r="A230" s="9" t="n">
        <v>220</v>
      </c>
      <c r="B230" s="10" t="str">
        <f aca="false">IF($L230="","",INDEX('Price List'!$B$2:$B$1352,$L230)&amp;"")</f>
        <v>NAPPCO (Nov 7, 2023 list)</v>
      </c>
      <c r="C230" s="10" t="str">
        <f aca="false">IF($L230="","",INDEX('Price List'!$C$2:$C$1352,$L230)&amp;"")</f>
        <v>Carbonless Paper</v>
      </c>
      <c r="D230" s="11" t="str">
        <f aca="false">IF($L230="","",INDEX('Price List'!$D$2:$D$1352,$L230)&amp;"")</f>
        <v>CF Color/White</v>
      </c>
      <c r="E230" s="11" t="str">
        <f aca="false">IF($L230="","",INDEX('Price List'!$E$2:$E$1352,$L230)&amp;"")</f>
        <v/>
      </c>
      <c r="F230" s="10" t="str">
        <f aca="false">IF($L230="","",INDEX('Price List'!$F$2:$F$1352,$L230)&amp;"")</f>
        <v/>
      </c>
      <c r="G230" s="10" t="str">
        <f aca="false">IF($L230="","",INDEX('Price List'!$G$2:$G$1352,$L230)&amp;"")</f>
        <v>34 x 22</v>
      </c>
      <c r="H230" s="10" t="str">
        <f aca="false">IF($L230="","",INDEX('Price List'!$H$2:$H$1352,$L230)&amp;"")</f>
        <v>ream</v>
      </c>
      <c r="I230" s="12" t="n">
        <f aca="false">IF($L230="","",IF(INDEX('Price List'!$I$2:$I$1352,$L230)="","",INDEX('Price List'!$I$2:$I$1352,$L230)))</f>
        <v>1550</v>
      </c>
      <c r="J230" s="11" t="str">
        <f aca="false">IF($L230="","",INDEX('Price List'!$J$2:$J$1352,$L230)&amp;"")</f>
        <v/>
      </c>
      <c r="K230" s="10" t="str">
        <f aca="false">IF($L230="","",INDEX('Price List'!$K$2:$K$1352,$L230)&amp;"")</f>
        <v>Nov 7, 2023</v>
      </c>
      <c r="L230" s="13" t="n">
        <f aca="false">IF(220&gt;$H$4,"",MATCH(220,'Price List'!$M$2:$M$1352,0))</f>
        <v>220</v>
      </c>
    </row>
    <row r="231" customFormat="false" ht="15" hidden="false" customHeight="false" outlineLevel="0" collapsed="false">
      <c r="A231" s="9" t="n">
        <v>221</v>
      </c>
      <c r="B231" s="10" t="str">
        <f aca="false">IF($L231="","",INDEX('Price List'!$B$2:$B$1352,$L231)&amp;"")</f>
        <v>NAPPCO (Nov 7, 2023 list)</v>
      </c>
      <c r="C231" s="10" t="str">
        <f aca="false">IF($L231="","",INDEX('Price List'!$C$2:$C$1352,$L231)&amp;"")</f>
        <v>Carbonless Paper</v>
      </c>
      <c r="D231" s="11" t="str">
        <f aca="false">IF($L231="","",INDEX('Price List'!$D$2:$D$1352,$L231)&amp;"")</f>
        <v>CF Color/White</v>
      </c>
      <c r="E231" s="11" t="str">
        <f aca="false">IF($L231="","",INDEX('Price List'!$E$2:$E$1352,$L231)&amp;"")</f>
        <v/>
      </c>
      <c r="F231" s="10" t="str">
        <f aca="false">IF($L231="","",INDEX('Price List'!$F$2:$F$1352,$L231)&amp;"")</f>
        <v/>
      </c>
      <c r="G231" s="10" t="str">
        <f aca="false">IF($L231="","",INDEX('Price List'!$G$2:$G$1352,$L231)&amp;"")</f>
        <v>34 x 28</v>
      </c>
      <c r="H231" s="10" t="str">
        <f aca="false">IF($L231="","",INDEX('Price List'!$H$2:$H$1352,$L231)&amp;"")</f>
        <v>ream</v>
      </c>
      <c r="I231" s="12" t="n">
        <f aca="false">IF($L231="","",IF(INDEX('Price List'!$I$2:$I$1352,$L231)="","",INDEX('Price List'!$I$2:$I$1352,$L231)))</f>
        <v>1950</v>
      </c>
      <c r="J231" s="11" t="str">
        <f aca="false">IF($L231="","",INDEX('Price List'!$J$2:$J$1352,$L231)&amp;"")</f>
        <v/>
      </c>
      <c r="K231" s="10" t="str">
        <f aca="false">IF($L231="","",INDEX('Price List'!$K$2:$K$1352,$L231)&amp;"")</f>
        <v>Nov 7, 2023</v>
      </c>
      <c r="L231" s="13" t="n">
        <f aca="false">IF(221&gt;$H$4,"",MATCH(221,'Price List'!$M$2:$M$1352,0))</f>
        <v>221</v>
      </c>
    </row>
    <row r="232" customFormat="false" ht="15" hidden="false" customHeight="false" outlineLevel="0" collapsed="false">
      <c r="A232" s="9" t="n">
        <v>222</v>
      </c>
      <c r="B232" s="10" t="str">
        <f aca="false">IF($L232="","",INDEX('Price List'!$B$2:$B$1352,$L232)&amp;"")</f>
        <v>NAPPCO (Nov 7, 2023 list)</v>
      </c>
      <c r="C232" s="10" t="str">
        <f aca="false">IF($L232="","",INDEX('Price List'!$C$2:$C$1352,$L232)&amp;"")</f>
        <v>Cast Coated (Kromkote)</v>
      </c>
      <c r="D232" s="11" t="str">
        <f aca="false">IF($L232="","",INDEX('Price List'!$D$2:$D$1352,$L232)&amp;"")</f>
        <v>Kromkote</v>
      </c>
      <c r="E232" s="11" t="str">
        <f aca="false">IF($L232="","",INDEX('Price List'!$E$2:$E$1352,$L232)&amp;"")</f>
        <v/>
      </c>
      <c r="F232" s="10" t="str">
        <f aca="false">IF($L232="","",INDEX('Price List'!$F$2:$F$1352,$L232)&amp;"")</f>
        <v>#60</v>
      </c>
      <c r="G232" s="10" t="str">
        <f aca="false">IF($L232="","",INDEX('Price List'!$G$2:$G$1352,$L232)&amp;"")</f>
        <v/>
      </c>
      <c r="H232" s="10" t="str">
        <f aca="false">IF($L232="","",INDEX('Price List'!$H$2:$H$1352,$L232)&amp;"")</f>
        <v>ream</v>
      </c>
      <c r="I232" s="12" t="n">
        <f aca="false">IF($L232="","",IF(INDEX('Price List'!$I$2:$I$1352,$L232)="","",INDEX('Price List'!$I$2:$I$1352,$L232)))</f>
        <v>2600</v>
      </c>
      <c r="J232" s="11" t="str">
        <f aca="false">IF($L232="","",INDEX('Price List'!$J$2:$J$1352,$L232)&amp;"")</f>
        <v/>
      </c>
      <c r="K232" s="10" t="str">
        <f aca="false">IF($L232="","",INDEX('Price List'!$K$2:$K$1352,$L232)&amp;"")</f>
        <v>Nov 7, 2023</v>
      </c>
      <c r="L232" s="13" t="n">
        <f aca="false">IF(222&gt;$H$4,"",MATCH(222,'Price List'!$M$2:$M$1352,0))</f>
        <v>222</v>
      </c>
    </row>
    <row r="233" customFormat="false" ht="15" hidden="false" customHeight="false" outlineLevel="0" collapsed="false">
      <c r="A233" s="9" t="n">
        <v>223</v>
      </c>
      <c r="B233" s="10" t="str">
        <f aca="false">IF($L233="","",INDEX('Price List'!$B$2:$B$1352,$L233)&amp;"")</f>
        <v>NAPPCO (Nov 7, 2023 list)</v>
      </c>
      <c r="C233" s="10" t="str">
        <f aca="false">IF($L233="","",INDEX('Price List'!$C$2:$C$1352,$L233)&amp;"")</f>
        <v>Cast Coated (Kromkote)</v>
      </c>
      <c r="D233" s="11" t="str">
        <f aca="false">IF($L233="","",INDEX('Price List'!$D$2:$D$1352,$L233)&amp;"")</f>
        <v>Kromkote</v>
      </c>
      <c r="E233" s="11" t="str">
        <f aca="false">IF($L233="","",INDEX('Price List'!$E$2:$E$1352,$L233)&amp;"")</f>
        <v/>
      </c>
      <c r="F233" s="10" t="str">
        <f aca="false">IF($L233="","",INDEX('Price List'!$F$2:$F$1352,$L233)&amp;"")</f>
        <v>#189</v>
      </c>
      <c r="G233" s="10" t="str">
        <f aca="false">IF($L233="","",INDEX('Price List'!$G$2:$G$1352,$L233)&amp;"")</f>
        <v/>
      </c>
      <c r="H233" s="10" t="str">
        <f aca="false">IF($L233="","",INDEX('Price List'!$H$2:$H$1352,$L233)&amp;"")</f>
        <v>ream</v>
      </c>
      <c r="I233" s="12" t="n">
        <f aca="false">IF($L233="","",IF(INDEX('Price List'!$I$2:$I$1352,$L233)="","",INDEX('Price List'!$I$2:$I$1352,$L233)))</f>
        <v>19</v>
      </c>
      <c r="J233" s="11" t="str">
        <f aca="false">IF($L233="","",INDEX('Price List'!$J$2:$J$1352,$L233)&amp;"")</f>
        <v>Per sheet</v>
      </c>
      <c r="K233" s="10" t="str">
        <f aca="false">IF($L233="","",INDEX('Price List'!$K$2:$K$1352,$L233)&amp;"")</f>
        <v>Nov 7, 2023</v>
      </c>
      <c r="L233" s="13" t="n">
        <f aca="false">IF(223&gt;$H$4,"",MATCH(223,'Price List'!$M$2:$M$1352,0))</f>
        <v>223</v>
      </c>
    </row>
    <row r="234" customFormat="false" ht="15" hidden="false" customHeight="false" outlineLevel="0" collapsed="false">
      <c r="A234" s="9" t="n">
        <v>224</v>
      </c>
      <c r="B234" s="10" t="str">
        <f aca="false">IF($L234="","",INDEX('Price List'!$B$2:$B$1352,$L234)&amp;"")</f>
        <v>NAPPCO (Nov 7, 2023 list)</v>
      </c>
      <c r="C234" s="10" t="str">
        <f aca="false">IF($L234="","",INDEX('Price List'!$C$2:$C$1352,$L234)&amp;"")</f>
        <v>Sticker Paper</v>
      </c>
      <c r="D234" s="11" t="str">
        <f aca="false">IF($L234="","",INDEX('Price List'!$D$2:$D$1352,$L234)&amp;"")</f>
        <v>Sticker - Satin</v>
      </c>
      <c r="E234" s="11" t="str">
        <f aca="false">IF($L234="","",INDEX('Price List'!$E$2:$E$1352,$L234)&amp;"")</f>
        <v/>
      </c>
      <c r="F234" s="10" t="str">
        <f aca="false">IF($L234="","",INDEX('Price List'!$F$2:$F$1352,$L234)&amp;"")</f>
        <v/>
      </c>
      <c r="G234" s="10" t="str">
        <f aca="false">IF($L234="","",INDEX('Price List'!$G$2:$G$1352,$L234)&amp;"")</f>
        <v>24 x 36</v>
      </c>
      <c r="H234" s="10" t="str">
        <f aca="false">IF($L234="","",INDEX('Price List'!$H$2:$H$1352,$L234)&amp;"")</f>
        <v>sheet</v>
      </c>
      <c r="I234" s="12" t="n">
        <f aca="false">IF($L234="","",IF(INDEX('Price List'!$I$2:$I$1352,$L234)="","",INDEX('Price List'!$I$2:$I$1352,$L234)))</f>
        <v>13</v>
      </c>
      <c r="J234" s="11" t="str">
        <f aca="false">IF($L234="","",INDEX('Price List'!$J$2:$J$1352,$L234)&amp;"")</f>
        <v/>
      </c>
      <c r="K234" s="10" t="str">
        <f aca="false">IF($L234="","",INDEX('Price List'!$K$2:$K$1352,$L234)&amp;"")</f>
        <v>Nov 7, 2023</v>
      </c>
      <c r="L234" s="13" t="n">
        <f aca="false">IF(224&gt;$H$4,"",MATCH(224,'Price List'!$M$2:$M$1352,0))</f>
        <v>224</v>
      </c>
    </row>
    <row r="235" customFormat="false" ht="15" hidden="false" customHeight="false" outlineLevel="0" collapsed="false">
      <c r="A235" s="9" t="n">
        <v>225</v>
      </c>
      <c r="B235" s="10" t="str">
        <f aca="false">IF($L235="","",INDEX('Price List'!$B$2:$B$1352,$L235)&amp;"")</f>
        <v>NAPPCO (Nov 7, 2023 list)</v>
      </c>
      <c r="C235" s="10" t="str">
        <f aca="false">IF($L235="","",INDEX('Price List'!$C$2:$C$1352,$L235)&amp;"")</f>
        <v>Sticker Paper</v>
      </c>
      <c r="D235" s="11" t="str">
        <f aca="false">IF($L235="","",INDEX('Price List'!$D$2:$D$1352,$L235)&amp;"")</f>
        <v>Sticker - High Gloss</v>
      </c>
      <c r="E235" s="11" t="str">
        <f aca="false">IF($L235="","",INDEX('Price List'!$E$2:$E$1352,$L235)&amp;"")</f>
        <v/>
      </c>
      <c r="F235" s="10" t="str">
        <f aca="false">IF($L235="","",INDEX('Price List'!$F$2:$F$1352,$L235)&amp;"")</f>
        <v/>
      </c>
      <c r="G235" s="10" t="str">
        <f aca="false">IF($L235="","",INDEX('Price List'!$G$2:$G$1352,$L235)&amp;"")</f>
        <v>24 x 36</v>
      </c>
      <c r="H235" s="10" t="str">
        <f aca="false">IF($L235="","",INDEX('Price List'!$H$2:$H$1352,$L235)&amp;"")</f>
        <v>sheet</v>
      </c>
      <c r="I235" s="12" t="n">
        <f aca="false">IF($L235="","",IF(INDEX('Price List'!$I$2:$I$1352,$L235)="","",INDEX('Price List'!$I$2:$I$1352,$L235)))</f>
        <v>14</v>
      </c>
      <c r="J235" s="11" t="str">
        <f aca="false">IF($L235="","",INDEX('Price List'!$J$2:$J$1352,$L235)&amp;"")</f>
        <v/>
      </c>
      <c r="K235" s="10" t="str">
        <f aca="false">IF($L235="","",INDEX('Price List'!$K$2:$K$1352,$L235)&amp;"")</f>
        <v>Nov 7, 2023</v>
      </c>
      <c r="L235" s="13" t="n">
        <f aca="false">IF(225&gt;$H$4,"",MATCH(225,'Price List'!$M$2:$M$1352,0))</f>
        <v>225</v>
      </c>
    </row>
    <row r="236" customFormat="false" ht="15" hidden="false" customHeight="false" outlineLevel="0" collapsed="false">
      <c r="A236" s="9" t="n">
        <v>226</v>
      </c>
      <c r="B236" s="10" t="str">
        <f aca="false">IF($L236="","",INDEX('Price List'!$B$2:$B$1352,$L236)&amp;"")</f>
        <v>NAPPCO (Nov 7, 2023 list)</v>
      </c>
      <c r="C236" s="10" t="str">
        <f aca="false">IF($L236="","",INDEX('Price List'!$C$2:$C$1352,$L236)&amp;"")</f>
        <v>Sticker Paper</v>
      </c>
      <c r="D236" s="11" t="str">
        <f aca="false">IF($L236="","",INDEX('Price List'!$D$2:$D$1352,$L236)&amp;"")</f>
        <v>Sticker - Book</v>
      </c>
      <c r="E236" s="11" t="str">
        <f aca="false">IF($L236="","",INDEX('Price List'!$E$2:$E$1352,$L236)&amp;"")</f>
        <v/>
      </c>
      <c r="F236" s="10" t="str">
        <f aca="false">IF($L236="","",INDEX('Price List'!$F$2:$F$1352,$L236)&amp;"")</f>
        <v/>
      </c>
      <c r="G236" s="10" t="str">
        <f aca="false">IF($L236="","",INDEX('Price List'!$G$2:$G$1352,$L236)&amp;"")</f>
        <v>24 x 36</v>
      </c>
      <c r="H236" s="10" t="str">
        <f aca="false">IF($L236="","",INDEX('Price List'!$H$2:$H$1352,$L236)&amp;"")</f>
        <v>sheet</v>
      </c>
      <c r="I236" s="12" t="n">
        <f aca="false">IF($L236="","",IF(INDEX('Price List'!$I$2:$I$1352,$L236)="","",INDEX('Price List'!$I$2:$I$1352,$L236)))</f>
        <v>15</v>
      </c>
      <c r="J236" s="11" t="str">
        <f aca="false">IF($L236="","",INDEX('Price List'!$J$2:$J$1352,$L236)&amp;"")</f>
        <v/>
      </c>
      <c r="K236" s="10" t="str">
        <f aca="false">IF($L236="","",INDEX('Price List'!$K$2:$K$1352,$L236)&amp;"")</f>
        <v>Nov 7, 2023</v>
      </c>
      <c r="L236" s="13" t="n">
        <f aca="false">IF(226&gt;$H$4,"",MATCH(226,'Price List'!$M$2:$M$1352,0))</f>
        <v>226</v>
      </c>
    </row>
    <row r="237" customFormat="false" ht="15" hidden="false" customHeight="false" outlineLevel="0" collapsed="false">
      <c r="A237" s="9" t="n">
        <v>227</v>
      </c>
      <c r="B237" s="10" t="str">
        <f aca="false">IF($L237="","",INDEX('Price List'!$B$2:$B$1352,$L237)&amp;"")</f>
        <v>NAPPCO (Nov 7, 2023 list)</v>
      </c>
      <c r="C237" s="10" t="str">
        <f aca="false">IF($L237="","",INDEX('Price List'!$C$2:$C$1352,$L237)&amp;"")</f>
        <v>Greaseproof Paper</v>
      </c>
      <c r="D237" s="11" t="str">
        <f aca="false">IF($L237="","",INDEX('Price List'!$D$2:$D$1352,$L237)&amp;"")</f>
        <v>Greaseproof</v>
      </c>
      <c r="E237" s="11" t="str">
        <f aca="false">IF($L237="","",INDEX('Price List'!$E$2:$E$1352,$L237)&amp;"")</f>
        <v/>
      </c>
      <c r="F237" s="10" t="str">
        <f aca="false">IF($L237="","",INDEX('Price List'!$F$2:$F$1352,$L237)&amp;"")</f>
        <v>26gsm</v>
      </c>
      <c r="G237" s="10" t="str">
        <f aca="false">IF($L237="","",INDEX('Price List'!$G$2:$G$1352,$L237)&amp;"")</f>
        <v>24 x 36</v>
      </c>
      <c r="H237" s="10" t="str">
        <f aca="false">IF($L237="","",INDEX('Price List'!$H$2:$H$1352,$L237)&amp;"")</f>
        <v>ream</v>
      </c>
      <c r="I237" s="12" t="n">
        <f aca="false">IF($L237="","",IF(INDEX('Price List'!$I$2:$I$1352,$L237)="","",INDEX('Price List'!$I$2:$I$1352,$L237)))</f>
        <v>975</v>
      </c>
      <c r="J237" s="11" t="str">
        <f aca="false">IF($L237="","",INDEX('Price List'!$J$2:$J$1352,$L237)&amp;"")</f>
        <v/>
      </c>
      <c r="K237" s="10" t="str">
        <f aca="false">IF($L237="","",INDEX('Price List'!$K$2:$K$1352,$L237)&amp;"")</f>
        <v>Nov 7, 2023</v>
      </c>
      <c r="L237" s="13" t="n">
        <f aca="false">IF(227&gt;$H$4,"",MATCH(227,'Price List'!$M$2:$M$1352,0))</f>
        <v>227</v>
      </c>
    </row>
    <row r="238" customFormat="false" ht="15" hidden="false" customHeight="false" outlineLevel="0" collapsed="false">
      <c r="A238" s="9" t="n">
        <v>228</v>
      </c>
      <c r="B238" s="10" t="str">
        <f aca="false">IF($L238="","",INDEX('Price List'!$B$2:$B$1352,$L238)&amp;"")</f>
        <v>NAPPCO (Nov 7, 2023 list)</v>
      </c>
      <c r="C238" s="10" t="str">
        <f aca="false">IF($L238="","",INDEX('Price List'!$C$2:$C$1352,$L238)&amp;"")</f>
        <v>Greaseproof Paper</v>
      </c>
      <c r="D238" s="11" t="str">
        <f aca="false">IF($L238="","",INDEX('Price List'!$D$2:$D$1352,$L238)&amp;"")</f>
        <v>Greaseproof</v>
      </c>
      <c r="E238" s="11" t="str">
        <f aca="false">IF($L238="","",INDEX('Price List'!$E$2:$E$1352,$L238)&amp;"")</f>
        <v/>
      </c>
      <c r="F238" s="10" t="str">
        <f aca="false">IF($L238="","",INDEX('Price List'!$F$2:$F$1352,$L238)&amp;"")</f>
        <v>30gsm</v>
      </c>
      <c r="G238" s="10" t="str">
        <f aca="false">IF($L238="","",INDEX('Price List'!$G$2:$G$1352,$L238)&amp;"")</f>
        <v>24 x 36</v>
      </c>
      <c r="H238" s="10" t="str">
        <f aca="false">IF($L238="","",INDEX('Price List'!$H$2:$H$1352,$L238)&amp;"")</f>
        <v>ream</v>
      </c>
      <c r="I238" s="12" t="n">
        <f aca="false">IF($L238="","",IF(INDEX('Price List'!$I$2:$I$1352,$L238)="","",INDEX('Price List'!$I$2:$I$1352,$L238)))</f>
        <v>1125</v>
      </c>
      <c r="J238" s="11" t="str">
        <f aca="false">IF($L238="","",INDEX('Price List'!$J$2:$J$1352,$L238)&amp;"")</f>
        <v/>
      </c>
      <c r="K238" s="10" t="str">
        <f aca="false">IF($L238="","",INDEX('Price List'!$K$2:$K$1352,$L238)&amp;"")</f>
        <v>Nov 7, 2023</v>
      </c>
      <c r="L238" s="13" t="n">
        <f aca="false">IF(228&gt;$H$4,"",MATCH(228,'Price List'!$M$2:$M$1352,0))</f>
        <v>228</v>
      </c>
    </row>
    <row r="239" customFormat="false" ht="15" hidden="false" customHeight="false" outlineLevel="0" collapsed="false">
      <c r="A239" s="9" t="n">
        <v>229</v>
      </c>
      <c r="B239" s="10" t="str">
        <f aca="false">IF($L239="","",INDEX('Price List'!$B$2:$B$1352,$L239)&amp;"")</f>
        <v>NAPPCO (Nov 7, 2023 list)</v>
      </c>
      <c r="C239" s="10" t="str">
        <f aca="false">IF($L239="","",INDEX('Price List'!$C$2:$C$1352,$L239)&amp;"")</f>
        <v>Greaseproof Paper</v>
      </c>
      <c r="D239" s="11" t="str">
        <f aca="false">IF($L239="","",INDEX('Price List'!$D$2:$D$1352,$L239)&amp;"")</f>
        <v>Greaseproof</v>
      </c>
      <c r="E239" s="11" t="str">
        <f aca="false">IF($L239="","",INDEX('Price List'!$E$2:$E$1352,$L239)&amp;"")</f>
        <v/>
      </c>
      <c r="F239" s="10" t="str">
        <f aca="false">IF($L239="","",INDEX('Price List'!$F$2:$F$1352,$L239)&amp;"")</f>
        <v>34/35gsm</v>
      </c>
      <c r="G239" s="10" t="str">
        <f aca="false">IF($L239="","",INDEX('Price List'!$G$2:$G$1352,$L239)&amp;"")</f>
        <v>24 x 36</v>
      </c>
      <c r="H239" s="10" t="str">
        <f aca="false">IF($L239="","",INDEX('Price List'!$H$2:$H$1352,$L239)&amp;"")</f>
        <v>ream</v>
      </c>
      <c r="I239" s="12" t="n">
        <f aca="false">IF($L239="","",IF(INDEX('Price List'!$I$2:$I$1352,$L239)="","",INDEX('Price List'!$I$2:$I$1352,$L239)))</f>
        <v>1270</v>
      </c>
      <c r="J239" s="11" t="str">
        <f aca="false">IF($L239="","",INDEX('Price List'!$J$2:$J$1352,$L239)&amp;"")</f>
        <v/>
      </c>
      <c r="K239" s="10" t="str">
        <f aca="false">IF($L239="","",INDEX('Price List'!$K$2:$K$1352,$L239)&amp;"")</f>
        <v>Nov 7, 2023</v>
      </c>
      <c r="L239" s="13" t="n">
        <f aca="false">IF(229&gt;$H$4,"",MATCH(229,'Price List'!$M$2:$M$1352,0))</f>
        <v>229</v>
      </c>
    </row>
    <row r="240" customFormat="false" ht="15" hidden="false" customHeight="false" outlineLevel="0" collapsed="false">
      <c r="A240" s="9" t="n">
        <v>230</v>
      </c>
      <c r="B240" s="10" t="str">
        <f aca="false">IF($L240="","",INDEX('Price List'!$B$2:$B$1352,$L240)&amp;"")</f>
        <v>NAPPCO (Nov 7, 2023 list)</v>
      </c>
      <c r="C240" s="10" t="str">
        <f aca="false">IF($L240="","",INDEX('Price List'!$C$2:$C$1352,$L240)&amp;"")</f>
        <v>Greaseproof Paper</v>
      </c>
      <c r="D240" s="11" t="str">
        <f aca="false">IF($L240="","",INDEX('Price List'!$D$2:$D$1352,$L240)&amp;"")</f>
        <v>Greaseproof</v>
      </c>
      <c r="E240" s="11" t="str">
        <f aca="false">IF($L240="","",INDEX('Price List'!$E$2:$E$1352,$L240)&amp;"")</f>
        <v/>
      </c>
      <c r="F240" s="10" t="str">
        <f aca="false">IF($L240="","",INDEX('Price List'!$F$2:$F$1352,$L240)&amp;"")</f>
        <v>38gsm (IJ)</v>
      </c>
      <c r="G240" s="10" t="str">
        <f aca="false">IF($L240="","",INDEX('Price List'!$G$2:$G$1352,$L240)&amp;"")</f>
        <v>24 x 36</v>
      </c>
      <c r="H240" s="10" t="str">
        <f aca="false">IF($L240="","",INDEX('Price List'!$H$2:$H$1352,$L240)&amp;"")</f>
        <v>ream</v>
      </c>
      <c r="I240" s="12" t="n">
        <f aca="false">IF($L240="","",IF(INDEX('Price List'!$I$2:$I$1352,$L240)="","",INDEX('Price List'!$I$2:$I$1352,$L240)))</f>
        <v>1450</v>
      </c>
      <c r="J240" s="11" t="str">
        <f aca="false">IF($L240="","",INDEX('Price List'!$J$2:$J$1352,$L240)&amp;"")</f>
        <v/>
      </c>
      <c r="K240" s="10" t="str">
        <f aca="false">IF($L240="","",INDEX('Price List'!$K$2:$K$1352,$L240)&amp;"")</f>
        <v>Nov 7, 2023</v>
      </c>
      <c r="L240" s="13" t="n">
        <f aca="false">IF(230&gt;$H$4,"",MATCH(230,'Price List'!$M$2:$M$1352,0))</f>
        <v>230</v>
      </c>
    </row>
    <row r="241" customFormat="false" ht="15" hidden="false" customHeight="false" outlineLevel="0" collapsed="false">
      <c r="A241" s="9" t="n">
        <v>231</v>
      </c>
      <c r="B241" s="10" t="str">
        <f aca="false">IF($L241="","",INDEX('Price List'!$B$2:$B$1352,$L241)&amp;"")</f>
        <v>NAPPCO (Nov 7, 2023 list)</v>
      </c>
      <c r="C241" s="10" t="str">
        <f aca="false">IF($L241="","",INDEX('Price List'!$C$2:$C$1352,$L241)&amp;"")</f>
        <v>Greaseproof Paper</v>
      </c>
      <c r="D241" s="11" t="str">
        <f aca="false">IF($L241="","",INDEX('Price List'!$D$2:$D$1352,$L241)&amp;"")</f>
        <v>Greaseproof</v>
      </c>
      <c r="E241" s="11" t="str">
        <f aca="false">IF($L241="","",INDEX('Price List'!$E$2:$E$1352,$L241)&amp;"")</f>
        <v/>
      </c>
      <c r="F241" s="10" t="str">
        <f aca="false">IF($L241="","",INDEX('Price List'!$F$2:$F$1352,$L241)&amp;"")</f>
        <v>38gsm (TD)</v>
      </c>
      <c r="G241" s="10" t="str">
        <f aca="false">IF($L241="","",INDEX('Price List'!$G$2:$G$1352,$L241)&amp;"")</f>
        <v>24 x 36</v>
      </c>
      <c r="H241" s="10" t="str">
        <f aca="false">IF($L241="","",INDEX('Price List'!$H$2:$H$1352,$L241)&amp;"")</f>
        <v>ream</v>
      </c>
      <c r="I241" s="12" t="n">
        <f aca="false">IF($L241="","",IF(INDEX('Price List'!$I$2:$I$1352,$L241)="","",INDEX('Price List'!$I$2:$I$1352,$L241)))</f>
        <v>1350</v>
      </c>
      <c r="J241" s="11" t="str">
        <f aca="false">IF($L241="","",INDEX('Price List'!$J$2:$J$1352,$L241)&amp;"")</f>
        <v/>
      </c>
      <c r="K241" s="10" t="str">
        <f aca="false">IF($L241="","",INDEX('Price List'!$K$2:$K$1352,$L241)&amp;"")</f>
        <v>Nov 7, 2023</v>
      </c>
      <c r="L241" s="13" t="n">
        <f aca="false">IF(231&gt;$H$4,"",MATCH(231,'Price List'!$M$2:$M$1352,0))</f>
        <v>231</v>
      </c>
    </row>
    <row r="242" customFormat="false" ht="15" hidden="false" customHeight="false" outlineLevel="0" collapsed="false">
      <c r="A242" s="9" t="n">
        <v>232</v>
      </c>
      <c r="B242" s="10" t="str">
        <f aca="false">IF($L242="","",INDEX('Price List'!$B$2:$B$1352,$L242)&amp;"")</f>
        <v>NAPPCO (Nov 7, 2023 list)</v>
      </c>
      <c r="C242" s="10" t="str">
        <f aca="false">IF($L242="","",INDEX('Price List'!$C$2:$C$1352,$L242)&amp;"")</f>
        <v>Greaseproof Paper</v>
      </c>
      <c r="D242" s="11" t="str">
        <f aca="false">IF($L242="","",INDEX('Price List'!$D$2:$D$1352,$L242)&amp;"")</f>
        <v>Greaseproof</v>
      </c>
      <c r="E242" s="11" t="str">
        <f aca="false">IF($L242="","",INDEX('Price List'!$E$2:$E$1352,$L242)&amp;"")</f>
        <v/>
      </c>
      <c r="F242" s="10" t="str">
        <f aca="false">IF($L242="","",INDEX('Price List'!$F$2:$F$1352,$L242)&amp;"")</f>
        <v>60gsm</v>
      </c>
      <c r="G242" s="10" t="str">
        <f aca="false">IF($L242="","",INDEX('Price List'!$G$2:$G$1352,$L242)&amp;"")</f>
        <v>24 x 36</v>
      </c>
      <c r="H242" s="10" t="str">
        <f aca="false">IF($L242="","",INDEX('Price List'!$H$2:$H$1352,$L242)&amp;"")</f>
        <v>ream</v>
      </c>
      <c r="I242" s="12" t="n">
        <f aca="false">IF($L242="","",IF(INDEX('Price List'!$I$2:$I$1352,$L242)="","",INDEX('Price List'!$I$2:$I$1352,$L242)))</f>
        <v>2295</v>
      </c>
      <c r="J242" s="11" t="str">
        <f aca="false">IF($L242="","",INDEX('Price List'!$J$2:$J$1352,$L242)&amp;"")</f>
        <v/>
      </c>
      <c r="K242" s="10" t="str">
        <f aca="false">IF($L242="","",INDEX('Price List'!$K$2:$K$1352,$L242)&amp;"")</f>
        <v>Nov 7, 2023</v>
      </c>
      <c r="L242" s="13" t="n">
        <f aca="false">IF(232&gt;$H$4,"",MATCH(232,'Price List'!$M$2:$M$1352,0))</f>
        <v>232</v>
      </c>
    </row>
    <row r="243" customFormat="false" ht="15" hidden="false" customHeight="false" outlineLevel="0" collapsed="false">
      <c r="A243" s="9" t="n">
        <v>233</v>
      </c>
      <c r="B243" s="10" t="str">
        <f aca="false">IF($L243="","",INDEX('Price List'!$B$2:$B$1352,$L243)&amp;"")</f>
        <v>NAPPCO (April list - latest)</v>
      </c>
      <c r="C243" s="10" t="str">
        <f aca="false">IF($L243="","",INDEX('Price List'!$C$2:$C$1352,$L243)&amp;"")</f>
        <v>Paperboard</v>
      </c>
      <c r="D243" s="11" t="str">
        <f aca="false">IF($L243="","",INDEX('Price List'!$D$2:$D$1352,$L243)&amp;"")</f>
        <v>Foldcote - Sandwich</v>
      </c>
      <c r="E243" s="11" t="str">
        <f aca="false">IF($L243="","",INDEX('Price List'!$E$2:$E$1352,$L243)&amp;"")</f>
        <v/>
      </c>
      <c r="F243" s="10" t="str">
        <f aca="false">IF($L243="","",INDEX('Price List'!$F$2:$F$1352,$L243)&amp;"")</f>
        <v>Cal. 10</v>
      </c>
      <c r="G243" s="10" t="str">
        <f aca="false">IF($L243="","",INDEX('Price List'!$G$2:$G$1352,$L243)&amp;"")</f>
        <v/>
      </c>
      <c r="H243" s="10" t="str">
        <f aca="false">IF($L243="","",INDEX('Price List'!$H$2:$H$1352,$L243)&amp;"")</f>
        <v>sheet</v>
      </c>
      <c r="I243" s="12" t="n">
        <f aca="false">IF($L243="","",IF(INDEX('Price List'!$I$2:$I$1352,$L243)="","",INDEX('Price List'!$I$2:$I$1352,$L243)))</f>
        <v>10</v>
      </c>
      <c r="J243" s="11" t="str">
        <f aca="false">IF($L243="","",INDEX('Price List'!$J$2:$J$1352,$L243)&amp;"")</f>
        <v/>
      </c>
      <c r="K243" s="10" t="str">
        <f aca="false">IF($L243="","",INDEX('Price List'!$K$2:$K$1352,$L243)&amp;"")</f>
        <v>April (year not shown)</v>
      </c>
      <c r="L243" s="13" t="n">
        <f aca="false">IF(233&gt;$H$4,"",MATCH(233,'Price List'!$M$2:$M$1352,0))</f>
        <v>233</v>
      </c>
    </row>
    <row r="244" customFormat="false" ht="15" hidden="false" customHeight="false" outlineLevel="0" collapsed="false">
      <c r="A244" s="9" t="n">
        <v>234</v>
      </c>
      <c r="B244" s="10" t="str">
        <f aca="false">IF($L244="","",INDEX('Price List'!$B$2:$B$1352,$L244)&amp;"")</f>
        <v>NAPPCO (April list - latest)</v>
      </c>
      <c r="C244" s="10" t="str">
        <f aca="false">IF($L244="","",INDEX('Price List'!$C$2:$C$1352,$L244)&amp;"")</f>
        <v>Paperboard</v>
      </c>
      <c r="D244" s="11" t="str">
        <f aca="false">IF($L244="","",INDEX('Price List'!$D$2:$D$1352,$L244)&amp;"")</f>
        <v>Foldcote - Solid</v>
      </c>
      <c r="E244" s="11" t="str">
        <f aca="false">IF($L244="","",INDEX('Price List'!$E$2:$E$1352,$L244)&amp;"")</f>
        <v/>
      </c>
      <c r="F244" s="10" t="str">
        <f aca="false">IF($L244="","",INDEX('Price List'!$F$2:$F$1352,$L244)&amp;"")</f>
        <v>Cal. 10</v>
      </c>
      <c r="G244" s="10" t="str">
        <f aca="false">IF($L244="","",INDEX('Price List'!$G$2:$G$1352,$L244)&amp;"")</f>
        <v/>
      </c>
      <c r="H244" s="10" t="str">
        <f aca="false">IF($L244="","",INDEX('Price List'!$H$2:$H$1352,$L244)&amp;"")</f>
        <v>sheet</v>
      </c>
      <c r="I244" s="12" t="n">
        <f aca="false">IF($L244="","",IF(INDEX('Price List'!$I$2:$I$1352,$L244)="","",INDEX('Price List'!$I$2:$I$1352,$L244)))</f>
        <v>18.5</v>
      </c>
      <c r="J244" s="11" t="str">
        <f aca="false">IF($L244="","",INDEX('Price List'!$J$2:$J$1352,$L244)&amp;"")</f>
        <v/>
      </c>
      <c r="K244" s="10" t="str">
        <f aca="false">IF($L244="","",INDEX('Price List'!$K$2:$K$1352,$L244)&amp;"")</f>
        <v>April (year not shown)</v>
      </c>
      <c r="L244" s="13" t="n">
        <f aca="false">IF(234&gt;$H$4,"",MATCH(234,'Price List'!$M$2:$M$1352,0))</f>
        <v>234</v>
      </c>
    </row>
    <row r="245" customFormat="false" ht="15" hidden="false" customHeight="false" outlineLevel="0" collapsed="false">
      <c r="A245" s="9" t="n">
        <v>235</v>
      </c>
      <c r="B245" s="10" t="str">
        <f aca="false">IF($L245="","",INDEX('Price List'!$B$2:$B$1352,$L245)&amp;"")</f>
        <v>NAPPCO (April list - latest)</v>
      </c>
      <c r="C245" s="10" t="str">
        <f aca="false">IF($L245="","",INDEX('Price List'!$C$2:$C$1352,$L245)&amp;"")</f>
        <v>Paperboard</v>
      </c>
      <c r="D245" s="11" t="str">
        <f aca="false">IF($L245="","",INDEX('Price List'!$D$2:$D$1352,$L245)&amp;"")</f>
        <v>Claycoat</v>
      </c>
      <c r="E245" s="11" t="str">
        <f aca="false">IF($L245="","",INDEX('Price List'!$E$2:$E$1352,$L245)&amp;"")</f>
        <v>All Kinds</v>
      </c>
      <c r="F245" s="10" t="str">
        <f aca="false">IF($L245="","",INDEX('Price List'!$F$2:$F$1352,$L245)&amp;"")</f>
        <v>Cal. 10</v>
      </c>
      <c r="G245" s="10" t="str">
        <f aca="false">IF($L245="","",INDEX('Price List'!$G$2:$G$1352,$L245)&amp;"")</f>
        <v/>
      </c>
      <c r="H245" s="10" t="str">
        <f aca="false">IF($L245="","",INDEX('Price List'!$H$2:$H$1352,$L245)&amp;"")</f>
        <v>sheet</v>
      </c>
      <c r="I245" s="12" t="n">
        <f aca="false">IF($L245="","",IF(INDEX('Price List'!$I$2:$I$1352,$L245)="","",INDEX('Price List'!$I$2:$I$1352,$L245)))</f>
        <v>10.5</v>
      </c>
      <c r="J245" s="11" t="str">
        <f aca="false">IF($L245="","",INDEX('Price List'!$J$2:$J$1352,$L245)&amp;"")</f>
        <v>Handwritten update</v>
      </c>
      <c r="K245" s="10" t="str">
        <f aca="false">IF($L245="","",INDEX('Price List'!$K$2:$K$1352,$L245)&amp;"")</f>
        <v>April (year not shown)</v>
      </c>
      <c r="L245" s="13" t="n">
        <f aca="false">IF(235&gt;$H$4,"",MATCH(235,'Price List'!$M$2:$M$1352,0))</f>
        <v>235</v>
      </c>
    </row>
    <row r="246" customFormat="false" ht="15" hidden="false" customHeight="false" outlineLevel="0" collapsed="false">
      <c r="A246" s="9" t="n">
        <v>236</v>
      </c>
      <c r="B246" s="10" t="str">
        <f aca="false">IF($L246="","",INDEX('Price List'!$B$2:$B$1352,$L246)&amp;"")</f>
        <v>NAPPCO (April list - latest)</v>
      </c>
      <c r="C246" s="10" t="str">
        <f aca="false">IF($L246="","",INDEX('Price List'!$C$2:$C$1352,$L246)&amp;"")</f>
        <v>Paperboard</v>
      </c>
      <c r="D246" s="11" t="str">
        <f aca="false">IF($L246="","",INDEX('Price List'!$D$2:$D$1352,$L246)&amp;"")</f>
        <v>Carrier (All Kinds)</v>
      </c>
      <c r="E246" s="11" t="str">
        <f aca="false">IF($L246="","",INDEX('Price List'!$E$2:$E$1352,$L246)&amp;"")</f>
        <v/>
      </c>
      <c r="F246" s="10" t="str">
        <f aca="false">IF($L246="","",INDEX('Price List'!$F$2:$F$1352,$L246)&amp;"")</f>
        <v>Cal. 10</v>
      </c>
      <c r="G246" s="10" t="str">
        <f aca="false">IF($L246="","",INDEX('Price List'!$G$2:$G$1352,$L246)&amp;"")</f>
        <v/>
      </c>
      <c r="H246" s="10" t="str">
        <f aca="false">IF($L246="","",INDEX('Price List'!$H$2:$H$1352,$L246)&amp;"")</f>
        <v>sheet</v>
      </c>
      <c r="I246" s="12" t="n">
        <f aca="false">IF($L246="","",IF(INDEX('Price List'!$I$2:$I$1352,$L246)="","",INDEX('Price List'!$I$2:$I$1352,$L246)))</f>
        <v>11.5</v>
      </c>
      <c r="J246" s="11" t="str">
        <f aca="false">IF($L246="","",INDEX('Price List'!$J$2:$J$1352,$L246)&amp;"")</f>
        <v/>
      </c>
      <c r="K246" s="10" t="str">
        <f aca="false">IF($L246="","",INDEX('Price List'!$K$2:$K$1352,$L246)&amp;"")</f>
        <v>April (year not shown)</v>
      </c>
      <c r="L246" s="13" t="n">
        <f aca="false">IF(236&gt;$H$4,"",MATCH(236,'Price List'!$M$2:$M$1352,0))</f>
        <v>236</v>
      </c>
    </row>
    <row r="247" customFormat="false" ht="15" hidden="false" customHeight="false" outlineLevel="0" collapsed="false">
      <c r="A247" s="9" t="n">
        <v>237</v>
      </c>
      <c r="B247" s="10" t="str">
        <f aca="false">IF($L247="","",INDEX('Price List'!$B$2:$B$1352,$L247)&amp;"")</f>
        <v>NAPPCO (April list - latest)</v>
      </c>
      <c r="C247" s="10" t="str">
        <f aca="false">IF($L247="","",INDEX('Price List'!$C$2:$C$1352,$L247)&amp;"")</f>
        <v>Paperboard</v>
      </c>
      <c r="D247" s="11" t="str">
        <f aca="false">IF($L247="","",INDEX('Price List'!$D$2:$D$1352,$L247)&amp;"")</f>
        <v>Foldcote - Sandwich</v>
      </c>
      <c r="E247" s="11" t="str">
        <f aca="false">IF($L247="","",INDEX('Price List'!$E$2:$E$1352,$L247)&amp;"")</f>
        <v/>
      </c>
      <c r="F247" s="10" t="str">
        <f aca="false">IF($L247="","",INDEX('Price List'!$F$2:$F$1352,$L247)&amp;"")</f>
        <v>Cal. 12</v>
      </c>
      <c r="G247" s="10" t="str">
        <f aca="false">IF($L247="","",INDEX('Price List'!$G$2:$G$1352,$L247)&amp;"")</f>
        <v/>
      </c>
      <c r="H247" s="10" t="str">
        <f aca="false">IF($L247="","",INDEX('Price List'!$H$2:$H$1352,$L247)&amp;"")</f>
        <v>sheet</v>
      </c>
      <c r="I247" s="12" t="n">
        <f aca="false">IF($L247="","",IF(INDEX('Price List'!$I$2:$I$1352,$L247)="","",INDEX('Price List'!$I$2:$I$1352,$L247)))</f>
        <v>11</v>
      </c>
      <c r="J247" s="11" t="str">
        <f aca="false">IF($L247="","",INDEX('Price List'!$J$2:$J$1352,$L247)&amp;"")</f>
        <v/>
      </c>
      <c r="K247" s="10" t="str">
        <f aca="false">IF($L247="","",INDEX('Price List'!$K$2:$K$1352,$L247)&amp;"")</f>
        <v>April (year not shown)</v>
      </c>
      <c r="L247" s="13" t="n">
        <f aca="false">IF(237&gt;$H$4,"",MATCH(237,'Price List'!$M$2:$M$1352,0))</f>
        <v>237</v>
      </c>
    </row>
    <row r="248" customFormat="false" ht="15" hidden="false" customHeight="false" outlineLevel="0" collapsed="false">
      <c r="A248" s="9" t="n">
        <v>238</v>
      </c>
      <c r="B248" s="10" t="str">
        <f aca="false">IF($L248="","",INDEX('Price List'!$B$2:$B$1352,$L248)&amp;"")</f>
        <v>NAPPCO (April list - latest)</v>
      </c>
      <c r="C248" s="10" t="str">
        <f aca="false">IF($L248="","",INDEX('Price List'!$C$2:$C$1352,$L248)&amp;"")</f>
        <v>Paperboard</v>
      </c>
      <c r="D248" s="11" t="str">
        <f aca="false">IF($L248="","",INDEX('Price List'!$D$2:$D$1352,$L248)&amp;"")</f>
        <v>Foldcote - Solid</v>
      </c>
      <c r="E248" s="11" t="str">
        <f aca="false">IF($L248="","",INDEX('Price List'!$E$2:$E$1352,$L248)&amp;"")</f>
        <v/>
      </c>
      <c r="F248" s="10" t="str">
        <f aca="false">IF($L248="","",INDEX('Price List'!$F$2:$F$1352,$L248)&amp;"")</f>
        <v>Cal. 12</v>
      </c>
      <c r="G248" s="10" t="str">
        <f aca="false">IF($L248="","",INDEX('Price List'!$G$2:$G$1352,$L248)&amp;"")</f>
        <v/>
      </c>
      <c r="H248" s="10" t="str">
        <f aca="false">IF($L248="","",INDEX('Price List'!$H$2:$H$1352,$L248)&amp;"")</f>
        <v>sheet</v>
      </c>
      <c r="I248" s="12" t="n">
        <f aca="false">IF($L248="","",IF(INDEX('Price List'!$I$2:$I$1352,$L248)="","",INDEX('Price List'!$I$2:$I$1352,$L248)))</f>
        <v>20.5</v>
      </c>
      <c r="J248" s="11" t="str">
        <f aca="false">IF($L248="","",INDEX('Price List'!$J$2:$J$1352,$L248)&amp;"")</f>
        <v/>
      </c>
      <c r="K248" s="10" t="str">
        <f aca="false">IF($L248="","",INDEX('Price List'!$K$2:$K$1352,$L248)&amp;"")</f>
        <v>April (year not shown)</v>
      </c>
      <c r="L248" s="13" t="n">
        <f aca="false">IF(238&gt;$H$4,"",MATCH(238,'Price List'!$M$2:$M$1352,0))</f>
        <v>238</v>
      </c>
    </row>
    <row r="249" customFormat="false" ht="15" hidden="false" customHeight="false" outlineLevel="0" collapsed="false">
      <c r="A249" s="9" t="n">
        <v>239</v>
      </c>
      <c r="B249" s="10" t="str">
        <f aca="false">IF($L249="","",INDEX('Price List'!$B$2:$B$1352,$L249)&amp;"")</f>
        <v>NAPPCO (April list - latest)</v>
      </c>
      <c r="C249" s="10" t="str">
        <f aca="false">IF($L249="","",INDEX('Price List'!$C$2:$C$1352,$L249)&amp;"")</f>
        <v>Paperboard</v>
      </c>
      <c r="D249" s="11" t="str">
        <f aca="false">IF($L249="","",INDEX('Price List'!$D$2:$D$1352,$L249)&amp;"")</f>
        <v>Claycoat</v>
      </c>
      <c r="E249" s="11" t="str">
        <f aca="false">IF($L249="","",INDEX('Price List'!$E$2:$E$1352,$L249)&amp;"")</f>
        <v>All Kinds</v>
      </c>
      <c r="F249" s="10" t="str">
        <f aca="false">IF($L249="","",INDEX('Price List'!$F$2:$F$1352,$L249)&amp;"")</f>
        <v>Cal. 12</v>
      </c>
      <c r="G249" s="10" t="str">
        <f aca="false">IF($L249="","",INDEX('Price List'!$G$2:$G$1352,$L249)&amp;"")</f>
        <v/>
      </c>
      <c r="H249" s="10" t="str">
        <f aca="false">IF($L249="","",INDEX('Price List'!$H$2:$H$1352,$L249)&amp;"")</f>
        <v>sheet</v>
      </c>
      <c r="I249" s="12" t="n">
        <f aca="false">IF($L249="","",IF(INDEX('Price List'!$I$2:$I$1352,$L249)="","",INDEX('Price List'!$I$2:$I$1352,$L249)))</f>
        <v>11</v>
      </c>
      <c r="J249" s="11" t="str">
        <f aca="false">IF($L249="","",INDEX('Price List'!$J$2:$J$1352,$L249)&amp;"")</f>
        <v>Handwritten update</v>
      </c>
      <c r="K249" s="10" t="str">
        <f aca="false">IF($L249="","",INDEX('Price List'!$K$2:$K$1352,$L249)&amp;"")</f>
        <v>April (year not shown)</v>
      </c>
      <c r="L249" s="13" t="n">
        <f aca="false">IF(239&gt;$H$4,"",MATCH(239,'Price List'!$M$2:$M$1352,0))</f>
        <v>239</v>
      </c>
    </row>
    <row r="250" customFormat="false" ht="15" hidden="false" customHeight="false" outlineLevel="0" collapsed="false">
      <c r="A250" s="9" t="n">
        <v>240</v>
      </c>
      <c r="B250" s="10" t="str">
        <f aca="false">IF($L250="","",INDEX('Price List'!$B$2:$B$1352,$L250)&amp;"")</f>
        <v>NAPPCO (April list - latest)</v>
      </c>
      <c r="C250" s="10" t="str">
        <f aca="false">IF($L250="","",INDEX('Price List'!$C$2:$C$1352,$L250)&amp;"")</f>
        <v>Paperboard</v>
      </c>
      <c r="D250" s="11" t="str">
        <f aca="false">IF($L250="","",INDEX('Price List'!$D$2:$D$1352,$L250)&amp;"")</f>
        <v>Carrier (All Kinds)</v>
      </c>
      <c r="E250" s="11" t="str">
        <f aca="false">IF($L250="","",INDEX('Price List'!$E$2:$E$1352,$L250)&amp;"")</f>
        <v/>
      </c>
      <c r="F250" s="10" t="str">
        <f aca="false">IF($L250="","",INDEX('Price List'!$F$2:$F$1352,$L250)&amp;"")</f>
        <v>Cal. 12</v>
      </c>
      <c r="G250" s="10" t="str">
        <f aca="false">IF($L250="","",INDEX('Price List'!$G$2:$G$1352,$L250)&amp;"")</f>
        <v/>
      </c>
      <c r="H250" s="10" t="str">
        <f aca="false">IF($L250="","",INDEX('Price List'!$H$2:$H$1352,$L250)&amp;"")</f>
        <v>sheet</v>
      </c>
      <c r="I250" s="12" t="n">
        <f aca="false">IF($L250="","",IF(INDEX('Price List'!$I$2:$I$1352,$L250)="","",INDEX('Price List'!$I$2:$I$1352,$L250)))</f>
        <v>12</v>
      </c>
      <c r="J250" s="11" t="str">
        <f aca="false">IF($L250="","",INDEX('Price List'!$J$2:$J$1352,$L250)&amp;"")</f>
        <v>Handwritten update ~12.50</v>
      </c>
      <c r="K250" s="10" t="str">
        <f aca="false">IF($L250="","",INDEX('Price List'!$K$2:$K$1352,$L250)&amp;"")</f>
        <v>April (year not shown)</v>
      </c>
      <c r="L250" s="13" t="n">
        <f aca="false">IF(240&gt;$H$4,"",MATCH(240,'Price List'!$M$2:$M$1352,0))</f>
        <v>240</v>
      </c>
    </row>
    <row r="251" customFormat="false" ht="15" hidden="false" customHeight="false" outlineLevel="0" collapsed="false">
      <c r="A251" s="9" t="n">
        <v>241</v>
      </c>
      <c r="B251" s="10" t="str">
        <f aca="false">IF($L251="","",INDEX('Price List'!$B$2:$B$1352,$L251)&amp;"")</f>
        <v>NAPPCO (April list - latest)</v>
      </c>
      <c r="C251" s="10" t="str">
        <f aca="false">IF($L251="","",INDEX('Price List'!$C$2:$C$1352,$L251)&amp;"")</f>
        <v>Paperboard</v>
      </c>
      <c r="D251" s="11" t="str">
        <f aca="false">IF($L251="","",INDEX('Price List'!$D$2:$D$1352,$L251)&amp;"")</f>
        <v>Foldcote - Sandwich</v>
      </c>
      <c r="E251" s="11" t="str">
        <f aca="false">IF($L251="","",INDEX('Price List'!$E$2:$E$1352,$L251)&amp;"")</f>
        <v/>
      </c>
      <c r="F251" s="10" t="str">
        <f aca="false">IF($L251="","",INDEX('Price List'!$F$2:$F$1352,$L251)&amp;"")</f>
        <v>Cal. 15</v>
      </c>
      <c r="G251" s="10" t="str">
        <f aca="false">IF($L251="","",INDEX('Price List'!$G$2:$G$1352,$L251)&amp;"")</f>
        <v/>
      </c>
      <c r="H251" s="10" t="str">
        <f aca="false">IF($L251="","",INDEX('Price List'!$H$2:$H$1352,$L251)&amp;"")</f>
        <v>sheet</v>
      </c>
      <c r="I251" s="12" t="n">
        <f aca="false">IF($L251="","",IF(INDEX('Price List'!$I$2:$I$1352,$L251)="","",INDEX('Price List'!$I$2:$I$1352,$L251)))</f>
        <v>13</v>
      </c>
      <c r="J251" s="11" t="str">
        <f aca="false">IF($L251="","",INDEX('Price List'!$J$2:$J$1352,$L251)&amp;"")</f>
        <v/>
      </c>
      <c r="K251" s="10" t="str">
        <f aca="false">IF($L251="","",INDEX('Price List'!$K$2:$K$1352,$L251)&amp;"")</f>
        <v>April (year not shown)</v>
      </c>
      <c r="L251" s="13" t="n">
        <f aca="false">IF(241&gt;$H$4,"",MATCH(241,'Price List'!$M$2:$M$1352,0))</f>
        <v>241</v>
      </c>
    </row>
    <row r="252" customFormat="false" ht="15" hidden="false" customHeight="false" outlineLevel="0" collapsed="false">
      <c r="A252" s="9" t="n">
        <v>242</v>
      </c>
      <c r="B252" s="10" t="str">
        <f aca="false">IF($L252="","",INDEX('Price List'!$B$2:$B$1352,$L252)&amp;"")</f>
        <v>NAPPCO (April list - latest)</v>
      </c>
      <c r="C252" s="10" t="str">
        <f aca="false">IF($L252="","",INDEX('Price List'!$C$2:$C$1352,$L252)&amp;"")</f>
        <v>Paperboard</v>
      </c>
      <c r="D252" s="11" t="str">
        <f aca="false">IF($L252="","",INDEX('Price List'!$D$2:$D$1352,$L252)&amp;"")</f>
        <v>Foldcote - Solid</v>
      </c>
      <c r="E252" s="11" t="str">
        <f aca="false">IF($L252="","",INDEX('Price List'!$E$2:$E$1352,$L252)&amp;"")</f>
        <v/>
      </c>
      <c r="F252" s="10" t="str">
        <f aca="false">IF($L252="","",INDEX('Price List'!$F$2:$F$1352,$L252)&amp;"")</f>
        <v>Cal. 15</v>
      </c>
      <c r="G252" s="10" t="str">
        <f aca="false">IF($L252="","",INDEX('Price List'!$G$2:$G$1352,$L252)&amp;"")</f>
        <v/>
      </c>
      <c r="H252" s="10" t="str">
        <f aca="false">IF($L252="","",INDEX('Price List'!$H$2:$H$1352,$L252)&amp;"")</f>
        <v>sheet</v>
      </c>
      <c r="I252" s="12" t="n">
        <f aca="false">IF($L252="","",IF(INDEX('Price List'!$I$2:$I$1352,$L252)="","",INDEX('Price List'!$I$2:$I$1352,$L252)))</f>
        <v>24</v>
      </c>
      <c r="J252" s="11" t="str">
        <f aca="false">IF($L252="","",INDEX('Price List'!$J$2:$J$1352,$L252)&amp;"")</f>
        <v/>
      </c>
      <c r="K252" s="10" t="str">
        <f aca="false">IF($L252="","",INDEX('Price List'!$K$2:$K$1352,$L252)&amp;"")</f>
        <v>April (year not shown)</v>
      </c>
      <c r="L252" s="13" t="n">
        <f aca="false">IF(242&gt;$H$4,"",MATCH(242,'Price List'!$M$2:$M$1352,0))</f>
        <v>242</v>
      </c>
    </row>
    <row r="253" customFormat="false" ht="15" hidden="false" customHeight="false" outlineLevel="0" collapsed="false">
      <c r="A253" s="9" t="n">
        <v>243</v>
      </c>
      <c r="B253" s="10" t="str">
        <f aca="false">IF($L253="","",INDEX('Price List'!$B$2:$B$1352,$L253)&amp;"")</f>
        <v>NAPPCO (April list - latest)</v>
      </c>
      <c r="C253" s="10" t="str">
        <f aca="false">IF($L253="","",INDEX('Price List'!$C$2:$C$1352,$L253)&amp;"")</f>
        <v>Paperboard</v>
      </c>
      <c r="D253" s="11" t="str">
        <f aca="false">IF($L253="","",INDEX('Price List'!$D$2:$D$1352,$L253)&amp;"")</f>
        <v>Claycoat</v>
      </c>
      <c r="E253" s="11" t="str">
        <f aca="false">IF($L253="","",INDEX('Price List'!$E$2:$E$1352,$L253)&amp;"")</f>
        <v>All Kinds</v>
      </c>
      <c r="F253" s="10" t="str">
        <f aca="false">IF($L253="","",INDEX('Price List'!$F$2:$F$1352,$L253)&amp;"")</f>
        <v>Cal. 15</v>
      </c>
      <c r="G253" s="10" t="str">
        <f aca="false">IF($L253="","",INDEX('Price List'!$G$2:$G$1352,$L253)&amp;"")</f>
        <v/>
      </c>
      <c r="H253" s="10" t="str">
        <f aca="false">IF($L253="","",INDEX('Price List'!$H$2:$H$1352,$L253)&amp;"")</f>
        <v>sheet</v>
      </c>
      <c r="I253" s="12" t="n">
        <f aca="false">IF($L253="","",IF(INDEX('Price List'!$I$2:$I$1352,$L253)="","",INDEX('Price List'!$I$2:$I$1352,$L253)))</f>
        <v>12.5</v>
      </c>
      <c r="J253" s="11" t="str">
        <f aca="false">IF($L253="","",INDEX('Price List'!$J$2:$J$1352,$L253)&amp;"")</f>
        <v>Handwritten update</v>
      </c>
      <c r="K253" s="10" t="str">
        <f aca="false">IF($L253="","",INDEX('Price List'!$K$2:$K$1352,$L253)&amp;"")</f>
        <v>April (year not shown)</v>
      </c>
      <c r="L253" s="13" t="n">
        <f aca="false">IF(243&gt;$H$4,"",MATCH(243,'Price List'!$M$2:$M$1352,0))</f>
        <v>243</v>
      </c>
    </row>
    <row r="254" customFormat="false" ht="15" hidden="false" customHeight="false" outlineLevel="0" collapsed="false">
      <c r="A254" s="9" t="n">
        <v>244</v>
      </c>
      <c r="B254" s="10" t="str">
        <f aca="false">IF($L254="","",INDEX('Price List'!$B$2:$B$1352,$L254)&amp;"")</f>
        <v>NAPPCO (April list - latest)</v>
      </c>
      <c r="C254" s="10" t="str">
        <f aca="false">IF($L254="","",INDEX('Price List'!$C$2:$C$1352,$L254)&amp;"")</f>
        <v>Paperboard</v>
      </c>
      <c r="D254" s="11" t="str">
        <f aca="false">IF($L254="","",INDEX('Price List'!$D$2:$D$1352,$L254)&amp;"")</f>
        <v>Carrier (All Kinds)</v>
      </c>
      <c r="E254" s="11" t="str">
        <f aca="false">IF($L254="","",INDEX('Price List'!$E$2:$E$1352,$L254)&amp;"")</f>
        <v/>
      </c>
      <c r="F254" s="10" t="str">
        <f aca="false">IF($L254="","",INDEX('Price List'!$F$2:$F$1352,$L254)&amp;"")</f>
        <v>Cal. 15</v>
      </c>
      <c r="G254" s="10" t="str">
        <f aca="false">IF($L254="","",INDEX('Price List'!$G$2:$G$1352,$L254)&amp;"")</f>
        <v/>
      </c>
      <c r="H254" s="10" t="str">
        <f aca="false">IF($L254="","",INDEX('Price List'!$H$2:$H$1352,$L254)&amp;"")</f>
        <v>sheet</v>
      </c>
      <c r="I254" s="12" t="n">
        <f aca="false">IF($L254="","",IF(INDEX('Price List'!$I$2:$I$1352,$L254)="","",INDEX('Price List'!$I$2:$I$1352,$L254)))</f>
        <v>14</v>
      </c>
      <c r="J254" s="11" t="str">
        <f aca="false">IF($L254="","",INDEX('Price List'!$J$2:$J$1352,$L254)&amp;"")</f>
        <v>Printed 14.00/14.50</v>
      </c>
      <c r="K254" s="10" t="str">
        <f aca="false">IF($L254="","",INDEX('Price List'!$K$2:$K$1352,$L254)&amp;"")</f>
        <v>April (year not shown)</v>
      </c>
      <c r="L254" s="13" t="n">
        <f aca="false">IF(244&gt;$H$4,"",MATCH(244,'Price List'!$M$2:$M$1352,0))</f>
        <v>244</v>
      </c>
    </row>
    <row r="255" customFormat="false" ht="15" hidden="false" customHeight="false" outlineLevel="0" collapsed="false">
      <c r="A255" s="9" t="n">
        <v>245</v>
      </c>
      <c r="B255" s="10" t="str">
        <f aca="false">IF($L255="","",INDEX('Price List'!$B$2:$B$1352,$L255)&amp;"")</f>
        <v>NAPPCO (April list - latest)</v>
      </c>
      <c r="C255" s="10" t="str">
        <f aca="false">IF($L255="","",INDEX('Price List'!$C$2:$C$1352,$L255)&amp;"")</f>
        <v>Paperboard</v>
      </c>
      <c r="D255" s="11" t="str">
        <f aca="false">IF($L255="","",INDEX('Price List'!$D$2:$D$1352,$L255)&amp;"")</f>
        <v>Foldcote - Sandwich</v>
      </c>
      <c r="E255" s="11" t="str">
        <f aca="false">IF($L255="","",INDEX('Price List'!$E$2:$E$1352,$L255)&amp;"")</f>
        <v/>
      </c>
      <c r="F255" s="10" t="str">
        <f aca="false">IF($L255="","",INDEX('Price List'!$F$2:$F$1352,$L255)&amp;"")</f>
        <v>Cal. 18</v>
      </c>
      <c r="G255" s="10" t="str">
        <f aca="false">IF($L255="","",INDEX('Price List'!$G$2:$G$1352,$L255)&amp;"")</f>
        <v/>
      </c>
      <c r="H255" s="10" t="str">
        <f aca="false">IF($L255="","",INDEX('Price List'!$H$2:$H$1352,$L255)&amp;"")</f>
        <v>sheet</v>
      </c>
      <c r="I255" s="12" t="n">
        <f aca="false">IF($L255="","",IF(INDEX('Price List'!$I$2:$I$1352,$L255)="","",INDEX('Price List'!$I$2:$I$1352,$L255)))</f>
        <v>15.5</v>
      </c>
      <c r="J255" s="11" t="str">
        <f aca="false">IF($L255="","",INDEX('Price List'!$J$2:$J$1352,$L255)&amp;"")</f>
        <v/>
      </c>
      <c r="K255" s="10" t="str">
        <f aca="false">IF($L255="","",INDEX('Price List'!$K$2:$K$1352,$L255)&amp;"")</f>
        <v>April (year not shown)</v>
      </c>
      <c r="L255" s="13" t="n">
        <f aca="false">IF(245&gt;$H$4,"",MATCH(245,'Price List'!$M$2:$M$1352,0))</f>
        <v>245</v>
      </c>
    </row>
    <row r="256" customFormat="false" ht="15" hidden="false" customHeight="false" outlineLevel="0" collapsed="false">
      <c r="A256" s="9" t="n">
        <v>246</v>
      </c>
      <c r="B256" s="10" t="str">
        <f aca="false">IF($L256="","",INDEX('Price List'!$B$2:$B$1352,$L256)&amp;"")</f>
        <v>NAPPCO (April list - latest)</v>
      </c>
      <c r="C256" s="10" t="str">
        <f aca="false">IF($L256="","",INDEX('Price List'!$C$2:$C$1352,$L256)&amp;"")</f>
        <v>Paperboard</v>
      </c>
      <c r="D256" s="11" t="str">
        <f aca="false">IF($L256="","",INDEX('Price List'!$D$2:$D$1352,$L256)&amp;"")</f>
        <v>Foldcote - Solid</v>
      </c>
      <c r="E256" s="11" t="str">
        <f aca="false">IF($L256="","",INDEX('Price List'!$E$2:$E$1352,$L256)&amp;"")</f>
        <v/>
      </c>
      <c r="F256" s="10" t="str">
        <f aca="false">IF($L256="","",INDEX('Price List'!$F$2:$F$1352,$L256)&amp;"")</f>
        <v>Cal. 18</v>
      </c>
      <c r="G256" s="10" t="str">
        <f aca="false">IF($L256="","",INDEX('Price List'!$G$2:$G$1352,$L256)&amp;"")</f>
        <v/>
      </c>
      <c r="H256" s="10" t="str">
        <f aca="false">IF($L256="","",INDEX('Price List'!$H$2:$H$1352,$L256)&amp;"")</f>
        <v>sheet</v>
      </c>
      <c r="I256" s="12" t="n">
        <f aca="false">IF($L256="","",IF(INDEX('Price List'!$I$2:$I$1352,$L256)="","",INDEX('Price List'!$I$2:$I$1352,$L256)))</f>
        <v>28</v>
      </c>
      <c r="J256" s="11" t="str">
        <f aca="false">IF($L256="","",INDEX('Price List'!$J$2:$J$1352,$L256)&amp;"")</f>
        <v/>
      </c>
      <c r="K256" s="10" t="str">
        <f aca="false">IF($L256="","",INDEX('Price List'!$K$2:$K$1352,$L256)&amp;"")</f>
        <v>April (year not shown)</v>
      </c>
      <c r="L256" s="13" t="n">
        <f aca="false">IF(246&gt;$H$4,"",MATCH(246,'Price List'!$M$2:$M$1352,0))</f>
        <v>246</v>
      </c>
    </row>
    <row r="257" customFormat="false" ht="15" hidden="false" customHeight="false" outlineLevel="0" collapsed="false">
      <c r="A257" s="9" t="n">
        <v>247</v>
      </c>
      <c r="B257" s="10" t="str">
        <f aca="false">IF($L257="","",INDEX('Price List'!$B$2:$B$1352,$L257)&amp;"")</f>
        <v>NAPPCO (April list - latest)</v>
      </c>
      <c r="C257" s="10" t="str">
        <f aca="false">IF($L257="","",INDEX('Price List'!$C$2:$C$1352,$L257)&amp;"")</f>
        <v>Paperboard</v>
      </c>
      <c r="D257" s="11" t="str">
        <f aca="false">IF($L257="","",INDEX('Price List'!$D$2:$D$1352,$L257)&amp;"")</f>
        <v>Claycoat</v>
      </c>
      <c r="E257" s="11" t="str">
        <f aca="false">IF($L257="","",INDEX('Price List'!$E$2:$E$1352,$L257)&amp;"")</f>
        <v>All Kinds</v>
      </c>
      <c r="F257" s="10" t="str">
        <f aca="false">IF($L257="","",INDEX('Price List'!$F$2:$F$1352,$L257)&amp;"")</f>
        <v>Cal. 18</v>
      </c>
      <c r="G257" s="10" t="str">
        <f aca="false">IF($L257="","",INDEX('Price List'!$G$2:$G$1352,$L257)&amp;"")</f>
        <v/>
      </c>
      <c r="H257" s="10" t="str">
        <f aca="false">IF($L257="","",INDEX('Price List'!$H$2:$H$1352,$L257)&amp;"")</f>
        <v>sheet</v>
      </c>
      <c r="I257" s="12" t="n">
        <f aca="false">IF($L257="","",IF(INDEX('Price List'!$I$2:$I$1352,$L257)="","",INDEX('Price List'!$I$2:$I$1352,$L257)))</f>
        <v>14</v>
      </c>
      <c r="J257" s="11" t="str">
        <f aca="false">IF($L257="","",INDEX('Price List'!$J$2:$J$1352,$L257)&amp;"")</f>
        <v>Handwritten update</v>
      </c>
      <c r="K257" s="10" t="str">
        <f aca="false">IF($L257="","",INDEX('Price List'!$K$2:$K$1352,$L257)&amp;"")</f>
        <v>April (year not shown)</v>
      </c>
      <c r="L257" s="13" t="n">
        <f aca="false">IF(247&gt;$H$4,"",MATCH(247,'Price List'!$M$2:$M$1352,0))</f>
        <v>247</v>
      </c>
    </row>
    <row r="258" customFormat="false" ht="15" hidden="false" customHeight="false" outlineLevel="0" collapsed="false">
      <c r="A258" s="9" t="n">
        <v>248</v>
      </c>
      <c r="B258" s="10" t="str">
        <f aca="false">IF($L258="","",INDEX('Price List'!$B$2:$B$1352,$L258)&amp;"")</f>
        <v>NAPPCO (April list - latest)</v>
      </c>
      <c r="C258" s="10" t="str">
        <f aca="false">IF($L258="","",INDEX('Price List'!$C$2:$C$1352,$L258)&amp;"")</f>
        <v>Paperboard</v>
      </c>
      <c r="D258" s="11" t="str">
        <f aca="false">IF($L258="","",INDEX('Price List'!$D$2:$D$1352,$L258)&amp;"")</f>
        <v>Carrier (All Kinds)</v>
      </c>
      <c r="E258" s="11" t="str">
        <f aca="false">IF($L258="","",INDEX('Price List'!$E$2:$E$1352,$L258)&amp;"")</f>
        <v/>
      </c>
      <c r="F258" s="10" t="str">
        <f aca="false">IF($L258="","",INDEX('Price List'!$F$2:$F$1352,$L258)&amp;"")</f>
        <v>Cal. 18</v>
      </c>
      <c r="G258" s="10" t="str">
        <f aca="false">IF($L258="","",INDEX('Price List'!$G$2:$G$1352,$L258)&amp;"")</f>
        <v/>
      </c>
      <c r="H258" s="10" t="str">
        <f aca="false">IF($L258="","",INDEX('Price List'!$H$2:$H$1352,$L258)&amp;"")</f>
        <v>sheet</v>
      </c>
      <c r="I258" s="12" t="n">
        <f aca="false">IF($L258="","",IF(INDEX('Price List'!$I$2:$I$1352,$L258)="","",INDEX('Price List'!$I$2:$I$1352,$L258)))</f>
        <v>15</v>
      </c>
      <c r="J258" s="11" t="str">
        <f aca="false">IF($L258="","",INDEX('Price List'!$J$2:$J$1352,$L258)&amp;"")</f>
        <v>Printed 15.00/15.50</v>
      </c>
      <c r="K258" s="10" t="str">
        <f aca="false">IF($L258="","",INDEX('Price List'!$K$2:$K$1352,$L258)&amp;"")</f>
        <v>April (year not shown)</v>
      </c>
      <c r="L258" s="13" t="n">
        <f aca="false">IF(248&gt;$H$4,"",MATCH(248,'Price List'!$M$2:$M$1352,0))</f>
        <v>248</v>
      </c>
    </row>
    <row r="259" customFormat="false" ht="15" hidden="false" customHeight="false" outlineLevel="0" collapsed="false">
      <c r="A259" s="9" t="n">
        <v>249</v>
      </c>
      <c r="B259" s="10" t="str">
        <f aca="false">IF($L259="","",INDEX('Price List'!$B$2:$B$1352,$L259)&amp;"")</f>
        <v>NAPPCO (April list - latest)</v>
      </c>
      <c r="C259" s="10" t="str">
        <f aca="false">IF($L259="","",INDEX('Price List'!$C$2:$C$1352,$L259)&amp;"")</f>
        <v>Paperboard</v>
      </c>
      <c r="D259" s="11" t="str">
        <f aca="false">IF($L259="","",INDEX('Price List'!$D$2:$D$1352,$L259)&amp;"")</f>
        <v>Foldcote - Sandwich</v>
      </c>
      <c r="E259" s="11" t="str">
        <f aca="false">IF($L259="","",INDEX('Price List'!$E$2:$E$1352,$L259)&amp;"")</f>
        <v/>
      </c>
      <c r="F259" s="10" t="str">
        <f aca="false">IF($L259="","",INDEX('Price List'!$F$2:$F$1352,$L259)&amp;"")</f>
        <v>Cal. 20</v>
      </c>
      <c r="G259" s="10" t="str">
        <f aca="false">IF($L259="","",INDEX('Price List'!$G$2:$G$1352,$L259)&amp;"")</f>
        <v/>
      </c>
      <c r="H259" s="10" t="str">
        <f aca="false">IF($L259="","",INDEX('Price List'!$H$2:$H$1352,$L259)&amp;"")</f>
        <v>sheet</v>
      </c>
      <c r="I259" s="12" t="n">
        <f aca="false">IF($L259="","",IF(INDEX('Price List'!$I$2:$I$1352,$L259)="","",INDEX('Price List'!$I$2:$I$1352,$L259)))</f>
        <v>17</v>
      </c>
      <c r="J259" s="11" t="str">
        <f aca="false">IF($L259="","",INDEX('Price List'!$J$2:$J$1352,$L259)&amp;"")</f>
        <v/>
      </c>
      <c r="K259" s="10" t="str">
        <f aca="false">IF($L259="","",INDEX('Price List'!$K$2:$K$1352,$L259)&amp;"")</f>
        <v>April (year not shown)</v>
      </c>
      <c r="L259" s="13" t="n">
        <f aca="false">IF(249&gt;$H$4,"",MATCH(249,'Price List'!$M$2:$M$1352,0))</f>
        <v>249</v>
      </c>
    </row>
    <row r="260" customFormat="false" ht="15" hidden="false" customHeight="false" outlineLevel="0" collapsed="false">
      <c r="A260" s="9" t="n">
        <v>250</v>
      </c>
      <c r="B260" s="10" t="str">
        <f aca="false">IF($L260="","",INDEX('Price List'!$B$2:$B$1352,$L260)&amp;"")</f>
        <v>NAPPCO (April list - latest)</v>
      </c>
      <c r="C260" s="10" t="str">
        <f aca="false">IF($L260="","",INDEX('Price List'!$C$2:$C$1352,$L260)&amp;"")</f>
        <v>Paperboard</v>
      </c>
      <c r="D260" s="11" t="str">
        <f aca="false">IF($L260="","",INDEX('Price List'!$D$2:$D$1352,$L260)&amp;"")</f>
        <v>Foldcote - Solid</v>
      </c>
      <c r="E260" s="11" t="str">
        <f aca="false">IF($L260="","",INDEX('Price List'!$E$2:$E$1352,$L260)&amp;"")</f>
        <v/>
      </c>
      <c r="F260" s="10" t="str">
        <f aca="false">IF($L260="","",INDEX('Price List'!$F$2:$F$1352,$L260)&amp;"")</f>
        <v>Cal. 20</v>
      </c>
      <c r="G260" s="10" t="str">
        <f aca="false">IF($L260="","",INDEX('Price List'!$G$2:$G$1352,$L260)&amp;"")</f>
        <v/>
      </c>
      <c r="H260" s="10" t="str">
        <f aca="false">IF($L260="","",INDEX('Price List'!$H$2:$H$1352,$L260)&amp;"")</f>
        <v>sheet</v>
      </c>
      <c r="I260" s="12" t="n">
        <f aca="false">IF($L260="","",IF(INDEX('Price List'!$I$2:$I$1352,$L260)="","",INDEX('Price List'!$I$2:$I$1352,$L260)))</f>
        <v>31</v>
      </c>
      <c r="J260" s="11" t="str">
        <f aca="false">IF($L260="","",INDEX('Price List'!$J$2:$J$1352,$L260)&amp;"")</f>
        <v/>
      </c>
      <c r="K260" s="10" t="str">
        <f aca="false">IF($L260="","",INDEX('Price List'!$K$2:$K$1352,$L260)&amp;"")</f>
        <v>April (year not shown)</v>
      </c>
      <c r="L260" s="13" t="n">
        <f aca="false">IF(250&gt;$H$4,"",MATCH(250,'Price List'!$M$2:$M$1352,0))</f>
        <v>250</v>
      </c>
    </row>
    <row r="261" customFormat="false" ht="15" hidden="false" customHeight="false" outlineLevel="0" collapsed="false">
      <c r="A261" s="9" t="n">
        <v>251</v>
      </c>
      <c r="B261" s="10" t="str">
        <f aca="false">IF($L261="","",INDEX('Price List'!$B$2:$B$1352,$L261)&amp;"")</f>
        <v>NAPPCO (April list - latest)</v>
      </c>
      <c r="C261" s="10" t="str">
        <f aca="false">IF($L261="","",INDEX('Price List'!$C$2:$C$1352,$L261)&amp;"")</f>
        <v>Paperboard</v>
      </c>
      <c r="D261" s="11" t="str">
        <f aca="false">IF($L261="","",INDEX('Price List'!$D$2:$D$1352,$L261)&amp;"")</f>
        <v>Claycoat</v>
      </c>
      <c r="E261" s="11" t="str">
        <f aca="false">IF($L261="","",INDEX('Price List'!$E$2:$E$1352,$L261)&amp;"")</f>
        <v>All Kinds</v>
      </c>
      <c r="F261" s="10" t="str">
        <f aca="false">IF($L261="","",INDEX('Price List'!$F$2:$F$1352,$L261)&amp;"")</f>
        <v>Cal. 20</v>
      </c>
      <c r="G261" s="10" t="str">
        <f aca="false">IF($L261="","",INDEX('Price List'!$G$2:$G$1352,$L261)&amp;"")</f>
        <v/>
      </c>
      <c r="H261" s="10" t="str">
        <f aca="false">IF($L261="","",INDEX('Price List'!$H$2:$H$1352,$L261)&amp;"")</f>
        <v>sheet</v>
      </c>
      <c r="I261" s="12" t="n">
        <f aca="false">IF($L261="","",IF(INDEX('Price List'!$I$2:$I$1352,$L261)="","",INDEX('Price List'!$I$2:$I$1352,$L261)))</f>
        <v>15.5</v>
      </c>
      <c r="J261" s="11" t="str">
        <f aca="false">IF($L261="","",INDEX('Price List'!$J$2:$J$1352,$L261)&amp;"")</f>
        <v>Handwritten update</v>
      </c>
      <c r="K261" s="10" t="str">
        <f aca="false">IF($L261="","",INDEX('Price List'!$K$2:$K$1352,$L261)&amp;"")</f>
        <v>April (year not shown)</v>
      </c>
      <c r="L261" s="13" t="n">
        <f aca="false">IF(251&gt;$H$4,"",MATCH(251,'Price List'!$M$2:$M$1352,0))</f>
        <v>251</v>
      </c>
    </row>
    <row r="262" customFormat="false" ht="15" hidden="false" customHeight="false" outlineLevel="0" collapsed="false">
      <c r="A262" s="9" t="n">
        <v>252</v>
      </c>
      <c r="B262" s="10" t="str">
        <f aca="false">IF($L262="","",INDEX('Price List'!$B$2:$B$1352,$L262)&amp;"")</f>
        <v>NAPPCO (April list - latest)</v>
      </c>
      <c r="C262" s="10" t="str">
        <f aca="false">IF($L262="","",INDEX('Price List'!$C$2:$C$1352,$L262)&amp;"")</f>
        <v>Paperboard</v>
      </c>
      <c r="D262" s="11" t="str">
        <f aca="false">IF($L262="","",INDEX('Price List'!$D$2:$D$1352,$L262)&amp;"")</f>
        <v>Carrier (All Kinds)</v>
      </c>
      <c r="E262" s="11" t="str">
        <f aca="false">IF($L262="","",INDEX('Price List'!$E$2:$E$1352,$L262)&amp;"")</f>
        <v/>
      </c>
      <c r="F262" s="10" t="str">
        <f aca="false">IF($L262="","",INDEX('Price List'!$F$2:$F$1352,$L262)&amp;"")</f>
        <v>Cal. 20</v>
      </c>
      <c r="G262" s="10" t="str">
        <f aca="false">IF($L262="","",INDEX('Price List'!$G$2:$G$1352,$L262)&amp;"")</f>
        <v/>
      </c>
      <c r="H262" s="10" t="str">
        <f aca="false">IF($L262="","",INDEX('Price List'!$H$2:$H$1352,$L262)&amp;"")</f>
        <v>sheet</v>
      </c>
      <c r="I262" s="12" t="n">
        <f aca="false">IF($L262="","",IF(INDEX('Price List'!$I$2:$I$1352,$L262)="","",INDEX('Price List'!$I$2:$I$1352,$L262)))</f>
        <v>16</v>
      </c>
      <c r="J262" s="11" t="str">
        <f aca="false">IF($L262="","",INDEX('Price List'!$J$2:$J$1352,$L262)&amp;"")</f>
        <v>Printed 16.00/16.50</v>
      </c>
      <c r="K262" s="10" t="str">
        <f aca="false">IF($L262="","",INDEX('Price List'!$K$2:$K$1352,$L262)&amp;"")</f>
        <v>April (year not shown)</v>
      </c>
      <c r="L262" s="13" t="n">
        <f aca="false">IF(252&gt;$H$4,"",MATCH(252,'Price List'!$M$2:$M$1352,0))</f>
        <v>252</v>
      </c>
    </row>
    <row r="263" customFormat="false" ht="15" hidden="false" customHeight="false" outlineLevel="0" collapsed="false">
      <c r="A263" s="9" t="n">
        <v>253</v>
      </c>
      <c r="B263" s="10" t="str">
        <f aca="false">IF($L263="","",INDEX('Price List'!$B$2:$B$1352,$L263)&amp;"")</f>
        <v>NAPPCO (April list - latest)</v>
      </c>
      <c r="C263" s="10" t="str">
        <f aca="false">IF($L263="","",INDEX('Price List'!$C$2:$C$1352,$L263)&amp;"")</f>
        <v>Paperboard</v>
      </c>
      <c r="D263" s="11" t="str">
        <f aca="false">IF($L263="","",INDEX('Price List'!$D$2:$D$1352,$L263)&amp;"")</f>
        <v>Carrier (All Kinds)</v>
      </c>
      <c r="E263" s="11" t="str">
        <f aca="false">IF($L263="","",INDEX('Price List'!$E$2:$E$1352,$L263)&amp;"")</f>
        <v/>
      </c>
      <c r="F263" s="10" t="str">
        <f aca="false">IF($L263="","",INDEX('Price List'!$F$2:$F$1352,$L263)&amp;"")</f>
        <v>Cal. 22</v>
      </c>
      <c r="G263" s="10" t="str">
        <f aca="false">IF($L263="","",INDEX('Price List'!$G$2:$G$1352,$L263)&amp;"")</f>
        <v/>
      </c>
      <c r="H263" s="10" t="str">
        <f aca="false">IF($L263="","",INDEX('Price List'!$H$2:$H$1352,$L263)&amp;"")</f>
        <v>sheet</v>
      </c>
      <c r="I263" s="12" t="n">
        <f aca="false">IF($L263="","",IF(INDEX('Price List'!$I$2:$I$1352,$L263)="","",INDEX('Price List'!$I$2:$I$1352,$L263)))</f>
        <v>17.5</v>
      </c>
      <c r="J263" s="11" t="str">
        <f aca="false">IF($L263="","",INDEX('Price List'!$J$2:$J$1352,$L263)&amp;"")</f>
        <v/>
      </c>
      <c r="K263" s="10" t="str">
        <f aca="false">IF($L263="","",INDEX('Price List'!$K$2:$K$1352,$L263)&amp;"")</f>
        <v>April (year not shown)</v>
      </c>
      <c r="L263" s="13" t="n">
        <f aca="false">IF(253&gt;$H$4,"",MATCH(253,'Price List'!$M$2:$M$1352,0))</f>
        <v>253</v>
      </c>
    </row>
    <row r="264" customFormat="false" ht="15" hidden="false" customHeight="false" outlineLevel="0" collapsed="false">
      <c r="A264" s="9" t="n">
        <v>254</v>
      </c>
      <c r="B264" s="10" t="str">
        <f aca="false">IF($L264="","",INDEX('Price List'!$B$2:$B$1352,$L264)&amp;"")</f>
        <v>NAPPCO (April list - latest)</v>
      </c>
      <c r="C264" s="10" t="str">
        <f aca="false">IF($L264="","",INDEX('Price List'!$C$2:$C$1352,$L264)&amp;"")</f>
        <v>Paperboard</v>
      </c>
      <c r="D264" s="11" t="str">
        <f aca="false">IF($L264="","",INDEX('Price List'!$D$2:$D$1352,$L264)&amp;"")</f>
        <v>Foldcote - Sandwich</v>
      </c>
      <c r="E264" s="11" t="str">
        <f aca="false">IF($L264="","",INDEX('Price List'!$E$2:$E$1352,$L264)&amp;"")</f>
        <v/>
      </c>
      <c r="F264" s="10" t="str">
        <f aca="false">IF($L264="","",INDEX('Price List'!$F$2:$F$1352,$L264)&amp;"")</f>
        <v>Cal. 24</v>
      </c>
      <c r="G264" s="10" t="str">
        <f aca="false">IF($L264="","",INDEX('Price List'!$G$2:$G$1352,$L264)&amp;"")</f>
        <v/>
      </c>
      <c r="H264" s="10" t="str">
        <f aca="false">IF($L264="","",INDEX('Price List'!$H$2:$H$1352,$L264)&amp;"")</f>
        <v>sheet</v>
      </c>
      <c r="I264" s="12" t="n">
        <f aca="false">IF($L264="","",IF(INDEX('Price List'!$I$2:$I$1352,$L264)="","",INDEX('Price List'!$I$2:$I$1352,$L264)))</f>
        <v>18.5</v>
      </c>
      <c r="J264" s="11" t="str">
        <f aca="false">IF($L264="","",INDEX('Price List'!$J$2:$J$1352,$L264)&amp;"")</f>
        <v/>
      </c>
      <c r="K264" s="10" t="str">
        <f aca="false">IF($L264="","",INDEX('Price List'!$K$2:$K$1352,$L264)&amp;"")</f>
        <v>April (year not shown)</v>
      </c>
      <c r="L264" s="13" t="n">
        <f aca="false">IF(254&gt;$H$4,"",MATCH(254,'Price List'!$M$2:$M$1352,0))</f>
        <v>254</v>
      </c>
    </row>
    <row r="265" customFormat="false" ht="15" hidden="false" customHeight="false" outlineLevel="0" collapsed="false">
      <c r="A265" s="9" t="n">
        <v>255</v>
      </c>
      <c r="B265" s="10" t="str">
        <f aca="false">IF($L265="","",INDEX('Price List'!$B$2:$B$1352,$L265)&amp;"")</f>
        <v>NAPPCO (April list - latest)</v>
      </c>
      <c r="C265" s="10" t="str">
        <f aca="false">IF($L265="","",INDEX('Price List'!$C$2:$C$1352,$L265)&amp;"")</f>
        <v>Paperboard</v>
      </c>
      <c r="D265" s="11" t="str">
        <f aca="false">IF($L265="","",INDEX('Price List'!$D$2:$D$1352,$L265)&amp;"")</f>
        <v>Claycoat</v>
      </c>
      <c r="E265" s="11" t="str">
        <f aca="false">IF($L265="","",INDEX('Price List'!$E$2:$E$1352,$L265)&amp;"")</f>
        <v>All Kinds</v>
      </c>
      <c r="F265" s="10" t="str">
        <f aca="false">IF($L265="","",INDEX('Price List'!$F$2:$F$1352,$L265)&amp;"")</f>
        <v>Cal. 24</v>
      </c>
      <c r="G265" s="10" t="str">
        <f aca="false">IF($L265="","",INDEX('Price List'!$G$2:$G$1352,$L265)&amp;"")</f>
        <v/>
      </c>
      <c r="H265" s="10" t="str">
        <f aca="false">IF($L265="","",INDEX('Price List'!$H$2:$H$1352,$L265)&amp;"")</f>
        <v>sheet</v>
      </c>
      <c r="I265" s="12" t="n">
        <f aca="false">IF($L265="","",IF(INDEX('Price List'!$I$2:$I$1352,$L265)="","",INDEX('Price List'!$I$2:$I$1352,$L265)))</f>
        <v>17.5</v>
      </c>
      <c r="J265" s="11" t="str">
        <f aca="false">IF($L265="","",INDEX('Price List'!$J$2:$J$1352,$L265)&amp;"")</f>
        <v>Handwritten update</v>
      </c>
      <c r="K265" s="10" t="str">
        <f aca="false">IF($L265="","",INDEX('Price List'!$K$2:$K$1352,$L265)&amp;"")</f>
        <v>April (year not shown)</v>
      </c>
      <c r="L265" s="13" t="n">
        <f aca="false">IF(255&gt;$H$4,"",MATCH(255,'Price List'!$M$2:$M$1352,0))</f>
        <v>255</v>
      </c>
    </row>
    <row r="266" customFormat="false" ht="15" hidden="false" customHeight="false" outlineLevel="0" collapsed="false">
      <c r="A266" s="9" t="n">
        <v>256</v>
      </c>
      <c r="B266" s="10" t="str">
        <f aca="false">IF($L266="","",INDEX('Price List'!$B$2:$B$1352,$L266)&amp;"")</f>
        <v>NAPPCO (April list - latest)</v>
      </c>
      <c r="C266" s="10" t="str">
        <f aca="false">IF($L266="","",INDEX('Price List'!$C$2:$C$1352,$L266)&amp;"")</f>
        <v>Paperboard</v>
      </c>
      <c r="D266" s="11" t="str">
        <f aca="false">IF($L266="","",INDEX('Price List'!$D$2:$D$1352,$L266)&amp;"")</f>
        <v>Carrier (All Kinds)</v>
      </c>
      <c r="E266" s="11" t="str">
        <f aca="false">IF($L266="","",INDEX('Price List'!$E$2:$E$1352,$L266)&amp;"")</f>
        <v/>
      </c>
      <c r="F266" s="10" t="str">
        <f aca="false">IF($L266="","",INDEX('Price List'!$F$2:$F$1352,$L266)&amp;"")</f>
        <v>Cal. 24</v>
      </c>
      <c r="G266" s="10" t="str">
        <f aca="false">IF($L266="","",INDEX('Price List'!$G$2:$G$1352,$L266)&amp;"")</f>
        <v/>
      </c>
      <c r="H266" s="10" t="str">
        <f aca="false">IF($L266="","",INDEX('Price List'!$H$2:$H$1352,$L266)&amp;"")</f>
        <v>sheet</v>
      </c>
      <c r="I266" s="12" t="n">
        <f aca="false">IF($L266="","",IF(INDEX('Price List'!$I$2:$I$1352,$L266)="","",INDEX('Price List'!$I$2:$I$1352,$L266)))</f>
        <v>18.5</v>
      </c>
      <c r="J266" s="11" t="str">
        <f aca="false">IF($L266="","",INDEX('Price List'!$J$2:$J$1352,$L266)&amp;"")</f>
        <v/>
      </c>
      <c r="K266" s="10" t="str">
        <f aca="false">IF($L266="","",INDEX('Price List'!$K$2:$K$1352,$L266)&amp;"")</f>
        <v>April (year not shown)</v>
      </c>
      <c r="L266" s="13" t="n">
        <f aca="false">IF(256&gt;$H$4,"",MATCH(256,'Price List'!$M$2:$M$1352,0))</f>
        <v>256</v>
      </c>
    </row>
    <row r="267" customFormat="false" ht="15" hidden="false" customHeight="false" outlineLevel="0" collapsed="false">
      <c r="A267" s="9" t="n">
        <v>257</v>
      </c>
      <c r="B267" s="10" t="str">
        <f aca="false">IF($L267="","",INDEX('Price List'!$B$2:$B$1352,$L267)&amp;"")</f>
        <v>NAPPCO (April list - latest)</v>
      </c>
      <c r="C267" s="10" t="str">
        <f aca="false">IF($L267="","",INDEX('Price List'!$C$2:$C$1352,$L267)&amp;"")</f>
        <v>Paperboard</v>
      </c>
      <c r="D267" s="11" t="str">
        <f aca="false">IF($L267="","",INDEX('Price List'!$D$2:$D$1352,$L267)&amp;"")</f>
        <v>Carrier (All Kinds)</v>
      </c>
      <c r="E267" s="11" t="str">
        <f aca="false">IF($L267="","",INDEX('Price List'!$E$2:$E$1352,$L267)&amp;"")</f>
        <v/>
      </c>
      <c r="F267" s="10" t="str">
        <f aca="false">IF($L267="","",INDEX('Price List'!$F$2:$F$1352,$L267)&amp;"")</f>
        <v>Cal. 26</v>
      </c>
      <c r="G267" s="10" t="str">
        <f aca="false">IF($L267="","",INDEX('Price List'!$G$2:$G$1352,$L267)&amp;"")</f>
        <v/>
      </c>
      <c r="H267" s="10" t="str">
        <f aca="false">IF($L267="","",INDEX('Price List'!$H$2:$H$1352,$L267)&amp;"")</f>
        <v>sheet</v>
      </c>
      <c r="I267" s="12" t="n">
        <f aca="false">IF($L267="","",IF(INDEX('Price List'!$I$2:$I$1352,$L267)="","",INDEX('Price List'!$I$2:$I$1352,$L267)))</f>
        <v>22.5</v>
      </c>
      <c r="J267" s="11" t="str">
        <f aca="false">IF($L267="","",INDEX('Price List'!$J$2:$J$1352,$L267)&amp;"")</f>
        <v/>
      </c>
      <c r="K267" s="10" t="str">
        <f aca="false">IF($L267="","",INDEX('Price List'!$K$2:$K$1352,$L267)&amp;"")</f>
        <v>April (year not shown)</v>
      </c>
      <c r="L267" s="13" t="n">
        <f aca="false">IF(257&gt;$H$4,"",MATCH(257,'Price List'!$M$2:$M$1352,0))</f>
        <v>257</v>
      </c>
    </row>
    <row r="268" customFormat="false" ht="15" hidden="false" customHeight="false" outlineLevel="0" collapsed="false">
      <c r="A268" s="9" t="n">
        <v>258</v>
      </c>
      <c r="B268" s="10" t="str">
        <f aca="false">IF($L268="","",INDEX('Price List'!$B$2:$B$1352,$L268)&amp;"")</f>
        <v>NAPPCO (April list - latest)</v>
      </c>
      <c r="C268" s="10" t="str">
        <f aca="false">IF($L268="","",INDEX('Price List'!$C$2:$C$1352,$L268)&amp;"")</f>
        <v>Paperboard</v>
      </c>
      <c r="D268" s="11" t="str">
        <f aca="false">IF($L268="","",INDEX('Price List'!$D$2:$D$1352,$L268)&amp;"")</f>
        <v>CCKB</v>
      </c>
      <c r="E268" s="11" t="str">
        <f aca="false">IF($L268="","",INDEX('Price List'!$E$2:$E$1352,$L268)&amp;"")</f>
        <v>Claycoat price + 1</v>
      </c>
      <c r="F268" s="10" t="str">
        <f aca="false">IF($L268="","",INDEX('Price List'!$F$2:$F$1352,$L268)&amp;"")</f>
        <v/>
      </c>
      <c r="G268" s="10" t="str">
        <f aca="false">IF($L268="","",INDEX('Price List'!$G$2:$G$1352,$L268)&amp;"")</f>
        <v/>
      </c>
      <c r="H268" s="10" t="str">
        <f aca="false">IF($L268="","",INDEX('Price List'!$H$2:$H$1352,$L268)&amp;"")</f>
        <v>sheet</v>
      </c>
      <c r="I268" s="12" t="str">
        <f aca="false">IF($L268="","",IF(INDEX('Price List'!$I$2:$I$1352,$L268)="","",INDEX('Price List'!$I$2:$I$1352,$L268)))</f>
        <v/>
      </c>
      <c r="J268" s="11" t="str">
        <f aca="false">IF($L268="","",INDEX('Price List'!$J$2:$J$1352,$L268)&amp;"")</f>
        <v>Price = Claycoat + P1.00</v>
      </c>
      <c r="K268" s="10" t="str">
        <f aca="false">IF($L268="","",INDEX('Price List'!$K$2:$K$1352,$L268)&amp;"")</f>
        <v>April (year not shown)</v>
      </c>
      <c r="L268" s="13" t="n">
        <f aca="false">IF(258&gt;$H$4,"",MATCH(258,'Price List'!$M$2:$M$1352,0))</f>
        <v>258</v>
      </c>
    </row>
    <row r="269" customFormat="false" ht="15" hidden="false" customHeight="false" outlineLevel="0" collapsed="false">
      <c r="A269" s="9" t="n">
        <v>259</v>
      </c>
      <c r="B269" s="10" t="str">
        <f aca="false">IF($L269="","",INDEX('Price List'!$B$2:$B$1352,$L269)&amp;"")</f>
        <v>NAPPCO (April list - latest)</v>
      </c>
      <c r="C269" s="10" t="str">
        <f aca="false">IF($L269="","",INDEX('Price List'!$C$2:$C$1352,$L269)&amp;"")</f>
        <v>Paperboard</v>
      </c>
      <c r="D269" s="11" t="str">
        <f aca="false">IF($L269="","",INDEX('Price List'!$D$2:$D$1352,$L269)&amp;"")</f>
        <v>MK</v>
      </c>
      <c r="E269" s="11" t="str">
        <f aca="false">IF($L269="","",INDEX('Price List'!$E$2:$E$1352,$L269)&amp;"")</f>
        <v>Same price as Solid</v>
      </c>
      <c r="F269" s="10" t="str">
        <f aca="false">IF($L269="","",INDEX('Price List'!$F$2:$F$1352,$L269)&amp;"")</f>
        <v/>
      </c>
      <c r="G269" s="10" t="str">
        <f aca="false">IF($L269="","",INDEX('Price List'!$G$2:$G$1352,$L269)&amp;"")</f>
        <v>37 x 45</v>
      </c>
      <c r="H269" s="10" t="str">
        <f aca="false">IF($L269="","",INDEX('Price List'!$H$2:$H$1352,$L269)&amp;"")</f>
        <v>sheet</v>
      </c>
      <c r="I269" s="12" t="str">
        <f aca="false">IF($L269="","",IF(INDEX('Price List'!$I$2:$I$1352,$L269)="","",INDEX('Price List'!$I$2:$I$1352,$L269)))</f>
        <v/>
      </c>
      <c r="J269" s="11" t="str">
        <f aca="false">IF($L269="","",INDEX('Price List'!$J$2:$J$1352,$L269)&amp;"")</f>
        <v>Same price as Foldcote Solid, base size 37x45</v>
      </c>
      <c r="K269" s="10" t="str">
        <f aca="false">IF($L269="","",INDEX('Price List'!$K$2:$K$1352,$L269)&amp;"")</f>
        <v>April (year not shown)</v>
      </c>
      <c r="L269" s="13" t="n">
        <f aca="false">IF(259&gt;$H$4,"",MATCH(259,'Price List'!$M$2:$M$1352,0))</f>
        <v>259</v>
      </c>
    </row>
    <row r="270" customFormat="false" ht="15" hidden="false" customHeight="false" outlineLevel="0" collapsed="false">
      <c r="A270" s="9" t="n">
        <v>260</v>
      </c>
      <c r="B270" s="10" t="str">
        <f aca="false">IF($L270="","",INDEX('Price List'!$B$2:$B$1352,$L270)&amp;"")</f>
        <v>NAPPCO (April list - latest)</v>
      </c>
      <c r="C270" s="10" t="str">
        <f aca="false">IF($L270="","",INDEX('Price List'!$C$2:$C$1352,$L270)&amp;"")</f>
        <v>Paperboard</v>
      </c>
      <c r="D270" s="11" t="str">
        <f aca="false">IF($L270="","",INDEX('Price List'!$D$2:$D$1352,$L270)&amp;"")</f>
        <v>Tagboard</v>
      </c>
      <c r="E270" s="11" t="str">
        <f aca="false">IF($L270="","",INDEX('Price List'!$E$2:$E$1352,$L270)&amp;"")</f>
        <v/>
      </c>
      <c r="F270" s="10" t="str">
        <f aca="false">IF($L270="","",INDEX('Price List'!$F$2:$F$1352,$L270)&amp;"")</f>
        <v>14 pts</v>
      </c>
      <c r="G270" s="10" t="str">
        <f aca="false">IF($L270="","",INDEX('Price List'!$G$2:$G$1352,$L270)&amp;"")</f>
        <v/>
      </c>
      <c r="H270" s="10" t="str">
        <f aca="false">IF($L270="","",INDEX('Price List'!$H$2:$H$1352,$L270)&amp;"")</f>
        <v>sheet</v>
      </c>
      <c r="I270" s="12" t="n">
        <f aca="false">IF($L270="","",IF(INDEX('Price List'!$I$2:$I$1352,$L270)="","",INDEX('Price List'!$I$2:$I$1352,$L270)))</f>
        <v>28</v>
      </c>
      <c r="J270" s="11" t="str">
        <f aca="false">IF($L270="","",INDEX('Price List'!$J$2:$J$1352,$L270)&amp;"")</f>
        <v/>
      </c>
      <c r="K270" s="10" t="str">
        <f aca="false">IF($L270="","",INDEX('Price List'!$K$2:$K$1352,$L270)&amp;"")</f>
        <v>April (year not shown)</v>
      </c>
      <c r="L270" s="13" t="n">
        <f aca="false">IF(260&gt;$H$4,"",MATCH(260,'Price List'!$M$2:$M$1352,0))</f>
        <v>260</v>
      </c>
    </row>
    <row r="271" customFormat="false" ht="15" hidden="false" customHeight="false" outlineLevel="0" collapsed="false">
      <c r="A271" s="9" t="n">
        <v>261</v>
      </c>
      <c r="B271" s="10" t="str">
        <f aca="false">IF($L271="","",INDEX('Price List'!$B$2:$B$1352,$L271)&amp;"")</f>
        <v>NAPPCO (April list - latest)</v>
      </c>
      <c r="C271" s="10" t="str">
        <f aca="false">IF($L271="","",INDEX('Price List'!$C$2:$C$1352,$L271)&amp;"")</f>
        <v>Coated Paper (C2S/Matte)</v>
      </c>
      <c r="D271" s="11" t="str">
        <f aca="false">IF($L271="","",INDEX('Price List'!$D$2:$D$1352,$L271)&amp;"")</f>
        <v>C2S / Matte</v>
      </c>
      <c r="E271" s="11" t="str">
        <f aca="false">IF($L271="","",INDEX('Price List'!$E$2:$E$1352,$L271)&amp;"")</f>
        <v/>
      </c>
      <c r="F271" s="10" t="str">
        <f aca="false">IF($L271="","",INDEX('Price List'!$F$2:$F$1352,$L271)&amp;"")</f>
        <v>#55</v>
      </c>
      <c r="G271" s="10" t="str">
        <f aca="false">IF($L271="","",INDEX('Price List'!$G$2:$G$1352,$L271)&amp;"")</f>
        <v/>
      </c>
      <c r="H271" s="10" t="str">
        <f aca="false">IF($L271="","",INDEX('Price List'!$H$2:$H$1352,$L271)&amp;"")</f>
        <v>per lb</v>
      </c>
      <c r="I271" s="12" t="n">
        <f aca="false">IF($L271="","",IF(INDEX('Price List'!$I$2:$I$1352,$L271)="","",INDEX('Price List'!$I$2:$I$1352,$L271)))</f>
        <v>28</v>
      </c>
      <c r="J271" s="11" t="str">
        <f aca="false">IF($L271="","",INDEX('Price List'!$J$2:$J$1352,$L271)&amp;"")</f>
        <v/>
      </c>
      <c r="K271" s="10" t="str">
        <f aca="false">IF($L271="","",INDEX('Price List'!$K$2:$K$1352,$L271)&amp;"")</f>
        <v>April (year not shown)</v>
      </c>
      <c r="L271" s="13" t="n">
        <f aca="false">IF(261&gt;$H$4,"",MATCH(261,'Price List'!$M$2:$M$1352,0))</f>
        <v>261</v>
      </c>
    </row>
    <row r="272" customFormat="false" ht="15" hidden="false" customHeight="false" outlineLevel="0" collapsed="false">
      <c r="A272" s="9" t="n">
        <v>262</v>
      </c>
      <c r="B272" s="10" t="str">
        <f aca="false">IF($L272="","",INDEX('Price List'!$B$2:$B$1352,$L272)&amp;"")</f>
        <v>NAPPCO (April list - latest)</v>
      </c>
      <c r="C272" s="10" t="str">
        <f aca="false">IF($L272="","",INDEX('Price List'!$C$2:$C$1352,$L272)&amp;"")</f>
        <v>Coated Paper (C2S/Matte)</v>
      </c>
      <c r="D272" s="11" t="str">
        <f aca="false">IF($L272="","",INDEX('Price List'!$D$2:$D$1352,$L272)&amp;"")</f>
        <v>C2S / Matte</v>
      </c>
      <c r="E272" s="11" t="str">
        <f aca="false">IF($L272="","",INDEX('Price List'!$E$2:$E$1352,$L272)&amp;"")</f>
        <v/>
      </c>
      <c r="F272" s="10" t="str">
        <f aca="false">IF($L272="","",INDEX('Price List'!$F$2:$F$1352,$L272)&amp;"")</f>
        <v>#60</v>
      </c>
      <c r="G272" s="10" t="str">
        <f aca="false">IF($L272="","",INDEX('Price List'!$G$2:$G$1352,$L272)&amp;"")</f>
        <v/>
      </c>
      <c r="H272" s="10" t="str">
        <f aca="false">IF($L272="","",INDEX('Price List'!$H$2:$H$1352,$L272)&amp;"")</f>
        <v>per lb</v>
      </c>
      <c r="I272" s="12" t="n">
        <f aca="false">IF($L272="","",IF(INDEX('Price List'!$I$2:$I$1352,$L272)="","",INDEX('Price List'!$I$2:$I$1352,$L272)))</f>
        <v>28</v>
      </c>
      <c r="J272" s="11" t="str">
        <f aca="false">IF($L272="","",INDEX('Price List'!$J$2:$J$1352,$L272)&amp;"")</f>
        <v/>
      </c>
      <c r="K272" s="10" t="str">
        <f aca="false">IF($L272="","",INDEX('Price List'!$K$2:$K$1352,$L272)&amp;"")</f>
        <v>April (year not shown)</v>
      </c>
      <c r="L272" s="13" t="n">
        <f aca="false">IF(262&gt;$H$4,"",MATCH(262,'Price List'!$M$2:$M$1352,0))</f>
        <v>262</v>
      </c>
    </row>
    <row r="273" customFormat="false" ht="15" hidden="false" customHeight="false" outlineLevel="0" collapsed="false">
      <c r="A273" s="9" t="n">
        <v>263</v>
      </c>
      <c r="B273" s="10" t="str">
        <f aca="false">IF($L273="","",INDEX('Price List'!$B$2:$B$1352,$L273)&amp;"")</f>
        <v>NAPPCO (April list - latest)</v>
      </c>
      <c r="C273" s="10" t="str">
        <f aca="false">IF($L273="","",INDEX('Price List'!$C$2:$C$1352,$L273)&amp;"")</f>
        <v>Coated Paper (C2S/Matte)</v>
      </c>
      <c r="D273" s="11" t="str">
        <f aca="false">IF($L273="","",INDEX('Price List'!$D$2:$D$1352,$L273)&amp;"")</f>
        <v>C2S / Matte</v>
      </c>
      <c r="E273" s="11" t="str">
        <f aca="false">IF($L273="","",INDEX('Price List'!$E$2:$E$1352,$L273)&amp;"")</f>
        <v/>
      </c>
      <c r="F273" s="10" t="str">
        <f aca="false">IF($L273="","",INDEX('Price List'!$F$2:$F$1352,$L273)&amp;"")</f>
        <v>#70</v>
      </c>
      <c r="G273" s="10" t="str">
        <f aca="false">IF($L273="","",INDEX('Price List'!$G$2:$G$1352,$L273)&amp;"")</f>
        <v/>
      </c>
      <c r="H273" s="10" t="str">
        <f aca="false">IF($L273="","",INDEX('Price List'!$H$2:$H$1352,$L273)&amp;"")</f>
        <v>per lb</v>
      </c>
      <c r="I273" s="12" t="n">
        <f aca="false">IF($L273="","",IF(INDEX('Price List'!$I$2:$I$1352,$L273)="","",INDEX('Price List'!$I$2:$I$1352,$L273)))</f>
        <v>27</v>
      </c>
      <c r="J273" s="11" t="str">
        <f aca="false">IF($L273="","",INDEX('Price List'!$J$2:$J$1352,$L273)&amp;"")</f>
        <v/>
      </c>
      <c r="K273" s="10" t="str">
        <f aca="false">IF($L273="","",INDEX('Price List'!$K$2:$K$1352,$L273)&amp;"")</f>
        <v>April (year not shown)</v>
      </c>
      <c r="L273" s="13" t="n">
        <f aca="false">IF(263&gt;$H$4,"",MATCH(263,'Price List'!$M$2:$M$1352,0))</f>
        <v>263</v>
      </c>
    </row>
    <row r="274" customFormat="false" ht="15" hidden="false" customHeight="false" outlineLevel="0" collapsed="false">
      <c r="A274" s="9" t="n">
        <v>264</v>
      </c>
      <c r="B274" s="10" t="str">
        <f aca="false">IF($L274="","",INDEX('Price List'!$B$2:$B$1352,$L274)&amp;"")</f>
        <v>NAPPCO (April list - latest)</v>
      </c>
      <c r="C274" s="10" t="str">
        <f aca="false">IF($L274="","",INDEX('Price List'!$C$2:$C$1352,$L274)&amp;"")</f>
        <v>Coated Paper (C2S/Matte)</v>
      </c>
      <c r="D274" s="11" t="str">
        <f aca="false">IF($L274="","",INDEX('Price List'!$D$2:$D$1352,$L274)&amp;"")</f>
        <v>C2S / Matte</v>
      </c>
      <c r="E274" s="11" t="str">
        <f aca="false">IF($L274="","",INDEX('Price List'!$E$2:$E$1352,$L274)&amp;"")</f>
        <v/>
      </c>
      <c r="F274" s="10" t="str">
        <f aca="false">IF($L274="","",INDEX('Price List'!$F$2:$F$1352,$L274)&amp;"")</f>
        <v>#80</v>
      </c>
      <c r="G274" s="10" t="str">
        <f aca="false">IF($L274="","",INDEX('Price List'!$G$2:$G$1352,$L274)&amp;"")</f>
        <v/>
      </c>
      <c r="H274" s="10" t="str">
        <f aca="false">IF($L274="","",INDEX('Price List'!$H$2:$H$1352,$L274)&amp;"")</f>
        <v>per lb</v>
      </c>
      <c r="I274" s="12" t="n">
        <f aca="false">IF($L274="","",IF(INDEX('Price List'!$I$2:$I$1352,$L274)="","",INDEX('Price List'!$I$2:$I$1352,$L274)))</f>
        <v>27</v>
      </c>
      <c r="J274" s="11" t="str">
        <f aca="false">IF($L274="","",INDEX('Price List'!$J$2:$J$1352,$L274)&amp;"")</f>
        <v/>
      </c>
      <c r="K274" s="10" t="str">
        <f aca="false">IF($L274="","",INDEX('Price List'!$K$2:$K$1352,$L274)&amp;"")</f>
        <v>April (year not shown)</v>
      </c>
      <c r="L274" s="13" t="n">
        <f aca="false">IF(264&gt;$H$4,"",MATCH(264,'Price List'!$M$2:$M$1352,0))</f>
        <v>264</v>
      </c>
    </row>
    <row r="275" customFormat="false" ht="15" hidden="false" customHeight="false" outlineLevel="0" collapsed="false">
      <c r="A275" s="9" t="n">
        <v>265</v>
      </c>
      <c r="B275" s="10" t="str">
        <f aca="false">IF($L275="","",INDEX('Price List'!$B$2:$B$1352,$L275)&amp;"")</f>
        <v>NAPPCO (April list - latest)</v>
      </c>
      <c r="C275" s="10" t="str">
        <f aca="false">IF($L275="","",INDEX('Price List'!$C$2:$C$1352,$L275)&amp;"")</f>
        <v>Coated Paper (C2S/Matte)</v>
      </c>
      <c r="D275" s="11" t="str">
        <f aca="false">IF($L275="","",INDEX('Price List'!$D$2:$D$1352,$L275)&amp;"")</f>
        <v>C2S / Matte</v>
      </c>
      <c r="E275" s="11" t="str">
        <f aca="false">IF($L275="","",INDEX('Price List'!$E$2:$E$1352,$L275)&amp;"")</f>
        <v/>
      </c>
      <c r="F275" s="10" t="str">
        <f aca="false">IF($L275="","",INDEX('Price List'!$F$2:$F$1352,$L275)&amp;"")</f>
        <v>#100</v>
      </c>
      <c r="G275" s="10" t="str">
        <f aca="false">IF($L275="","",INDEX('Price List'!$G$2:$G$1352,$L275)&amp;"")</f>
        <v/>
      </c>
      <c r="H275" s="10" t="str">
        <f aca="false">IF($L275="","",INDEX('Price List'!$H$2:$H$1352,$L275)&amp;"")</f>
        <v>per lb</v>
      </c>
      <c r="I275" s="12" t="n">
        <f aca="false">IF($L275="","",IF(INDEX('Price List'!$I$2:$I$1352,$L275)="","",INDEX('Price List'!$I$2:$I$1352,$L275)))</f>
        <v>27</v>
      </c>
      <c r="J275" s="11" t="str">
        <f aca="false">IF($L275="","",INDEX('Price List'!$J$2:$J$1352,$L275)&amp;"")</f>
        <v/>
      </c>
      <c r="K275" s="10" t="str">
        <f aca="false">IF($L275="","",INDEX('Price List'!$K$2:$K$1352,$L275)&amp;"")</f>
        <v>April (year not shown)</v>
      </c>
      <c r="L275" s="13" t="n">
        <f aca="false">IF(265&gt;$H$4,"",MATCH(265,'Price List'!$M$2:$M$1352,0))</f>
        <v>265</v>
      </c>
    </row>
    <row r="276" customFormat="false" ht="15" hidden="false" customHeight="false" outlineLevel="0" collapsed="false">
      <c r="A276" s="9" t="n">
        <v>266</v>
      </c>
      <c r="B276" s="10" t="str">
        <f aca="false">IF($L276="","",INDEX('Price List'!$B$2:$B$1352,$L276)&amp;"")</f>
        <v>NAPPCO (April list - latest)</v>
      </c>
      <c r="C276" s="10" t="str">
        <f aca="false">IF($L276="","",INDEX('Price List'!$C$2:$C$1352,$L276)&amp;"")</f>
        <v>Coated Paper (C2S/Matte)</v>
      </c>
      <c r="D276" s="11" t="str">
        <f aca="false">IF($L276="","",INDEX('Price List'!$D$2:$D$1352,$L276)&amp;"")</f>
        <v>C2S / Matte</v>
      </c>
      <c r="E276" s="11" t="str">
        <f aca="false">IF($L276="","",INDEX('Price List'!$E$2:$E$1352,$L276)&amp;"")</f>
        <v/>
      </c>
      <c r="F276" s="10" t="str">
        <f aca="false">IF($L276="","",INDEX('Price List'!$F$2:$F$1352,$L276)&amp;"")</f>
        <v>#120</v>
      </c>
      <c r="G276" s="10" t="str">
        <f aca="false">IF($L276="","",INDEX('Price List'!$G$2:$G$1352,$L276)&amp;"")</f>
        <v/>
      </c>
      <c r="H276" s="10" t="str">
        <f aca="false">IF($L276="","",INDEX('Price List'!$H$2:$H$1352,$L276)&amp;"")</f>
        <v>per lb</v>
      </c>
      <c r="I276" s="12" t="n">
        <f aca="false">IF($L276="","",IF(INDEX('Price List'!$I$2:$I$1352,$L276)="","",INDEX('Price List'!$I$2:$I$1352,$L276)))</f>
        <v>7</v>
      </c>
      <c r="J276" s="11" t="str">
        <f aca="false">IF($L276="","",INDEX('Price List'!$J$2:$J$1352,$L276)&amp;"")</f>
        <v/>
      </c>
      <c r="K276" s="10" t="str">
        <f aca="false">IF($L276="","",INDEX('Price List'!$K$2:$K$1352,$L276)&amp;"")</f>
        <v>April (year not shown)</v>
      </c>
      <c r="L276" s="13" t="n">
        <f aca="false">IF(266&gt;$H$4,"",MATCH(266,'Price List'!$M$2:$M$1352,0))</f>
        <v>266</v>
      </c>
    </row>
    <row r="277" customFormat="false" ht="15" hidden="false" customHeight="false" outlineLevel="0" collapsed="false">
      <c r="A277" s="9" t="n">
        <v>267</v>
      </c>
      <c r="B277" s="10" t="str">
        <f aca="false">IF($L277="","",INDEX('Price List'!$B$2:$B$1352,$L277)&amp;"")</f>
        <v>NAPPCO (April list - latest)</v>
      </c>
      <c r="C277" s="10" t="str">
        <f aca="false">IF($L277="","",INDEX('Price List'!$C$2:$C$1352,$L277)&amp;"")</f>
        <v>Coated Paper (C2S/Matte)</v>
      </c>
      <c r="D277" s="11" t="str">
        <f aca="false">IF($L277="","",INDEX('Price List'!$D$2:$D$1352,$L277)&amp;"")</f>
        <v>C2S / Matte</v>
      </c>
      <c r="E277" s="11" t="str">
        <f aca="false">IF($L277="","",INDEX('Price List'!$E$2:$E$1352,$L277)&amp;"")</f>
        <v/>
      </c>
      <c r="F277" s="10" t="str">
        <f aca="false">IF($L277="","",INDEX('Price List'!$F$2:$F$1352,$L277)&amp;"")</f>
        <v>#140</v>
      </c>
      <c r="G277" s="10" t="str">
        <f aca="false">IF($L277="","",INDEX('Price List'!$G$2:$G$1352,$L277)&amp;"")</f>
        <v/>
      </c>
      <c r="H277" s="10" t="str">
        <f aca="false">IF($L277="","",INDEX('Price List'!$H$2:$H$1352,$L277)&amp;"")</f>
        <v>per lb</v>
      </c>
      <c r="I277" s="12" t="n">
        <f aca="false">IF($L277="","",IF(INDEX('Price List'!$I$2:$I$1352,$L277)="","",INDEX('Price List'!$I$2:$I$1352,$L277)))</f>
        <v>8</v>
      </c>
      <c r="J277" s="11" t="str">
        <f aca="false">IF($L277="","",INDEX('Price List'!$J$2:$J$1352,$L277)&amp;"")</f>
        <v/>
      </c>
      <c r="K277" s="10" t="str">
        <f aca="false">IF($L277="","",INDEX('Price List'!$K$2:$K$1352,$L277)&amp;"")</f>
        <v>April (year not shown)</v>
      </c>
      <c r="L277" s="13" t="n">
        <f aca="false">IF(267&gt;$H$4,"",MATCH(267,'Price List'!$M$2:$M$1352,0))</f>
        <v>267</v>
      </c>
    </row>
    <row r="278" customFormat="false" ht="15" hidden="false" customHeight="false" outlineLevel="0" collapsed="false">
      <c r="A278" s="9" t="n">
        <v>268</v>
      </c>
      <c r="B278" s="10" t="str">
        <f aca="false">IF($L278="","",INDEX('Price List'!$B$2:$B$1352,$L278)&amp;"")</f>
        <v>NAPPCO (April list - latest)</v>
      </c>
      <c r="C278" s="10" t="str">
        <f aca="false">IF($L278="","",INDEX('Price List'!$C$2:$C$1352,$L278)&amp;"")</f>
        <v>Coated Paper (C2S/Matte)</v>
      </c>
      <c r="D278" s="11" t="str">
        <f aca="false">IF($L278="","",INDEX('Price List'!$D$2:$D$1352,$L278)&amp;"")</f>
        <v>C2S / Matte</v>
      </c>
      <c r="E278" s="11" t="str">
        <f aca="false">IF($L278="","",INDEX('Price List'!$E$2:$E$1352,$L278)&amp;"")</f>
        <v/>
      </c>
      <c r="F278" s="10" t="str">
        <f aca="false">IF($L278="","",INDEX('Price List'!$F$2:$F$1352,$L278)&amp;"")</f>
        <v>#160</v>
      </c>
      <c r="G278" s="10" t="str">
        <f aca="false">IF($L278="","",INDEX('Price List'!$G$2:$G$1352,$L278)&amp;"")</f>
        <v/>
      </c>
      <c r="H278" s="10" t="str">
        <f aca="false">IF($L278="","",INDEX('Price List'!$H$2:$H$1352,$L278)&amp;"")</f>
        <v>per lb</v>
      </c>
      <c r="I278" s="12" t="n">
        <f aca="false">IF($L278="","",IF(INDEX('Price List'!$I$2:$I$1352,$L278)="","",INDEX('Price List'!$I$2:$I$1352,$L278)))</f>
        <v>9.5</v>
      </c>
      <c r="J278" s="11" t="str">
        <f aca="false">IF($L278="","",INDEX('Price List'!$J$2:$J$1352,$L278)&amp;"")</f>
        <v/>
      </c>
      <c r="K278" s="10" t="str">
        <f aca="false">IF($L278="","",INDEX('Price List'!$K$2:$K$1352,$L278)&amp;"")</f>
        <v>April (year not shown)</v>
      </c>
      <c r="L278" s="13" t="n">
        <f aca="false">IF(268&gt;$H$4,"",MATCH(268,'Price List'!$M$2:$M$1352,0))</f>
        <v>268</v>
      </c>
    </row>
    <row r="279" customFormat="false" ht="15" hidden="false" customHeight="false" outlineLevel="0" collapsed="false">
      <c r="A279" s="9" t="n">
        <v>269</v>
      </c>
      <c r="B279" s="10" t="str">
        <f aca="false">IF($L279="","",INDEX('Price List'!$B$2:$B$1352,$L279)&amp;"")</f>
        <v>NAPPCO (April list - latest)</v>
      </c>
      <c r="C279" s="10" t="str">
        <f aca="false">IF($L279="","",INDEX('Price List'!$C$2:$C$1352,$L279)&amp;"")</f>
        <v>Coated Paper (C2S/Matte)</v>
      </c>
      <c r="D279" s="11" t="str">
        <f aca="false">IF($L279="","",INDEX('Price List'!$D$2:$D$1352,$L279)&amp;"")</f>
        <v>C2S / Matte</v>
      </c>
      <c r="E279" s="11" t="str">
        <f aca="false">IF($L279="","",INDEX('Price List'!$E$2:$E$1352,$L279)&amp;"")</f>
        <v/>
      </c>
      <c r="F279" s="10" t="str">
        <f aca="false">IF($L279="","",INDEX('Price List'!$F$2:$F$1352,$L279)&amp;"")</f>
        <v>#180</v>
      </c>
      <c r="G279" s="10" t="str">
        <f aca="false">IF($L279="","",INDEX('Price List'!$G$2:$G$1352,$L279)&amp;"")</f>
        <v/>
      </c>
      <c r="H279" s="10" t="str">
        <f aca="false">IF($L279="","",INDEX('Price List'!$H$2:$H$1352,$L279)&amp;"")</f>
        <v>per lb</v>
      </c>
      <c r="I279" s="12" t="n">
        <f aca="false">IF($L279="","",IF(INDEX('Price List'!$I$2:$I$1352,$L279)="","",INDEX('Price List'!$I$2:$I$1352,$L279)))</f>
        <v>10.5</v>
      </c>
      <c r="J279" s="11" t="str">
        <f aca="false">IF($L279="","",INDEX('Price List'!$J$2:$J$1352,$L279)&amp;"")</f>
        <v/>
      </c>
      <c r="K279" s="10" t="str">
        <f aca="false">IF($L279="","",INDEX('Price List'!$K$2:$K$1352,$L279)&amp;"")</f>
        <v>April (year not shown)</v>
      </c>
      <c r="L279" s="13" t="n">
        <f aca="false">IF(269&gt;$H$4,"",MATCH(269,'Price List'!$M$2:$M$1352,0))</f>
        <v>269</v>
      </c>
    </row>
    <row r="280" customFormat="false" ht="15" hidden="false" customHeight="false" outlineLevel="0" collapsed="false">
      <c r="A280" s="9" t="n">
        <v>270</v>
      </c>
      <c r="B280" s="10" t="str">
        <f aca="false">IF($L280="","",INDEX('Price List'!$B$2:$B$1352,$L280)&amp;"")</f>
        <v>NAPPCO (April list - latest)</v>
      </c>
      <c r="C280" s="10" t="str">
        <f aca="false">IF($L280="","",INDEX('Price List'!$C$2:$C$1352,$L280)&amp;"")</f>
        <v>Coated Paper (C2S/Matte)</v>
      </c>
      <c r="D280" s="11" t="str">
        <f aca="false">IF($L280="","",INDEX('Price List'!$D$2:$D$1352,$L280)&amp;"")</f>
        <v>C2S / Matte</v>
      </c>
      <c r="E280" s="11" t="str">
        <f aca="false">IF($L280="","",INDEX('Price List'!$E$2:$E$1352,$L280)&amp;"")</f>
        <v/>
      </c>
      <c r="F280" s="10" t="str">
        <f aca="false">IF($L280="","",INDEX('Price List'!$F$2:$F$1352,$L280)&amp;"")</f>
        <v>#220</v>
      </c>
      <c r="G280" s="10" t="str">
        <f aca="false">IF($L280="","",INDEX('Price List'!$G$2:$G$1352,$L280)&amp;"")</f>
        <v/>
      </c>
      <c r="H280" s="10" t="str">
        <f aca="false">IF($L280="","",INDEX('Price List'!$H$2:$H$1352,$L280)&amp;"")</f>
        <v>per lb</v>
      </c>
      <c r="I280" s="12" t="n">
        <f aca="false">IF($L280="","",IF(INDEX('Price List'!$I$2:$I$1352,$L280)="","",INDEX('Price List'!$I$2:$I$1352,$L280)))</f>
        <v>12.5</v>
      </c>
      <c r="J280" s="11" t="str">
        <f aca="false">IF($L280="","",INDEX('Price List'!$J$2:$J$1352,$L280)&amp;"")</f>
        <v/>
      </c>
      <c r="K280" s="10" t="str">
        <f aca="false">IF($L280="","",INDEX('Price List'!$K$2:$K$1352,$L280)&amp;"")</f>
        <v>April (year not shown)</v>
      </c>
      <c r="L280" s="13" t="n">
        <f aca="false">IF(270&gt;$H$4,"",MATCH(270,'Price List'!$M$2:$M$1352,0))</f>
        <v>270</v>
      </c>
    </row>
    <row r="281" customFormat="false" ht="15" hidden="false" customHeight="false" outlineLevel="0" collapsed="false">
      <c r="A281" s="9" t="n">
        <v>271</v>
      </c>
      <c r="B281" s="10" t="str">
        <f aca="false">IF($L281="","",INDEX('Price List'!$B$2:$B$1352,$L281)&amp;"")</f>
        <v>NAPPCO (April list - latest)</v>
      </c>
      <c r="C281" s="10" t="str">
        <f aca="false">IF($L281="","",INDEX('Price List'!$C$2:$C$1352,$L281)&amp;"")</f>
        <v>Coated Paper (C2S/Matte)</v>
      </c>
      <c r="D281" s="11" t="str">
        <f aca="false">IF($L281="","",INDEX('Price List'!$D$2:$D$1352,$L281)&amp;"")</f>
        <v>C2S / Matte</v>
      </c>
      <c r="E281" s="11" t="str">
        <f aca="false">IF($L281="","",INDEX('Price List'!$E$2:$E$1352,$L281)&amp;"")</f>
        <v/>
      </c>
      <c r="F281" s="10" t="str">
        <f aca="false">IF($L281="","",INDEX('Price List'!$F$2:$F$1352,$L281)&amp;"")</f>
        <v>#240</v>
      </c>
      <c r="G281" s="10" t="str">
        <f aca="false">IF($L281="","",INDEX('Price List'!$G$2:$G$1352,$L281)&amp;"")</f>
        <v/>
      </c>
      <c r="H281" s="10" t="str">
        <f aca="false">IF($L281="","",INDEX('Price List'!$H$2:$H$1352,$L281)&amp;"")</f>
        <v>per lb</v>
      </c>
      <c r="I281" s="12" t="n">
        <f aca="false">IF($L281="","",IF(INDEX('Price List'!$I$2:$I$1352,$L281)="","",INDEX('Price List'!$I$2:$I$1352,$L281)))</f>
        <v>16.5</v>
      </c>
      <c r="J281" s="11" t="str">
        <f aca="false">IF($L281="","",INDEX('Price List'!$J$2:$J$1352,$L281)&amp;"")</f>
        <v/>
      </c>
      <c r="K281" s="10" t="str">
        <f aca="false">IF($L281="","",INDEX('Price List'!$K$2:$K$1352,$L281)&amp;"")</f>
        <v>April (year not shown)</v>
      </c>
      <c r="L281" s="13" t="n">
        <f aca="false">IF(271&gt;$H$4,"",MATCH(271,'Price List'!$M$2:$M$1352,0))</f>
        <v>271</v>
      </c>
    </row>
    <row r="282" customFormat="false" ht="15" hidden="false" customHeight="false" outlineLevel="0" collapsed="false">
      <c r="A282" s="9" t="n">
        <v>272</v>
      </c>
      <c r="B282" s="10" t="str">
        <f aca="false">IF($L282="","",INDEX('Price List'!$B$2:$B$1352,$L282)&amp;"")</f>
        <v>NAPPCO (April list - latest)</v>
      </c>
      <c r="C282" s="10" t="str">
        <f aca="false">IF($L282="","",INDEX('Price List'!$C$2:$C$1352,$L282)&amp;"")</f>
        <v>Coated Paper (C1S)</v>
      </c>
      <c r="D282" s="11" t="str">
        <f aca="false">IF($L282="","",INDEX('Price List'!$D$2:$D$1352,$L282)&amp;"")</f>
        <v>C1S</v>
      </c>
      <c r="E282" s="11" t="str">
        <f aca="false">IF($L282="","",INDEX('Price List'!$E$2:$E$1352,$L282)&amp;"")</f>
        <v/>
      </c>
      <c r="F282" s="10" t="str">
        <f aca="false">IF($L282="","",INDEX('Price List'!$F$2:$F$1352,$L282)&amp;"")</f>
        <v>#55</v>
      </c>
      <c r="G282" s="10" t="str">
        <f aca="false">IF($L282="","",INDEX('Price List'!$G$2:$G$1352,$L282)&amp;"")</f>
        <v/>
      </c>
      <c r="H282" s="10" t="str">
        <f aca="false">IF($L282="","",INDEX('Price List'!$H$2:$H$1352,$L282)&amp;"")</f>
        <v>per lb</v>
      </c>
      <c r="I282" s="12" t="n">
        <f aca="false">IF($L282="","",IF(INDEX('Price List'!$I$2:$I$1352,$L282)="","",INDEX('Price List'!$I$2:$I$1352,$L282)))</f>
        <v>31.5</v>
      </c>
      <c r="J282" s="11" t="str">
        <f aca="false">IF($L282="","",INDEX('Price List'!$J$2:$J$1352,$L282)&amp;"")</f>
        <v/>
      </c>
      <c r="K282" s="10" t="str">
        <f aca="false">IF($L282="","",INDEX('Price List'!$K$2:$K$1352,$L282)&amp;"")</f>
        <v>April (year not shown)</v>
      </c>
      <c r="L282" s="13" t="n">
        <f aca="false">IF(272&gt;$H$4,"",MATCH(272,'Price List'!$M$2:$M$1352,0))</f>
        <v>272</v>
      </c>
    </row>
    <row r="283" customFormat="false" ht="15" hidden="false" customHeight="false" outlineLevel="0" collapsed="false">
      <c r="A283" s="9" t="n">
        <v>273</v>
      </c>
      <c r="B283" s="10" t="str">
        <f aca="false">IF($L283="","",INDEX('Price List'!$B$2:$B$1352,$L283)&amp;"")</f>
        <v>NAPPCO (April list - latest)</v>
      </c>
      <c r="C283" s="10" t="str">
        <f aca="false">IF($L283="","",INDEX('Price List'!$C$2:$C$1352,$L283)&amp;"")</f>
        <v>Coated Paper (C1S)</v>
      </c>
      <c r="D283" s="11" t="str">
        <f aca="false">IF($L283="","",INDEX('Price List'!$D$2:$D$1352,$L283)&amp;"")</f>
        <v>C1S</v>
      </c>
      <c r="E283" s="11" t="str">
        <f aca="false">IF($L283="","",INDEX('Price List'!$E$2:$E$1352,$L283)&amp;"")</f>
        <v/>
      </c>
      <c r="F283" s="10" t="str">
        <f aca="false">IF($L283="","",INDEX('Price List'!$F$2:$F$1352,$L283)&amp;"")</f>
        <v>#60</v>
      </c>
      <c r="G283" s="10" t="str">
        <f aca="false">IF($L283="","",INDEX('Price List'!$G$2:$G$1352,$L283)&amp;"")</f>
        <v/>
      </c>
      <c r="H283" s="10" t="str">
        <f aca="false">IF($L283="","",INDEX('Price List'!$H$2:$H$1352,$L283)&amp;"")</f>
        <v>per lb</v>
      </c>
      <c r="I283" s="12" t="n">
        <f aca="false">IF($L283="","",IF(INDEX('Price List'!$I$2:$I$1352,$L283)="","",INDEX('Price List'!$I$2:$I$1352,$L283)))</f>
        <v>33</v>
      </c>
      <c r="J283" s="11" t="str">
        <f aca="false">IF($L283="","",INDEX('Price List'!$J$2:$J$1352,$L283)&amp;"")</f>
        <v/>
      </c>
      <c r="K283" s="10" t="str">
        <f aca="false">IF($L283="","",INDEX('Price List'!$K$2:$K$1352,$L283)&amp;"")</f>
        <v>April (year not shown)</v>
      </c>
      <c r="L283" s="13" t="n">
        <f aca="false">IF(273&gt;$H$4,"",MATCH(273,'Price List'!$M$2:$M$1352,0))</f>
        <v>273</v>
      </c>
    </row>
    <row r="284" customFormat="false" ht="15" hidden="false" customHeight="false" outlineLevel="0" collapsed="false">
      <c r="A284" s="9" t="n">
        <v>274</v>
      </c>
      <c r="B284" s="10" t="str">
        <f aca="false">IF($L284="","",INDEX('Price List'!$B$2:$B$1352,$L284)&amp;"")</f>
        <v>NAPPCO (April list - latest)</v>
      </c>
      <c r="C284" s="10" t="str">
        <f aca="false">IF($L284="","",INDEX('Price List'!$C$2:$C$1352,$L284)&amp;"")</f>
        <v>Book Paper</v>
      </c>
      <c r="D284" s="11" t="str">
        <f aca="false">IF($L284="","",INDEX('Price List'!$D$2:$D$1352,$L284)&amp;"")</f>
        <v>Book - White</v>
      </c>
      <c r="E284" s="11" t="str">
        <f aca="false">IF($L284="","",INDEX('Price List'!$E$2:$E$1352,$L284)&amp;"")</f>
        <v/>
      </c>
      <c r="F284" s="10" t="str">
        <f aca="false">IF($L284="","",INDEX('Price List'!$F$2:$F$1352,$L284)&amp;"")</f>
        <v>#40 (60gsm)</v>
      </c>
      <c r="G284" s="10" t="str">
        <f aca="false">IF($L284="","",INDEX('Price List'!$G$2:$G$1352,$L284)&amp;"")</f>
        <v/>
      </c>
      <c r="H284" s="10" t="str">
        <f aca="false">IF($L284="","",INDEX('Price List'!$H$2:$H$1352,$L284)&amp;"")</f>
        <v>per lb</v>
      </c>
      <c r="I284" s="12" t="n">
        <f aca="false">IF($L284="","",IF(INDEX('Price List'!$I$2:$I$1352,$L284)="","",INDEX('Price List'!$I$2:$I$1352,$L284)))</f>
        <v>29</v>
      </c>
      <c r="J284" s="11" t="str">
        <f aca="false">IF($L284="","",INDEX('Price List'!$J$2:$J$1352,$L284)&amp;"")</f>
        <v/>
      </c>
      <c r="K284" s="10" t="str">
        <f aca="false">IF($L284="","",INDEX('Price List'!$K$2:$K$1352,$L284)&amp;"")</f>
        <v>April (year not shown)</v>
      </c>
      <c r="L284" s="13" t="n">
        <f aca="false">IF(274&gt;$H$4,"",MATCH(274,'Price List'!$M$2:$M$1352,0))</f>
        <v>274</v>
      </c>
    </row>
    <row r="285" customFormat="false" ht="15" hidden="false" customHeight="false" outlineLevel="0" collapsed="false">
      <c r="A285" s="9" t="n">
        <v>275</v>
      </c>
      <c r="B285" s="10" t="str">
        <f aca="false">IF($L285="","",INDEX('Price List'!$B$2:$B$1352,$L285)&amp;"")</f>
        <v>NAPPCO (April list - latest)</v>
      </c>
      <c r="C285" s="10" t="str">
        <f aca="false">IF($L285="","",INDEX('Price List'!$C$2:$C$1352,$L285)&amp;"")</f>
        <v>Book Paper</v>
      </c>
      <c r="D285" s="11" t="str">
        <f aca="false">IF($L285="","",INDEX('Price List'!$D$2:$D$1352,$L285)&amp;"")</f>
        <v>Book - White</v>
      </c>
      <c r="E285" s="11" t="str">
        <f aca="false">IF($L285="","",INDEX('Price List'!$E$2:$E$1352,$L285)&amp;"")</f>
        <v/>
      </c>
      <c r="F285" s="10" t="str">
        <f aca="false">IF($L285="","",INDEX('Price List'!$F$2:$F$1352,$L285)&amp;"")</f>
        <v>#50 (70gsm)</v>
      </c>
      <c r="G285" s="10" t="str">
        <f aca="false">IF($L285="","",INDEX('Price List'!$G$2:$G$1352,$L285)&amp;"")</f>
        <v/>
      </c>
      <c r="H285" s="10" t="str">
        <f aca="false">IF($L285="","",INDEX('Price List'!$H$2:$H$1352,$L285)&amp;"")</f>
        <v>per lb</v>
      </c>
      <c r="I285" s="12" t="n">
        <f aca="false">IF($L285="","",IF(INDEX('Price List'!$I$2:$I$1352,$L285)="","",INDEX('Price List'!$I$2:$I$1352,$L285)))</f>
        <v>27</v>
      </c>
      <c r="J285" s="11" t="str">
        <f aca="false">IF($L285="","",INDEX('Price List'!$J$2:$J$1352,$L285)&amp;"")</f>
        <v/>
      </c>
      <c r="K285" s="10" t="str">
        <f aca="false">IF($L285="","",INDEX('Price List'!$K$2:$K$1352,$L285)&amp;"")</f>
        <v>April (year not shown)</v>
      </c>
      <c r="L285" s="13" t="n">
        <f aca="false">IF(275&gt;$H$4,"",MATCH(275,'Price List'!$M$2:$M$1352,0))</f>
        <v>275</v>
      </c>
    </row>
    <row r="286" customFormat="false" ht="15" hidden="false" customHeight="false" outlineLevel="0" collapsed="false">
      <c r="A286" s="9" t="n">
        <v>276</v>
      </c>
      <c r="B286" s="10" t="str">
        <f aca="false">IF($L286="","",INDEX('Price List'!$B$2:$B$1352,$L286)&amp;"")</f>
        <v>NAPPCO (April list - latest)</v>
      </c>
      <c r="C286" s="10" t="str">
        <f aca="false">IF($L286="","",INDEX('Price List'!$C$2:$C$1352,$L286)&amp;"")</f>
        <v>Book Paper</v>
      </c>
      <c r="D286" s="11" t="str">
        <f aca="false">IF($L286="","",INDEX('Price List'!$D$2:$D$1352,$L286)&amp;"")</f>
        <v>Book - White</v>
      </c>
      <c r="E286" s="11" t="str">
        <f aca="false">IF($L286="","",INDEX('Price List'!$E$2:$E$1352,$L286)&amp;"")</f>
        <v/>
      </c>
      <c r="F286" s="10" t="str">
        <f aca="false">IF($L286="","",INDEX('Price List'!$F$2:$F$1352,$L286)&amp;"")</f>
        <v>#60 (80gsm)</v>
      </c>
      <c r="G286" s="10" t="str">
        <f aca="false">IF($L286="","",INDEX('Price List'!$G$2:$G$1352,$L286)&amp;"")</f>
        <v/>
      </c>
      <c r="H286" s="10" t="str">
        <f aca="false">IF($L286="","",INDEX('Price List'!$H$2:$H$1352,$L286)&amp;"")</f>
        <v>per lb</v>
      </c>
      <c r="I286" s="12" t="n">
        <f aca="false">IF($L286="","",IF(INDEX('Price List'!$I$2:$I$1352,$L286)="","",INDEX('Price List'!$I$2:$I$1352,$L286)))</f>
        <v>27</v>
      </c>
      <c r="J286" s="11" t="str">
        <f aca="false">IF($L286="","",INDEX('Price List'!$J$2:$J$1352,$L286)&amp;"")</f>
        <v/>
      </c>
      <c r="K286" s="10" t="str">
        <f aca="false">IF($L286="","",INDEX('Price List'!$K$2:$K$1352,$L286)&amp;"")</f>
        <v>April (year not shown)</v>
      </c>
      <c r="L286" s="13" t="n">
        <f aca="false">IF(276&gt;$H$4,"",MATCH(276,'Price List'!$M$2:$M$1352,0))</f>
        <v>276</v>
      </c>
    </row>
    <row r="287" customFormat="false" ht="15" hidden="false" customHeight="false" outlineLevel="0" collapsed="false">
      <c r="A287" s="9" t="n">
        <v>277</v>
      </c>
      <c r="B287" s="10" t="str">
        <f aca="false">IF($L287="","",INDEX('Price List'!$B$2:$B$1352,$L287)&amp;"")</f>
        <v>NAPPCO (April list - latest)</v>
      </c>
      <c r="C287" s="10" t="str">
        <f aca="false">IF($L287="","",INDEX('Price List'!$C$2:$C$1352,$L287)&amp;"")</f>
        <v>Book Paper</v>
      </c>
      <c r="D287" s="11" t="str">
        <f aca="false">IF($L287="","",INDEX('Price List'!$D$2:$D$1352,$L287)&amp;"")</f>
        <v>Book - White</v>
      </c>
      <c r="E287" s="11" t="str">
        <f aca="false">IF($L287="","",INDEX('Price List'!$E$2:$E$1352,$L287)&amp;"")</f>
        <v/>
      </c>
      <c r="F287" s="10" t="str">
        <f aca="false">IF($L287="","",INDEX('Price List'!$F$2:$F$1352,$L287)&amp;"")</f>
        <v>#70 (100gsm)</v>
      </c>
      <c r="G287" s="10" t="str">
        <f aca="false">IF($L287="","",INDEX('Price List'!$G$2:$G$1352,$L287)&amp;"")</f>
        <v/>
      </c>
      <c r="H287" s="10" t="str">
        <f aca="false">IF($L287="","",INDEX('Price List'!$H$2:$H$1352,$L287)&amp;"")</f>
        <v>per lb</v>
      </c>
      <c r="I287" s="12" t="n">
        <f aca="false">IF($L287="","",IF(INDEX('Price List'!$I$2:$I$1352,$L287)="","",INDEX('Price List'!$I$2:$I$1352,$L287)))</f>
        <v>27</v>
      </c>
      <c r="J287" s="11" t="str">
        <f aca="false">IF($L287="","",INDEX('Price List'!$J$2:$J$1352,$L287)&amp;"")</f>
        <v/>
      </c>
      <c r="K287" s="10" t="str">
        <f aca="false">IF($L287="","",INDEX('Price List'!$K$2:$K$1352,$L287)&amp;"")</f>
        <v>April (year not shown)</v>
      </c>
      <c r="L287" s="13" t="n">
        <f aca="false">IF(277&gt;$H$4,"",MATCH(277,'Price List'!$M$2:$M$1352,0))</f>
        <v>277</v>
      </c>
    </row>
    <row r="288" customFormat="false" ht="15" hidden="false" customHeight="false" outlineLevel="0" collapsed="false">
      <c r="A288" s="9" t="n">
        <v>278</v>
      </c>
      <c r="B288" s="10" t="str">
        <f aca="false">IF($L288="","",INDEX('Price List'!$B$2:$B$1352,$L288)&amp;"")</f>
        <v>NAPPCO (April list - latest)</v>
      </c>
      <c r="C288" s="10" t="str">
        <f aca="false">IF($L288="","",INDEX('Price List'!$C$2:$C$1352,$L288)&amp;"")</f>
        <v>Book Paper</v>
      </c>
      <c r="D288" s="11" t="str">
        <f aca="false">IF($L288="","",INDEX('Price List'!$D$2:$D$1352,$L288)&amp;"")</f>
        <v>Book - White</v>
      </c>
      <c r="E288" s="11" t="str">
        <f aca="false">IF($L288="","",INDEX('Price List'!$E$2:$E$1352,$L288)&amp;"")</f>
        <v/>
      </c>
      <c r="F288" s="10" t="str">
        <f aca="false">IF($L288="","",INDEX('Price List'!$F$2:$F$1352,$L288)&amp;"")</f>
        <v>#80 (115gsm)</v>
      </c>
      <c r="G288" s="10" t="str">
        <f aca="false">IF($L288="","",INDEX('Price List'!$G$2:$G$1352,$L288)&amp;"")</f>
        <v/>
      </c>
      <c r="H288" s="10" t="str">
        <f aca="false">IF($L288="","",INDEX('Price List'!$H$2:$H$1352,$L288)&amp;"")</f>
        <v>per lb</v>
      </c>
      <c r="I288" s="12" t="n">
        <f aca="false">IF($L288="","",IF(INDEX('Price List'!$I$2:$I$1352,$L288)="","",INDEX('Price List'!$I$2:$I$1352,$L288)))</f>
        <v>27</v>
      </c>
      <c r="J288" s="11" t="str">
        <f aca="false">IF($L288="","",INDEX('Price List'!$J$2:$J$1352,$L288)&amp;"")</f>
        <v/>
      </c>
      <c r="K288" s="10" t="str">
        <f aca="false">IF($L288="","",INDEX('Price List'!$K$2:$K$1352,$L288)&amp;"")</f>
        <v>April (year not shown)</v>
      </c>
      <c r="L288" s="13" t="n">
        <f aca="false">IF(278&gt;$H$4,"",MATCH(278,'Price List'!$M$2:$M$1352,0))</f>
        <v>278</v>
      </c>
    </row>
    <row r="289" customFormat="false" ht="15" hidden="false" customHeight="false" outlineLevel="0" collapsed="false">
      <c r="A289" s="9" t="n">
        <v>279</v>
      </c>
      <c r="B289" s="10" t="str">
        <f aca="false">IF($L289="","",INDEX('Price List'!$B$2:$B$1352,$L289)&amp;"")</f>
        <v>NAPPCO (April list - latest)</v>
      </c>
      <c r="C289" s="10" t="str">
        <f aca="false">IF($L289="","",INDEX('Price List'!$C$2:$C$1352,$L289)&amp;"")</f>
        <v>Book Paper</v>
      </c>
      <c r="D289" s="11" t="str">
        <f aca="false">IF($L289="","",INDEX('Price List'!$D$2:$D$1352,$L289)&amp;"")</f>
        <v>Book - Ivory or Cream</v>
      </c>
      <c r="E289" s="11" t="str">
        <f aca="false">IF($L289="","",INDEX('Price List'!$E$2:$E$1352,$L289)&amp;"")</f>
        <v/>
      </c>
      <c r="F289" s="10" t="str">
        <f aca="false">IF($L289="","",INDEX('Price List'!$F$2:$F$1352,$L289)&amp;"")</f>
        <v/>
      </c>
      <c r="G289" s="10" t="str">
        <f aca="false">IF($L289="","",INDEX('Price List'!$G$2:$G$1352,$L289)&amp;"")</f>
        <v/>
      </c>
      <c r="H289" s="10" t="str">
        <f aca="false">IF($L289="","",INDEX('Price List'!$H$2:$H$1352,$L289)&amp;"")</f>
        <v>per lb</v>
      </c>
      <c r="I289" s="12" t="n">
        <f aca="false">IF($L289="","",IF(INDEX('Price List'!$I$2:$I$1352,$L289)="","",INDEX('Price List'!$I$2:$I$1352,$L289)))</f>
        <v>38</v>
      </c>
      <c r="J289" s="11" t="str">
        <f aca="false">IF($L289="","",INDEX('Price List'!$J$2:$J$1352,$L289)&amp;"")</f>
        <v/>
      </c>
      <c r="K289" s="10" t="str">
        <f aca="false">IF($L289="","",INDEX('Price List'!$K$2:$K$1352,$L289)&amp;"")</f>
        <v>April (year not shown)</v>
      </c>
      <c r="L289" s="13" t="n">
        <f aca="false">IF(279&gt;$H$4,"",MATCH(279,'Price List'!$M$2:$M$1352,0))</f>
        <v>279</v>
      </c>
    </row>
    <row r="290" customFormat="false" ht="15" hidden="false" customHeight="false" outlineLevel="0" collapsed="false">
      <c r="A290" s="9" t="n">
        <v>280</v>
      </c>
      <c r="B290" s="10" t="str">
        <f aca="false">IF($L290="","",INDEX('Price List'!$B$2:$B$1352,$L290)&amp;"")</f>
        <v>NAPPCO (April list - latest)</v>
      </c>
      <c r="C290" s="10" t="str">
        <f aca="false">IF($L290="","",INDEX('Price List'!$C$2:$C$1352,$L290)&amp;"")</f>
        <v>Board / Specialty</v>
      </c>
      <c r="D290" s="11" t="str">
        <f aca="false">IF($L290="","",INDEX('Price List'!$D$2:$D$1352,$L290)&amp;"")</f>
        <v>Pasteboard</v>
      </c>
      <c r="E290" s="11" t="str">
        <f aca="false">IF($L290="","",INDEX('Price List'!$E$2:$E$1352,$L290)&amp;"")</f>
        <v/>
      </c>
      <c r="F290" s="10" t="str">
        <f aca="false">IF($L290="","",INDEX('Price List'!$F$2:$F$1352,$L290)&amp;"")</f>
        <v/>
      </c>
      <c r="G290" s="10" t="str">
        <f aca="false">IF($L290="","",INDEX('Price List'!$G$2:$G$1352,$L290)&amp;"")</f>
        <v/>
      </c>
      <c r="H290" s="10" t="str">
        <f aca="false">IF($L290="","",INDEX('Price List'!$H$2:$H$1352,$L290)&amp;"")</f>
        <v>bale</v>
      </c>
      <c r="I290" s="12" t="n">
        <f aca="false">IF($L290="","",IF(INDEX('Price List'!$I$2:$I$1352,$L290)="","",INDEX('Price List'!$I$2:$I$1352,$L290)))</f>
        <v>2350</v>
      </c>
      <c r="J290" s="11" t="str">
        <f aca="false">IF($L290="","",INDEX('Price List'!$J$2:$J$1352,$L290)&amp;"")</f>
        <v/>
      </c>
      <c r="K290" s="10" t="str">
        <f aca="false">IF($L290="","",INDEX('Price List'!$K$2:$K$1352,$L290)&amp;"")</f>
        <v>April (year not shown)</v>
      </c>
      <c r="L290" s="13" t="n">
        <f aca="false">IF(280&gt;$H$4,"",MATCH(280,'Price List'!$M$2:$M$1352,0))</f>
        <v>280</v>
      </c>
    </row>
    <row r="291" customFormat="false" ht="15" hidden="false" customHeight="false" outlineLevel="0" collapsed="false">
      <c r="A291" s="9" t="n">
        <v>281</v>
      </c>
      <c r="B291" s="10" t="str">
        <f aca="false">IF($L291="","",INDEX('Price List'!$B$2:$B$1352,$L291)&amp;"")</f>
        <v>NAPPCO (April list - latest)</v>
      </c>
      <c r="C291" s="10" t="str">
        <f aca="false">IF($L291="","",INDEX('Price List'!$C$2:$C$1352,$L291)&amp;"")</f>
        <v>Board / Specialty</v>
      </c>
      <c r="D291" s="11" t="str">
        <f aca="false">IF($L291="","",INDEX('Price List'!$D$2:$D$1352,$L291)&amp;"")</f>
        <v>Chipboard</v>
      </c>
      <c r="E291" s="11" t="str">
        <f aca="false">IF($L291="","",INDEX('Price List'!$E$2:$E$1352,$L291)&amp;"")</f>
        <v/>
      </c>
      <c r="F291" s="10" t="str">
        <f aca="false">IF($L291="","",INDEX('Price List'!$F$2:$F$1352,$L291)&amp;"")</f>
        <v/>
      </c>
      <c r="G291" s="10" t="str">
        <f aca="false">IF($L291="","",INDEX('Price List'!$G$2:$G$1352,$L291)&amp;"")</f>
        <v/>
      </c>
      <c r="H291" s="10" t="str">
        <f aca="false">IF($L291="","",INDEX('Price List'!$H$2:$H$1352,$L291)&amp;"")</f>
        <v>bale</v>
      </c>
      <c r="I291" s="12" t="n">
        <f aca="false">IF($L291="","",IF(INDEX('Price List'!$I$2:$I$1352,$L291)="","",INDEX('Price List'!$I$2:$I$1352,$L291)))</f>
        <v>2000</v>
      </c>
      <c r="J291" s="11" t="str">
        <f aca="false">IF($L291="","",INDEX('Price List'!$J$2:$J$1352,$L291)&amp;"")</f>
        <v/>
      </c>
      <c r="K291" s="10" t="str">
        <f aca="false">IF($L291="","",INDEX('Price List'!$K$2:$K$1352,$L291)&amp;"")</f>
        <v>April (year not shown)</v>
      </c>
      <c r="L291" s="13" t="n">
        <f aca="false">IF(281&gt;$H$4,"",MATCH(281,'Price List'!$M$2:$M$1352,0))</f>
        <v>281</v>
      </c>
    </row>
    <row r="292" customFormat="false" ht="15" hidden="false" customHeight="false" outlineLevel="0" collapsed="false">
      <c r="A292" s="9" t="n">
        <v>282</v>
      </c>
      <c r="B292" s="10" t="str">
        <f aca="false">IF($L292="","",INDEX('Price List'!$B$2:$B$1352,$L292)&amp;"")</f>
        <v>NAPPCO (April list - latest)</v>
      </c>
      <c r="C292" s="10" t="str">
        <f aca="false">IF($L292="","",INDEX('Price List'!$C$2:$C$1352,$L292)&amp;"")</f>
        <v>Board / Specialty</v>
      </c>
      <c r="D292" s="11" t="str">
        <f aca="false">IF($L292="","",INDEX('Price List'!$D$2:$D$1352,$L292)&amp;"")</f>
        <v>Tissue</v>
      </c>
      <c r="E292" s="11" t="str">
        <f aca="false">IF($L292="","",INDEX('Price List'!$E$2:$E$1352,$L292)&amp;"")</f>
        <v/>
      </c>
      <c r="F292" s="10" t="str">
        <f aca="false">IF($L292="","",INDEX('Price List'!$F$2:$F$1352,$L292)&amp;"")</f>
        <v/>
      </c>
      <c r="G292" s="10" t="str">
        <f aca="false">IF($L292="","",INDEX('Price List'!$G$2:$G$1352,$L292)&amp;"")</f>
        <v/>
      </c>
      <c r="H292" s="10" t="str">
        <f aca="false">IF($L292="","",INDEX('Price List'!$H$2:$H$1352,$L292)&amp;"")</f>
        <v>ream</v>
      </c>
      <c r="I292" s="12" t="n">
        <f aca="false">IF($L292="","",IF(INDEX('Price List'!$I$2:$I$1352,$L292)="","",INDEX('Price List'!$I$2:$I$1352,$L292)))</f>
        <v>425</v>
      </c>
      <c r="J292" s="11" t="str">
        <f aca="false">IF($L292="","",INDEX('Price List'!$J$2:$J$1352,$L292)&amp;"")</f>
        <v/>
      </c>
      <c r="K292" s="10" t="str">
        <f aca="false">IF($L292="","",INDEX('Price List'!$K$2:$K$1352,$L292)&amp;"")</f>
        <v>April (year not shown)</v>
      </c>
      <c r="L292" s="13" t="n">
        <f aca="false">IF(282&gt;$H$4,"",MATCH(282,'Price List'!$M$2:$M$1352,0))</f>
        <v>282</v>
      </c>
    </row>
    <row r="293" customFormat="false" ht="15" hidden="false" customHeight="false" outlineLevel="0" collapsed="false">
      <c r="A293" s="9" t="n">
        <v>283</v>
      </c>
      <c r="B293" s="10" t="str">
        <f aca="false">IF($L293="","",INDEX('Price List'!$B$2:$B$1352,$L293)&amp;"")</f>
        <v>NAPPCO (April list - latest)</v>
      </c>
      <c r="C293" s="10" t="str">
        <f aca="false">IF($L293="","",INDEX('Price List'!$C$2:$C$1352,$L293)&amp;"")</f>
        <v>Board / Specialty</v>
      </c>
      <c r="D293" s="11" t="str">
        <f aca="false">IF($L293="","",INDEX('Price List'!$D$2:$D$1352,$L293)&amp;"")</f>
        <v>Parchment</v>
      </c>
      <c r="E293" s="11" t="str">
        <f aca="false">IF($L293="","",INDEX('Price List'!$E$2:$E$1352,$L293)&amp;"")</f>
        <v/>
      </c>
      <c r="F293" s="10" t="str">
        <f aca="false">IF($L293="","",INDEX('Price List'!$F$2:$F$1352,$L293)&amp;"")</f>
        <v/>
      </c>
      <c r="G293" s="10" t="str">
        <f aca="false">IF($L293="","",INDEX('Price List'!$G$2:$G$1352,$L293)&amp;"")</f>
        <v/>
      </c>
      <c r="H293" s="10" t="str">
        <f aca="false">IF($L293="","",INDEX('Price List'!$H$2:$H$1352,$L293)&amp;"")</f>
        <v>sheet</v>
      </c>
      <c r="I293" s="12" t="n">
        <f aca="false">IF($L293="","",IF(INDEX('Price List'!$I$2:$I$1352,$L293)="","",INDEX('Price List'!$I$2:$I$1352,$L293)))</f>
        <v>14.5</v>
      </c>
      <c r="J293" s="11" t="str">
        <f aca="false">IF($L293="","",INDEX('Price List'!$J$2:$J$1352,$L293)&amp;"")</f>
        <v/>
      </c>
      <c r="K293" s="10" t="str">
        <f aca="false">IF($L293="","",INDEX('Price List'!$K$2:$K$1352,$L293)&amp;"")</f>
        <v>April (year not shown)</v>
      </c>
      <c r="L293" s="13" t="n">
        <f aca="false">IF(283&gt;$H$4,"",MATCH(283,'Price List'!$M$2:$M$1352,0))</f>
        <v>283</v>
      </c>
    </row>
    <row r="294" customFormat="false" ht="15" hidden="false" customHeight="false" outlineLevel="0" collapsed="false">
      <c r="A294" s="9" t="n">
        <v>284</v>
      </c>
      <c r="B294" s="10" t="str">
        <f aca="false">IF($L294="","",INDEX('Price List'!$B$2:$B$1352,$L294)&amp;"")</f>
        <v>NAPPCO (April list - latest)</v>
      </c>
      <c r="C294" s="10" t="str">
        <f aca="false">IF($L294="","",INDEX('Price List'!$C$2:$C$1352,$L294)&amp;"")</f>
        <v>Board / Specialty</v>
      </c>
      <c r="D294" s="11" t="str">
        <f aca="false">IF($L294="","",INDEX('Price List'!$D$2:$D$1352,$L294)&amp;"")</f>
        <v>Glassine</v>
      </c>
      <c r="E294" s="11" t="str">
        <f aca="false">IF($L294="","",INDEX('Price List'!$E$2:$E$1352,$L294)&amp;"")</f>
        <v/>
      </c>
      <c r="F294" s="10" t="str">
        <f aca="false">IF($L294="","",INDEX('Price List'!$F$2:$F$1352,$L294)&amp;"")</f>
        <v/>
      </c>
      <c r="G294" s="10" t="str">
        <f aca="false">IF($L294="","",INDEX('Price List'!$G$2:$G$1352,$L294)&amp;"")</f>
        <v/>
      </c>
      <c r="H294" s="10" t="str">
        <f aca="false">IF($L294="","",INDEX('Price List'!$H$2:$H$1352,$L294)&amp;"")</f>
        <v>ream</v>
      </c>
      <c r="I294" s="12" t="n">
        <f aca="false">IF($L294="","",IF(INDEX('Price List'!$I$2:$I$1352,$L294)="","",INDEX('Price List'!$I$2:$I$1352,$L294)))</f>
        <v>850</v>
      </c>
      <c r="J294" s="11" t="str">
        <f aca="false">IF($L294="","",INDEX('Price List'!$J$2:$J$1352,$L294)&amp;"")</f>
        <v/>
      </c>
      <c r="K294" s="10" t="str">
        <f aca="false">IF($L294="","",INDEX('Price List'!$K$2:$K$1352,$L294)&amp;"")</f>
        <v>April (year not shown)</v>
      </c>
      <c r="L294" s="13" t="n">
        <f aca="false">IF(284&gt;$H$4,"",MATCH(284,'Price List'!$M$2:$M$1352,0))</f>
        <v>284</v>
      </c>
    </row>
    <row r="295" customFormat="false" ht="15" hidden="false" customHeight="false" outlineLevel="0" collapsed="false">
      <c r="A295" s="9" t="n">
        <v>285</v>
      </c>
      <c r="B295" s="10" t="str">
        <f aca="false">IF($L295="","",INDEX('Price List'!$B$2:$B$1352,$L295)&amp;"")</f>
        <v>NAPPCO (April list - latest)</v>
      </c>
      <c r="C295" s="10" t="str">
        <f aca="false">IF($L295="","",INDEX('Price List'!$C$2:$C$1352,$L295)&amp;"")</f>
        <v>Bond Paper</v>
      </c>
      <c r="D295" s="11" t="str">
        <f aca="false">IF($L295="","",INDEX('Price List'!$D$2:$D$1352,$L295)&amp;"")</f>
        <v>BE 49gsm</v>
      </c>
      <c r="E295" s="11" t="str">
        <f aca="false">IF($L295="","",INDEX('Price List'!$E$2:$E$1352,$L295)&amp;"")</f>
        <v/>
      </c>
      <c r="F295" s="10" t="str">
        <f aca="false">IF($L295="","",INDEX('Price List'!$F$2:$F$1352,$L295)&amp;"")</f>
        <v/>
      </c>
      <c r="G295" s="10" t="str">
        <f aca="false">IF($L295="","",INDEX('Price List'!$G$2:$G$1352,$L295)&amp;"")</f>
        <v/>
      </c>
      <c r="H295" s="10" t="str">
        <f aca="false">IF($L295="","",INDEX('Price List'!$H$2:$H$1352,$L295)&amp;"")</f>
        <v>per lb</v>
      </c>
      <c r="I295" s="12" t="n">
        <f aca="false">IF($L295="","",IF(INDEX('Price List'!$I$2:$I$1352,$L295)="","",INDEX('Price List'!$I$2:$I$1352,$L295)))</f>
        <v>22.5</v>
      </c>
      <c r="J295" s="11" t="str">
        <f aca="false">IF($L295="","",INDEX('Price List'!$J$2:$J$1352,$L295)&amp;"")</f>
        <v>Kilo price P57/kg</v>
      </c>
      <c r="K295" s="10" t="str">
        <f aca="false">IF($L295="","",INDEX('Price List'!$K$2:$K$1352,$L295)&amp;"")</f>
        <v>April (year not shown)</v>
      </c>
      <c r="L295" s="13" t="n">
        <f aca="false">IF(285&gt;$H$4,"",MATCH(285,'Price List'!$M$2:$M$1352,0))</f>
        <v>285</v>
      </c>
    </row>
    <row r="296" customFormat="false" ht="15" hidden="false" customHeight="false" outlineLevel="0" collapsed="false">
      <c r="A296" s="9" t="n">
        <v>286</v>
      </c>
      <c r="B296" s="10" t="str">
        <f aca="false">IF($L296="","",INDEX('Price List'!$B$2:$B$1352,$L296)&amp;"")</f>
        <v>NAPPCO (April list - latest)</v>
      </c>
      <c r="C296" s="10" t="str">
        <f aca="false">IF($L296="","",INDEX('Price List'!$C$2:$C$1352,$L296)&amp;"")</f>
        <v>Bond Paper</v>
      </c>
      <c r="D296" s="11" t="str">
        <f aca="false">IF($L296="","",INDEX('Price List'!$D$2:$D$1352,$L296)&amp;"")</f>
        <v>TE 48gsm</v>
      </c>
      <c r="E296" s="11" t="str">
        <f aca="false">IF($L296="","",INDEX('Price List'!$E$2:$E$1352,$L296)&amp;"")</f>
        <v/>
      </c>
      <c r="F296" s="10" t="str">
        <f aca="false">IF($L296="","",INDEX('Price List'!$F$2:$F$1352,$L296)&amp;"")</f>
        <v/>
      </c>
      <c r="G296" s="10" t="str">
        <f aca="false">IF($L296="","",INDEX('Price List'!$G$2:$G$1352,$L296)&amp;"")</f>
        <v/>
      </c>
      <c r="H296" s="10" t="str">
        <f aca="false">IF($L296="","",INDEX('Price List'!$H$2:$H$1352,$L296)&amp;"")</f>
        <v>per lb</v>
      </c>
      <c r="I296" s="12" t="n">
        <f aca="false">IF($L296="","",IF(INDEX('Price List'!$I$2:$I$1352,$L296)="","",INDEX('Price List'!$I$2:$I$1352,$L296)))</f>
        <v>23.5</v>
      </c>
      <c r="J296" s="11" t="str">
        <f aca="false">IF($L296="","",INDEX('Price List'!$J$2:$J$1352,$L296)&amp;"")</f>
        <v>Kilo price P57/kg</v>
      </c>
      <c r="K296" s="10" t="str">
        <f aca="false">IF($L296="","",INDEX('Price List'!$K$2:$K$1352,$L296)&amp;"")</f>
        <v>April (year not shown)</v>
      </c>
      <c r="L296" s="13" t="n">
        <f aca="false">IF(286&gt;$H$4,"",MATCH(286,'Price List'!$M$2:$M$1352,0))</f>
        <v>286</v>
      </c>
    </row>
    <row r="297" customFormat="false" ht="15" hidden="false" customHeight="false" outlineLevel="0" collapsed="false">
      <c r="A297" s="9" t="n">
        <v>287</v>
      </c>
      <c r="B297" s="10" t="str">
        <f aca="false">IF($L297="","",INDEX('Price List'!$B$2:$B$1352,$L297)&amp;"")</f>
        <v>NAPPCO (April list - latest)</v>
      </c>
      <c r="C297" s="10" t="str">
        <f aca="false">IF($L297="","",INDEX('Price List'!$C$2:$C$1352,$L297)&amp;"")</f>
        <v>Bond Paper</v>
      </c>
      <c r="D297" s="11" t="str">
        <f aca="false">IF($L297="","",INDEX('Price List'!$D$2:$D$1352,$L297)&amp;"")</f>
        <v>TE 51gsm</v>
      </c>
      <c r="E297" s="11" t="str">
        <f aca="false">IF($L297="","",INDEX('Price List'!$E$2:$E$1352,$L297)&amp;"")</f>
        <v/>
      </c>
      <c r="F297" s="10" t="str">
        <f aca="false">IF($L297="","",INDEX('Price List'!$F$2:$F$1352,$L297)&amp;"")</f>
        <v/>
      </c>
      <c r="G297" s="10" t="str">
        <f aca="false">IF($L297="","",INDEX('Price List'!$G$2:$G$1352,$L297)&amp;"")</f>
        <v/>
      </c>
      <c r="H297" s="10" t="str">
        <f aca="false">IF($L297="","",INDEX('Price List'!$H$2:$H$1352,$L297)&amp;"")</f>
        <v>per lb</v>
      </c>
      <c r="I297" s="12" t="n">
        <f aca="false">IF($L297="","",IF(INDEX('Price List'!$I$2:$I$1352,$L297)="","",INDEX('Price List'!$I$2:$I$1352,$L297)))</f>
        <v>24.5</v>
      </c>
      <c r="J297" s="11" t="str">
        <f aca="false">IF($L297="","",INDEX('Price List'!$J$2:$J$1352,$L297)&amp;"")</f>
        <v>Kilo price P57/kg</v>
      </c>
      <c r="K297" s="10" t="str">
        <f aca="false">IF($L297="","",INDEX('Price List'!$K$2:$K$1352,$L297)&amp;"")</f>
        <v>April (year not shown)</v>
      </c>
      <c r="L297" s="13" t="n">
        <f aca="false">IF(287&gt;$H$4,"",MATCH(287,'Price List'!$M$2:$M$1352,0))</f>
        <v>287</v>
      </c>
    </row>
    <row r="298" customFormat="false" ht="15" hidden="false" customHeight="false" outlineLevel="0" collapsed="false">
      <c r="A298" s="9" t="n">
        <v>288</v>
      </c>
      <c r="B298" s="10" t="str">
        <f aca="false">IF($L298="","",INDEX('Price List'!$B$2:$B$1352,$L298)&amp;"")</f>
        <v>NAPPCO (April list - latest)</v>
      </c>
      <c r="C298" s="10" t="str">
        <f aca="false">IF($L298="","",INDEX('Price List'!$C$2:$C$1352,$L298)&amp;"")</f>
        <v>Bond Paper</v>
      </c>
      <c r="D298" s="11" t="str">
        <f aca="false">IF($L298="","",INDEX('Price List'!$D$2:$D$1352,$L298)&amp;"")</f>
        <v>MT 51gsm</v>
      </c>
      <c r="E298" s="11" t="str">
        <f aca="false">IF($L298="","",INDEX('Price List'!$E$2:$E$1352,$L298)&amp;"")</f>
        <v/>
      </c>
      <c r="F298" s="10" t="str">
        <f aca="false">IF($L298="","",INDEX('Price List'!$F$2:$F$1352,$L298)&amp;"")</f>
        <v/>
      </c>
      <c r="G298" s="10" t="str">
        <f aca="false">IF($L298="","",INDEX('Price List'!$G$2:$G$1352,$L298)&amp;"")</f>
        <v/>
      </c>
      <c r="H298" s="10" t="str">
        <f aca="false">IF($L298="","",INDEX('Price List'!$H$2:$H$1352,$L298)&amp;"")</f>
        <v>per lb</v>
      </c>
      <c r="I298" s="12" t="n">
        <f aca="false">IF($L298="","",IF(INDEX('Price List'!$I$2:$I$1352,$L298)="","",INDEX('Price List'!$I$2:$I$1352,$L298)))</f>
        <v>25.5</v>
      </c>
      <c r="J298" s="11" t="str">
        <f aca="false">IF($L298="","",INDEX('Price List'!$J$2:$J$1352,$L298)&amp;"")</f>
        <v>Kilo price P59/kg</v>
      </c>
      <c r="K298" s="10" t="str">
        <f aca="false">IF($L298="","",INDEX('Price List'!$K$2:$K$1352,$L298)&amp;"")</f>
        <v>April (year not shown)</v>
      </c>
      <c r="L298" s="13" t="n">
        <f aca="false">IF(288&gt;$H$4,"",MATCH(288,'Price List'!$M$2:$M$1352,0))</f>
        <v>288</v>
      </c>
    </row>
    <row r="299" customFormat="false" ht="15" hidden="false" customHeight="false" outlineLevel="0" collapsed="false">
      <c r="A299" s="9" t="n">
        <v>289</v>
      </c>
      <c r="B299" s="10" t="str">
        <f aca="false">IF($L299="","",INDEX('Price List'!$B$2:$B$1352,$L299)&amp;"")</f>
        <v>NAPPCO (April list - latest)</v>
      </c>
      <c r="C299" s="10" t="str">
        <f aca="false">IF($L299="","",INDEX('Price List'!$C$2:$C$1352,$L299)&amp;"")</f>
        <v>Bond Paper</v>
      </c>
      <c r="D299" s="11" t="str">
        <f aca="false">IF($L299="","",INDEX('Price List'!$D$2:$D$1352,$L299)&amp;"")</f>
        <v>MT 54gsm</v>
      </c>
      <c r="E299" s="11" t="str">
        <f aca="false">IF($L299="","",INDEX('Price List'!$E$2:$E$1352,$L299)&amp;"")</f>
        <v/>
      </c>
      <c r="F299" s="10" t="str">
        <f aca="false">IF($L299="","",INDEX('Price List'!$F$2:$F$1352,$L299)&amp;"")</f>
        <v/>
      </c>
      <c r="G299" s="10" t="str">
        <f aca="false">IF($L299="","",INDEX('Price List'!$G$2:$G$1352,$L299)&amp;"")</f>
        <v/>
      </c>
      <c r="H299" s="10" t="str">
        <f aca="false">IF($L299="","",INDEX('Price List'!$H$2:$H$1352,$L299)&amp;"")</f>
        <v>per lb</v>
      </c>
      <c r="I299" s="12" t="n">
        <f aca="false">IF($L299="","",IF(INDEX('Price List'!$I$2:$I$1352,$L299)="","",INDEX('Price List'!$I$2:$I$1352,$L299)))</f>
        <v>27.5</v>
      </c>
      <c r="J299" s="11" t="str">
        <f aca="false">IF($L299="","",INDEX('Price List'!$J$2:$J$1352,$L299)&amp;"")</f>
        <v>Kilo price P59/kg</v>
      </c>
      <c r="K299" s="10" t="str">
        <f aca="false">IF($L299="","",INDEX('Price List'!$K$2:$K$1352,$L299)&amp;"")</f>
        <v>April (year not shown)</v>
      </c>
      <c r="L299" s="13" t="n">
        <f aca="false">IF(289&gt;$H$4,"",MATCH(289,'Price List'!$M$2:$M$1352,0))</f>
        <v>289</v>
      </c>
    </row>
    <row r="300" customFormat="false" ht="15" hidden="false" customHeight="false" outlineLevel="0" collapsed="false">
      <c r="A300" s="9" t="n">
        <v>290</v>
      </c>
      <c r="B300" s="10" t="str">
        <f aca="false">IF($L300="","",INDEX('Price List'!$B$2:$B$1352,$L300)&amp;"")</f>
        <v>NAPPCO (April list - latest)</v>
      </c>
      <c r="C300" s="10" t="str">
        <f aca="false">IF($L300="","",INDEX('Price List'!$C$2:$C$1352,$L300)&amp;"")</f>
        <v>Bond Paper</v>
      </c>
      <c r="D300" s="11" t="str">
        <f aca="false">IF($L300="","",INDEX('Price List'!$D$2:$D$1352,$L300)&amp;"")</f>
        <v>MT 58gsm</v>
      </c>
      <c r="E300" s="11" t="str">
        <f aca="false">IF($L300="","",INDEX('Price List'!$E$2:$E$1352,$L300)&amp;"")</f>
        <v/>
      </c>
      <c r="F300" s="10" t="str">
        <f aca="false">IF($L300="","",INDEX('Price List'!$F$2:$F$1352,$L300)&amp;"")</f>
        <v/>
      </c>
      <c r="G300" s="10" t="str">
        <f aca="false">IF($L300="","",INDEX('Price List'!$G$2:$G$1352,$L300)&amp;"")</f>
        <v/>
      </c>
      <c r="H300" s="10" t="str">
        <f aca="false">IF($L300="","",INDEX('Price List'!$H$2:$H$1352,$L300)&amp;"")</f>
        <v>per lb</v>
      </c>
      <c r="I300" s="12" t="n">
        <f aca="false">IF($L300="","",IF(INDEX('Price List'!$I$2:$I$1352,$L300)="","",INDEX('Price List'!$I$2:$I$1352,$L300)))</f>
        <v>28.5</v>
      </c>
      <c r="J300" s="11" t="str">
        <f aca="false">IF($L300="","",INDEX('Price List'!$J$2:$J$1352,$L300)&amp;"")</f>
        <v>Kilo price P59/kg</v>
      </c>
      <c r="K300" s="10" t="str">
        <f aca="false">IF($L300="","",INDEX('Price List'!$K$2:$K$1352,$L300)&amp;"")</f>
        <v>April (year not shown)</v>
      </c>
      <c r="L300" s="13" t="n">
        <f aca="false">IF(290&gt;$H$4,"",MATCH(290,'Price List'!$M$2:$M$1352,0))</f>
        <v>290</v>
      </c>
    </row>
    <row r="301" customFormat="false" ht="15" hidden="false" customHeight="false" outlineLevel="0" collapsed="false">
      <c r="A301" s="9" t="n">
        <v>291</v>
      </c>
      <c r="B301" s="10" t="str">
        <f aca="false">IF($L301="","",INDEX('Price List'!$B$2:$B$1352,$L301)&amp;"")</f>
        <v>NAPPCO (April list - latest)</v>
      </c>
      <c r="C301" s="10" t="str">
        <f aca="false">IF($L301="","",INDEX('Price List'!$C$2:$C$1352,$L301)&amp;"")</f>
        <v>Bond Paper</v>
      </c>
      <c r="D301" s="11" t="str">
        <f aca="false">IF($L301="","",INDEX('Price List'!$D$2:$D$1352,$L301)&amp;"")</f>
        <v>MT 68gsm</v>
      </c>
      <c r="E301" s="11" t="str">
        <f aca="false">IF($L301="","",INDEX('Price List'!$E$2:$E$1352,$L301)&amp;"")</f>
        <v/>
      </c>
      <c r="F301" s="10" t="str">
        <f aca="false">IF($L301="","",INDEX('Price List'!$F$2:$F$1352,$L301)&amp;"")</f>
        <v/>
      </c>
      <c r="G301" s="10" t="str">
        <f aca="false">IF($L301="","",INDEX('Price List'!$G$2:$G$1352,$L301)&amp;"")</f>
        <v/>
      </c>
      <c r="H301" s="10" t="str">
        <f aca="false">IF($L301="","",INDEX('Price List'!$H$2:$H$1352,$L301)&amp;"")</f>
        <v>per lb</v>
      </c>
      <c r="I301" s="12" t="n">
        <f aca="false">IF($L301="","",IF(INDEX('Price List'!$I$2:$I$1352,$L301)="","",INDEX('Price List'!$I$2:$I$1352,$L301)))</f>
        <v>28.5</v>
      </c>
      <c r="J301" s="11" t="str">
        <f aca="false">IF($L301="","",INDEX('Price List'!$J$2:$J$1352,$L301)&amp;"")</f>
        <v>Kilo price P59/kg</v>
      </c>
      <c r="K301" s="10" t="str">
        <f aca="false">IF($L301="","",INDEX('Price List'!$K$2:$K$1352,$L301)&amp;"")</f>
        <v>April (year not shown)</v>
      </c>
      <c r="L301" s="13" t="n">
        <f aca="false">IF(291&gt;$H$4,"",MATCH(291,'Price List'!$M$2:$M$1352,0))</f>
        <v>291</v>
      </c>
    </row>
    <row r="302" customFormat="false" ht="15" hidden="false" customHeight="false" outlineLevel="0" collapsed="false">
      <c r="A302" s="9" t="n">
        <v>292</v>
      </c>
      <c r="B302" s="10" t="str">
        <f aca="false">IF($L302="","",INDEX('Price List'!$B$2:$B$1352,$L302)&amp;"")</f>
        <v>NAPPCO (April list - latest)</v>
      </c>
      <c r="C302" s="10" t="str">
        <f aca="false">IF($L302="","",INDEX('Price List'!$C$2:$C$1352,$L302)&amp;"")</f>
        <v>Bond Paper</v>
      </c>
      <c r="D302" s="11" t="str">
        <f aca="false">IF($L302="","",INDEX('Price List'!$D$2:$D$1352,$L302)&amp;"")</f>
        <v>Colored Bond</v>
      </c>
      <c r="E302" s="11" t="str">
        <f aca="false">IF($L302="","",INDEX('Price List'!$E$2:$E$1352,$L302)&amp;"")</f>
        <v/>
      </c>
      <c r="F302" s="10" t="str">
        <f aca="false">IF($L302="","",INDEX('Price List'!$F$2:$F$1352,$L302)&amp;"")</f>
        <v/>
      </c>
      <c r="G302" s="10" t="str">
        <f aca="false">IF($L302="","",INDEX('Price List'!$G$2:$G$1352,$L302)&amp;"")</f>
        <v/>
      </c>
      <c r="H302" s="10" t="str">
        <f aca="false">IF($L302="","",INDEX('Price List'!$H$2:$H$1352,$L302)&amp;"")</f>
        <v>per lb</v>
      </c>
      <c r="I302" s="12" t="n">
        <f aca="false">IF($L302="","",IF(INDEX('Price List'!$I$2:$I$1352,$L302)="","",INDEX('Price List'!$I$2:$I$1352,$L302)))</f>
        <v>38</v>
      </c>
      <c r="J302" s="11" t="str">
        <f aca="false">IF($L302="","",INDEX('Price List'!$J$2:$J$1352,$L302)&amp;"")</f>
        <v/>
      </c>
      <c r="K302" s="10" t="str">
        <f aca="false">IF($L302="","",INDEX('Price List'!$K$2:$K$1352,$L302)&amp;"")</f>
        <v>April (year not shown)</v>
      </c>
      <c r="L302" s="13" t="n">
        <f aca="false">IF(292&gt;$H$4,"",MATCH(292,'Price List'!$M$2:$M$1352,0))</f>
        <v>292</v>
      </c>
    </row>
    <row r="303" customFormat="false" ht="15" hidden="false" customHeight="false" outlineLevel="0" collapsed="false">
      <c r="A303" s="9" t="n">
        <v>293</v>
      </c>
      <c r="B303" s="10" t="str">
        <f aca="false">IF($L303="","",INDEX('Price List'!$B$2:$B$1352,$L303)&amp;"")</f>
        <v>NAPPCO (April list - latest)</v>
      </c>
      <c r="C303" s="10" t="str">
        <f aca="false">IF($L303="","",INDEX('Price List'!$C$2:$C$1352,$L303)&amp;"")</f>
        <v>Bond Paper</v>
      </c>
      <c r="D303" s="11" t="str">
        <f aca="false">IF($L303="","",INDEX('Price List'!$D$2:$D$1352,$L303)&amp;"")</f>
        <v>JN Book 45g</v>
      </c>
      <c r="E303" s="11" t="str">
        <f aca="false">IF($L303="","",INDEX('Price List'!$E$2:$E$1352,$L303)&amp;"")</f>
        <v/>
      </c>
      <c r="F303" s="10" t="str">
        <f aca="false">IF($L303="","",INDEX('Price List'!$F$2:$F$1352,$L303)&amp;"")</f>
        <v/>
      </c>
      <c r="G303" s="10" t="str">
        <f aca="false">IF($L303="","",INDEX('Price List'!$G$2:$G$1352,$L303)&amp;"")</f>
        <v/>
      </c>
      <c r="H303" s="10" t="str">
        <f aca="false">IF($L303="","",INDEX('Price List'!$H$2:$H$1352,$L303)&amp;"")</f>
        <v>per lb</v>
      </c>
      <c r="I303" s="12" t="n">
        <f aca="false">IF($L303="","",IF(INDEX('Price List'!$I$2:$I$1352,$L303)="","",INDEX('Price List'!$I$2:$I$1352,$L303)))</f>
        <v>31.5</v>
      </c>
      <c r="J303" s="11" t="str">
        <f aca="false">IF($L303="","",INDEX('Price List'!$J$2:$J$1352,$L303)&amp;"")</f>
        <v>Kilo price P86/kg</v>
      </c>
      <c r="K303" s="10" t="str">
        <f aca="false">IF($L303="","",INDEX('Price List'!$K$2:$K$1352,$L303)&amp;"")</f>
        <v>April (year not shown)</v>
      </c>
      <c r="L303" s="13" t="n">
        <f aca="false">IF(293&gt;$H$4,"",MATCH(293,'Price List'!$M$2:$M$1352,0))</f>
        <v>293</v>
      </c>
    </row>
    <row r="304" customFormat="false" ht="15" hidden="false" customHeight="false" outlineLevel="0" collapsed="false">
      <c r="A304" s="9" t="n">
        <v>294</v>
      </c>
      <c r="B304" s="10" t="str">
        <f aca="false">IF($L304="","",INDEX('Price List'!$B$2:$B$1352,$L304)&amp;"")</f>
        <v>NAPPCO (April list - latest)</v>
      </c>
      <c r="C304" s="10" t="str">
        <f aca="false">IF($L304="","",INDEX('Price List'!$C$2:$C$1352,$L304)&amp;"")</f>
        <v>Bond Paper</v>
      </c>
      <c r="D304" s="11" t="str">
        <f aca="false">IF($L304="","",INDEX('Price List'!$D$2:$D$1352,$L304)&amp;"")</f>
        <v>JN Book 50g</v>
      </c>
      <c r="E304" s="11" t="str">
        <f aca="false">IF($L304="","",INDEX('Price List'!$E$2:$E$1352,$L304)&amp;"")</f>
        <v/>
      </c>
      <c r="F304" s="10" t="str">
        <f aca="false">IF($L304="","",INDEX('Price List'!$F$2:$F$1352,$L304)&amp;"")</f>
        <v/>
      </c>
      <c r="G304" s="10" t="str">
        <f aca="false">IF($L304="","",INDEX('Price List'!$G$2:$G$1352,$L304)&amp;"")</f>
        <v/>
      </c>
      <c r="H304" s="10" t="str">
        <f aca="false">IF($L304="","",INDEX('Price List'!$H$2:$H$1352,$L304)&amp;"")</f>
        <v>per lb</v>
      </c>
      <c r="I304" s="12" t="n">
        <f aca="false">IF($L304="","",IF(INDEX('Price List'!$I$2:$I$1352,$L304)="","",INDEX('Price List'!$I$2:$I$1352,$L304)))</f>
        <v>32.5</v>
      </c>
      <c r="J304" s="11" t="str">
        <f aca="false">IF($L304="","",INDEX('Price List'!$J$2:$J$1352,$L304)&amp;"")</f>
        <v>Kilo price P80/kg</v>
      </c>
      <c r="K304" s="10" t="str">
        <f aca="false">IF($L304="","",INDEX('Price List'!$K$2:$K$1352,$L304)&amp;"")</f>
        <v>April (year not shown)</v>
      </c>
      <c r="L304" s="13" t="n">
        <f aca="false">IF(294&gt;$H$4,"",MATCH(294,'Price List'!$M$2:$M$1352,0))</f>
        <v>294</v>
      </c>
    </row>
    <row r="305" customFormat="false" ht="15" hidden="false" customHeight="false" outlineLevel="0" collapsed="false">
      <c r="A305" s="9" t="n">
        <v>295</v>
      </c>
      <c r="B305" s="10" t="str">
        <f aca="false">IF($L305="","",INDEX('Price List'!$B$2:$B$1352,$L305)&amp;"")</f>
        <v>NAPPCO (April list - latest)</v>
      </c>
      <c r="C305" s="10" t="str">
        <f aca="false">IF($L305="","",INDEX('Price List'!$C$2:$C$1352,$L305)&amp;"")</f>
        <v>Bond Paper</v>
      </c>
      <c r="D305" s="11" t="str">
        <f aca="false">IF($L305="","",INDEX('Price List'!$D$2:$D$1352,$L305)&amp;"")</f>
        <v>JN Book 55/60g</v>
      </c>
      <c r="E305" s="11" t="str">
        <f aca="false">IF($L305="","",INDEX('Price List'!$E$2:$E$1352,$L305)&amp;"")</f>
        <v/>
      </c>
      <c r="F305" s="10" t="str">
        <f aca="false">IF($L305="","",INDEX('Price List'!$F$2:$F$1352,$L305)&amp;"")</f>
        <v/>
      </c>
      <c r="G305" s="10" t="str">
        <f aca="false">IF($L305="","",INDEX('Price List'!$G$2:$G$1352,$L305)&amp;"")</f>
        <v/>
      </c>
      <c r="H305" s="10" t="str">
        <f aca="false">IF($L305="","",INDEX('Price List'!$H$2:$H$1352,$L305)&amp;"")</f>
        <v>per lb</v>
      </c>
      <c r="I305" s="12" t="n">
        <f aca="false">IF($L305="","",IF(INDEX('Price List'!$I$2:$I$1352,$L305)="","",INDEX('Price List'!$I$2:$I$1352,$L305)))</f>
        <v>34.5</v>
      </c>
      <c r="J305" s="11" t="str">
        <f aca="false">IF($L305="","",INDEX('Price List'!$J$2:$J$1352,$L305)&amp;"")</f>
        <v>Kilo price P75/kg</v>
      </c>
      <c r="K305" s="10" t="str">
        <f aca="false">IF($L305="","",INDEX('Price List'!$K$2:$K$1352,$L305)&amp;"")</f>
        <v>April (year not shown)</v>
      </c>
      <c r="L305" s="13" t="n">
        <f aca="false">IF(295&gt;$H$4,"",MATCH(295,'Price List'!$M$2:$M$1352,0))</f>
        <v>295</v>
      </c>
    </row>
    <row r="306" customFormat="false" ht="15" hidden="false" customHeight="false" outlineLevel="0" collapsed="false">
      <c r="A306" s="9" t="n">
        <v>296</v>
      </c>
      <c r="B306" s="10" t="str">
        <f aca="false">IF($L306="","",INDEX('Price List'!$B$2:$B$1352,$L306)&amp;"")</f>
        <v>NAPPCO (April list - latest)</v>
      </c>
      <c r="C306" s="10" t="str">
        <f aca="false">IF($L306="","",INDEX('Price List'!$C$2:$C$1352,$L306)&amp;"")</f>
        <v>Newsprint</v>
      </c>
      <c r="D306" s="11" t="str">
        <f aca="false">IF($L306="","",INDEX('Price List'!$D$2:$D$1352,$L306)&amp;"")</f>
        <v>Newsprint</v>
      </c>
      <c r="E306" s="11" t="str">
        <f aca="false">IF($L306="","",INDEX('Price List'!$E$2:$E$1352,$L306)&amp;"")</f>
        <v/>
      </c>
      <c r="F306" s="10" t="str">
        <f aca="false">IF($L306="","",INDEX('Price List'!$F$2:$F$1352,$L306)&amp;"")</f>
        <v>43gsm</v>
      </c>
      <c r="G306" s="10" t="str">
        <f aca="false">IF($L306="","",INDEX('Price List'!$G$2:$G$1352,$L306)&amp;"")</f>
        <v>24 x 36</v>
      </c>
      <c r="H306" s="10" t="str">
        <f aca="false">IF($L306="","",INDEX('Price List'!$H$2:$H$1352,$L306)&amp;"")</f>
        <v>ream</v>
      </c>
      <c r="I306" s="12" t="n">
        <f aca="false">IF($L306="","",IF(INDEX('Price List'!$I$2:$I$1352,$L306)="","",INDEX('Price List'!$I$2:$I$1352,$L306)))</f>
        <v>680</v>
      </c>
      <c r="J306" s="11" t="str">
        <f aca="false">IF($L306="","",INDEX('Price List'!$J$2:$J$1352,$L306)&amp;"")</f>
        <v>Kilo price P55/kg</v>
      </c>
      <c r="K306" s="10" t="str">
        <f aca="false">IF($L306="","",INDEX('Price List'!$K$2:$K$1352,$L306)&amp;"")</f>
        <v>April (year not shown)</v>
      </c>
      <c r="L306" s="13" t="n">
        <f aca="false">IF(296&gt;$H$4,"",MATCH(296,'Price List'!$M$2:$M$1352,0))</f>
        <v>296</v>
      </c>
    </row>
    <row r="307" customFormat="false" ht="15" hidden="false" customHeight="false" outlineLevel="0" collapsed="false">
      <c r="A307" s="9" t="n">
        <v>297</v>
      </c>
      <c r="B307" s="10" t="str">
        <f aca="false">IF($L307="","",INDEX('Price List'!$B$2:$B$1352,$L307)&amp;"")</f>
        <v>NAPPCO (April list - latest)</v>
      </c>
      <c r="C307" s="10" t="str">
        <f aca="false">IF($L307="","",INDEX('Price List'!$C$2:$C$1352,$L307)&amp;"")</f>
        <v>Newsprint</v>
      </c>
      <c r="D307" s="11" t="str">
        <f aca="false">IF($L307="","",INDEX('Price List'!$D$2:$D$1352,$L307)&amp;"")</f>
        <v>Newsprint</v>
      </c>
      <c r="E307" s="11" t="str">
        <f aca="false">IF($L307="","",INDEX('Price List'!$E$2:$E$1352,$L307)&amp;"")</f>
        <v/>
      </c>
      <c r="F307" s="10" t="str">
        <f aca="false">IF($L307="","",INDEX('Price List'!$F$2:$F$1352,$L307)&amp;"")</f>
        <v>45gsm</v>
      </c>
      <c r="G307" s="10" t="str">
        <f aca="false">IF($L307="","",INDEX('Price List'!$G$2:$G$1352,$L307)&amp;"")</f>
        <v>24 x 36</v>
      </c>
      <c r="H307" s="10" t="str">
        <f aca="false">IF($L307="","",INDEX('Price List'!$H$2:$H$1352,$L307)&amp;"")</f>
        <v>ream</v>
      </c>
      <c r="I307" s="12" t="n">
        <f aca="false">IF($L307="","",IF(INDEX('Price List'!$I$2:$I$1352,$L307)="","",INDEX('Price List'!$I$2:$I$1352,$L307)))</f>
        <v>720</v>
      </c>
      <c r="J307" s="11" t="str">
        <f aca="false">IF($L307="","",INDEX('Price List'!$J$2:$J$1352,$L307)&amp;"")</f>
        <v>Kilo price P55/kg</v>
      </c>
      <c r="K307" s="10" t="str">
        <f aca="false">IF($L307="","",INDEX('Price List'!$K$2:$K$1352,$L307)&amp;"")</f>
        <v>April (year not shown)</v>
      </c>
      <c r="L307" s="13" t="n">
        <f aca="false">IF(297&gt;$H$4,"",MATCH(297,'Price List'!$M$2:$M$1352,0))</f>
        <v>297</v>
      </c>
    </row>
    <row r="308" customFormat="false" ht="15" hidden="false" customHeight="false" outlineLevel="0" collapsed="false">
      <c r="A308" s="9" t="n">
        <v>298</v>
      </c>
      <c r="B308" s="10" t="str">
        <f aca="false">IF($L308="","",INDEX('Price List'!$B$2:$B$1352,$L308)&amp;"")</f>
        <v>NAPPCO (April list - latest)</v>
      </c>
      <c r="C308" s="10" t="str">
        <f aca="false">IF($L308="","",INDEX('Price List'!$C$2:$C$1352,$L308)&amp;"")</f>
        <v>Newsprint</v>
      </c>
      <c r="D308" s="11" t="str">
        <f aca="false">IF($L308="","",INDEX('Price List'!$D$2:$D$1352,$L308)&amp;"")</f>
        <v>Newsprint</v>
      </c>
      <c r="E308" s="11" t="str">
        <f aca="false">IF($L308="","",INDEX('Price List'!$E$2:$E$1352,$L308)&amp;"")</f>
        <v/>
      </c>
      <c r="F308" s="10" t="str">
        <f aca="false">IF($L308="","",INDEX('Price List'!$F$2:$F$1352,$L308)&amp;"")</f>
        <v>50gsm</v>
      </c>
      <c r="G308" s="10" t="str">
        <f aca="false">IF($L308="","",INDEX('Price List'!$G$2:$G$1352,$L308)&amp;"")</f>
        <v>24 x 36</v>
      </c>
      <c r="H308" s="10" t="str">
        <f aca="false">IF($L308="","",INDEX('Price List'!$H$2:$H$1352,$L308)&amp;"")</f>
        <v>ream</v>
      </c>
      <c r="I308" s="12" t="n">
        <f aca="false">IF($L308="","",IF(INDEX('Price List'!$I$2:$I$1352,$L308)="","",INDEX('Price List'!$I$2:$I$1352,$L308)))</f>
        <v>790</v>
      </c>
      <c r="J308" s="11" t="str">
        <f aca="false">IF($L308="","",INDEX('Price List'!$J$2:$J$1352,$L308)&amp;"")</f>
        <v>Kilo price P55/kg</v>
      </c>
      <c r="K308" s="10" t="str">
        <f aca="false">IF($L308="","",INDEX('Price List'!$K$2:$K$1352,$L308)&amp;"")</f>
        <v>April (year not shown)</v>
      </c>
      <c r="L308" s="13" t="n">
        <f aca="false">IF(298&gt;$H$4,"",MATCH(298,'Price List'!$M$2:$M$1352,0))</f>
        <v>298</v>
      </c>
    </row>
    <row r="309" customFormat="false" ht="15" hidden="false" customHeight="false" outlineLevel="0" collapsed="false">
      <c r="A309" s="9" t="n">
        <v>299</v>
      </c>
      <c r="B309" s="10" t="str">
        <f aca="false">IF($L309="","",INDEX('Price List'!$B$2:$B$1352,$L309)&amp;"")</f>
        <v>NAPPCO (April list - latest)</v>
      </c>
      <c r="C309" s="10" t="str">
        <f aca="false">IF($L309="","",INDEX('Price List'!$C$2:$C$1352,$L309)&amp;"")</f>
        <v>Newsprint</v>
      </c>
      <c r="D309" s="11" t="str">
        <f aca="false">IF($L309="","",INDEX('Price List'!$D$2:$D$1352,$L309)&amp;"")</f>
        <v>Newsprint</v>
      </c>
      <c r="E309" s="11" t="str">
        <f aca="false">IF($L309="","",INDEX('Price List'!$E$2:$E$1352,$L309)&amp;"")</f>
        <v/>
      </c>
      <c r="F309" s="10" t="str">
        <f aca="false">IF($L309="","",INDEX('Price List'!$F$2:$F$1352,$L309)&amp;"")</f>
        <v>IX 52gsm</v>
      </c>
      <c r="G309" s="10" t="str">
        <f aca="false">IF($L309="","",INDEX('Price List'!$G$2:$G$1352,$L309)&amp;"")</f>
        <v>24 x 36</v>
      </c>
      <c r="H309" s="10" t="str">
        <f aca="false">IF($L309="","",INDEX('Price List'!$H$2:$H$1352,$L309)&amp;"")</f>
        <v>ream</v>
      </c>
      <c r="I309" s="12" t="n">
        <f aca="false">IF($L309="","",IF(INDEX('Price List'!$I$2:$I$1352,$L309)="","",INDEX('Price List'!$I$2:$I$1352,$L309)))</f>
        <v>820</v>
      </c>
      <c r="J309" s="11" t="str">
        <f aca="false">IF($L309="","",INDEX('Price List'!$J$2:$J$1352,$L309)&amp;"")</f>
        <v>Kilo price P55/kg</v>
      </c>
      <c r="K309" s="10" t="str">
        <f aca="false">IF($L309="","",INDEX('Price List'!$K$2:$K$1352,$L309)&amp;"")</f>
        <v>April (year not shown)</v>
      </c>
      <c r="L309" s="13" t="n">
        <f aca="false">IF(299&gt;$H$4,"",MATCH(299,'Price List'!$M$2:$M$1352,0))</f>
        <v>299</v>
      </c>
    </row>
    <row r="310" customFormat="false" ht="15" hidden="false" customHeight="false" outlineLevel="0" collapsed="false">
      <c r="A310" s="9" t="n">
        <v>300</v>
      </c>
      <c r="B310" s="10" t="str">
        <f aca="false">IF($L310="","",INDEX('Price List'!$B$2:$B$1352,$L310)&amp;"")</f>
        <v>NAPPCO (April list - latest)</v>
      </c>
      <c r="C310" s="10" t="str">
        <f aca="false">IF($L310="","",INDEX('Price List'!$C$2:$C$1352,$L310)&amp;"")</f>
        <v>Newsprint</v>
      </c>
      <c r="D310" s="11" t="str">
        <f aca="false">IF($L310="","",INDEX('Price List'!$D$2:$D$1352,$L310)&amp;"")</f>
        <v>Newsprint</v>
      </c>
      <c r="E310" s="11" t="str">
        <f aca="false">IF($L310="","",INDEX('Price List'!$E$2:$E$1352,$L310)&amp;"")</f>
        <v/>
      </c>
      <c r="F310" s="10" t="str">
        <f aca="false">IF($L310="","",INDEX('Price List'!$F$2:$F$1352,$L310)&amp;"")</f>
        <v>52gsm</v>
      </c>
      <c r="G310" s="10" t="str">
        <f aca="false">IF($L310="","",INDEX('Price List'!$G$2:$G$1352,$L310)&amp;"")</f>
        <v>24 x 36</v>
      </c>
      <c r="H310" s="10" t="str">
        <f aca="false">IF($L310="","",INDEX('Price List'!$H$2:$H$1352,$L310)&amp;"")</f>
        <v>ream</v>
      </c>
      <c r="I310" s="12" t="n">
        <f aca="false">IF($L310="","",IF(INDEX('Price List'!$I$2:$I$1352,$L310)="","",INDEX('Price List'!$I$2:$I$1352,$L310)))</f>
        <v>850</v>
      </c>
      <c r="J310" s="11" t="str">
        <f aca="false">IF($L310="","",INDEX('Price List'!$J$2:$J$1352,$L310)&amp;"")</f>
        <v>Kilo price P55/kg</v>
      </c>
      <c r="K310" s="10" t="str">
        <f aca="false">IF($L310="","",INDEX('Price List'!$K$2:$K$1352,$L310)&amp;"")</f>
        <v>April (year not shown)</v>
      </c>
      <c r="L310" s="13" t="n">
        <f aca="false">IF(300&gt;$H$4,"",MATCH(300,'Price List'!$M$2:$M$1352,0))</f>
        <v>300</v>
      </c>
    </row>
    <row r="311" customFormat="false" ht="15" hidden="false" customHeight="false" outlineLevel="0" collapsed="false">
      <c r="A311" s="9" t="n">
        <v>301</v>
      </c>
      <c r="B311" s="10" t="str">
        <f aca="false">IF($L311="","",INDEX('Price List'!$B$2:$B$1352,$L311)&amp;"")</f>
        <v>NAPPCO (April list - latest)</v>
      </c>
      <c r="C311" s="10" t="str">
        <f aca="false">IF($L311="","",INDEX('Price List'!$C$2:$C$1352,$L311)&amp;"")</f>
        <v>Bristol / Vellum</v>
      </c>
      <c r="D311" s="11" t="str">
        <f aca="false">IF($L311="","",INDEX('Price List'!$D$2:$D$1352,$L311)&amp;"")</f>
        <v>Bristol / Vellum - Imported</v>
      </c>
      <c r="E311" s="11" t="str">
        <f aca="false">IF($L311="","",INDEX('Price List'!$E$2:$E$1352,$L311)&amp;"")</f>
        <v/>
      </c>
      <c r="F311" s="10" t="str">
        <f aca="false">IF($L311="","",INDEX('Price List'!$F$2:$F$1352,$L311)&amp;"")</f>
        <v>100 gsm</v>
      </c>
      <c r="G311" s="10" t="str">
        <f aca="false">IF($L311="","",INDEX('Price List'!$G$2:$G$1352,$L311)&amp;"")</f>
        <v>22.5 x 28.5</v>
      </c>
      <c r="H311" s="10" t="str">
        <f aca="false">IF($L311="","",INDEX('Price List'!$H$2:$H$1352,$L311)&amp;"")</f>
        <v>sheet</v>
      </c>
      <c r="I311" s="12" t="n">
        <f aca="false">IF($L311="","",IF(INDEX('Price List'!$I$2:$I$1352,$L311)="","",INDEX('Price List'!$I$2:$I$1352,$L311)))</f>
        <v>3.5</v>
      </c>
      <c r="J311" s="11" t="str">
        <f aca="false">IF($L311="","",INDEX('Price List'!$J$2:$J$1352,$L311)&amp;"")</f>
        <v/>
      </c>
      <c r="K311" s="10" t="str">
        <f aca="false">IF($L311="","",INDEX('Price List'!$K$2:$K$1352,$L311)&amp;"")</f>
        <v>April (year not shown)</v>
      </c>
      <c r="L311" s="13" t="n">
        <f aca="false">IF(301&gt;$H$4,"",MATCH(301,'Price List'!$M$2:$M$1352,0))</f>
        <v>301</v>
      </c>
    </row>
    <row r="312" customFormat="false" ht="15" hidden="false" customHeight="false" outlineLevel="0" collapsed="false">
      <c r="A312" s="9" t="n">
        <v>302</v>
      </c>
      <c r="B312" s="10" t="str">
        <f aca="false">IF($L312="","",INDEX('Price List'!$B$2:$B$1352,$L312)&amp;"")</f>
        <v>NAPPCO (April list - latest)</v>
      </c>
      <c r="C312" s="10" t="str">
        <f aca="false">IF($L312="","",INDEX('Price List'!$C$2:$C$1352,$L312)&amp;"")</f>
        <v>Bristol / Vellum</v>
      </c>
      <c r="D312" s="11" t="str">
        <f aca="false">IF($L312="","",INDEX('Price List'!$D$2:$D$1352,$L312)&amp;"")</f>
        <v>Bristol / Vellum - Local</v>
      </c>
      <c r="E312" s="11" t="str">
        <f aca="false">IF($L312="","",INDEX('Price List'!$E$2:$E$1352,$L312)&amp;"")</f>
        <v/>
      </c>
      <c r="F312" s="10" t="str">
        <f aca="false">IF($L312="","",INDEX('Price List'!$F$2:$F$1352,$L312)&amp;"")</f>
        <v>100 gsm</v>
      </c>
      <c r="G312" s="10" t="str">
        <f aca="false">IF($L312="","",INDEX('Price List'!$G$2:$G$1352,$L312)&amp;"")</f>
        <v>22.5 x 28.5</v>
      </c>
      <c r="H312" s="10" t="str">
        <f aca="false">IF($L312="","",INDEX('Price List'!$H$2:$H$1352,$L312)&amp;"")</f>
        <v>sheet</v>
      </c>
      <c r="I312" s="12" t="n">
        <f aca="false">IF($L312="","",IF(INDEX('Price List'!$I$2:$I$1352,$L312)="","",INDEX('Price List'!$I$2:$I$1352,$L312)))</f>
        <v>3.3</v>
      </c>
      <c r="J312" s="11" t="str">
        <f aca="false">IF($L312="","",INDEX('Price List'!$J$2:$J$1352,$L312)&amp;"")</f>
        <v/>
      </c>
      <c r="K312" s="10" t="str">
        <f aca="false">IF($L312="","",INDEX('Price List'!$K$2:$K$1352,$L312)&amp;"")</f>
        <v>April (year not shown)</v>
      </c>
      <c r="L312" s="13" t="n">
        <f aca="false">IF(302&gt;$H$4,"",MATCH(302,'Price List'!$M$2:$M$1352,0))</f>
        <v>302</v>
      </c>
    </row>
    <row r="313" customFormat="false" ht="15" hidden="false" customHeight="false" outlineLevel="0" collapsed="false">
      <c r="A313" s="9" t="n">
        <v>303</v>
      </c>
      <c r="B313" s="10" t="str">
        <f aca="false">IF($L313="","",INDEX('Price List'!$B$2:$B$1352,$L313)&amp;"")</f>
        <v>NAPPCO (April list - latest)</v>
      </c>
      <c r="C313" s="10" t="str">
        <f aca="false">IF($L313="","",INDEX('Price List'!$C$2:$C$1352,$L313)&amp;"")</f>
        <v>Bristol / Vellum</v>
      </c>
      <c r="D313" s="11" t="str">
        <f aca="false">IF($L313="","",INDEX('Price List'!$D$2:$D$1352,$L313)&amp;"")</f>
        <v>Bristol / Vellum - Imported</v>
      </c>
      <c r="E313" s="11" t="str">
        <f aca="false">IF($L313="","",INDEX('Price List'!$E$2:$E$1352,$L313)&amp;"")</f>
        <v/>
      </c>
      <c r="F313" s="10" t="str">
        <f aca="false">IF($L313="","",INDEX('Price List'!$F$2:$F$1352,$L313)&amp;"")</f>
        <v>110-120gsm</v>
      </c>
      <c r="G313" s="10" t="str">
        <f aca="false">IF($L313="","",INDEX('Price List'!$G$2:$G$1352,$L313)&amp;"")</f>
        <v>22.5 x 28.5</v>
      </c>
      <c r="H313" s="10" t="str">
        <f aca="false">IF($L313="","",INDEX('Price List'!$H$2:$H$1352,$L313)&amp;"")</f>
        <v>sheet</v>
      </c>
      <c r="I313" s="12" t="n">
        <f aca="false">IF($L313="","",IF(INDEX('Price List'!$I$2:$I$1352,$L313)="","",INDEX('Price List'!$I$2:$I$1352,$L313)))</f>
        <v>4</v>
      </c>
      <c r="J313" s="11" t="str">
        <f aca="false">IF($L313="","",INDEX('Price List'!$J$2:$J$1352,$L313)&amp;"")</f>
        <v/>
      </c>
      <c r="K313" s="10" t="str">
        <f aca="false">IF($L313="","",INDEX('Price List'!$K$2:$K$1352,$L313)&amp;"")</f>
        <v>April (year not shown)</v>
      </c>
      <c r="L313" s="13" t="n">
        <f aca="false">IF(303&gt;$H$4,"",MATCH(303,'Price List'!$M$2:$M$1352,0))</f>
        <v>303</v>
      </c>
    </row>
    <row r="314" customFormat="false" ht="15" hidden="false" customHeight="false" outlineLevel="0" collapsed="false">
      <c r="A314" s="9" t="n">
        <v>304</v>
      </c>
      <c r="B314" s="10" t="str">
        <f aca="false">IF($L314="","",INDEX('Price List'!$B$2:$B$1352,$L314)&amp;"")</f>
        <v>NAPPCO (April list - latest)</v>
      </c>
      <c r="C314" s="10" t="str">
        <f aca="false">IF($L314="","",INDEX('Price List'!$C$2:$C$1352,$L314)&amp;"")</f>
        <v>Bristol / Vellum</v>
      </c>
      <c r="D314" s="11" t="str">
        <f aca="false">IF($L314="","",INDEX('Price List'!$D$2:$D$1352,$L314)&amp;"")</f>
        <v>Bristol / Vellum - Local</v>
      </c>
      <c r="E314" s="11" t="str">
        <f aca="false">IF($L314="","",INDEX('Price List'!$E$2:$E$1352,$L314)&amp;"")</f>
        <v/>
      </c>
      <c r="F314" s="10" t="str">
        <f aca="false">IF($L314="","",INDEX('Price List'!$F$2:$F$1352,$L314)&amp;"")</f>
        <v>110-120gsm</v>
      </c>
      <c r="G314" s="10" t="str">
        <f aca="false">IF($L314="","",INDEX('Price List'!$G$2:$G$1352,$L314)&amp;"")</f>
        <v>22.5 x 28.5</v>
      </c>
      <c r="H314" s="10" t="str">
        <f aca="false">IF($L314="","",INDEX('Price List'!$H$2:$H$1352,$L314)&amp;"")</f>
        <v>sheet</v>
      </c>
      <c r="I314" s="12" t="n">
        <f aca="false">IF($L314="","",IF(INDEX('Price List'!$I$2:$I$1352,$L314)="","",INDEX('Price List'!$I$2:$I$1352,$L314)))</f>
        <v>3.5</v>
      </c>
      <c r="J314" s="11" t="str">
        <f aca="false">IF($L314="","",INDEX('Price List'!$J$2:$J$1352,$L314)&amp;"")</f>
        <v/>
      </c>
      <c r="K314" s="10" t="str">
        <f aca="false">IF($L314="","",INDEX('Price List'!$K$2:$K$1352,$L314)&amp;"")</f>
        <v>April (year not shown)</v>
      </c>
      <c r="L314" s="13" t="n">
        <f aca="false">IF(304&gt;$H$4,"",MATCH(304,'Price List'!$M$2:$M$1352,0))</f>
        <v>304</v>
      </c>
    </row>
    <row r="315" customFormat="false" ht="15" hidden="false" customHeight="false" outlineLevel="0" collapsed="false">
      <c r="A315" s="9" t="n">
        <v>305</v>
      </c>
      <c r="B315" s="10" t="str">
        <f aca="false">IF($L315="","",INDEX('Price List'!$B$2:$B$1352,$L315)&amp;"")</f>
        <v>NAPPCO (April list - latest)</v>
      </c>
      <c r="C315" s="10" t="str">
        <f aca="false">IF($L315="","",INDEX('Price List'!$C$2:$C$1352,$L315)&amp;"")</f>
        <v>Bristol / Vellum</v>
      </c>
      <c r="D315" s="11" t="str">
        <f aca="false">IF($L315="","",INDEX('Price List'!$D$2:$D$1352,$L315)&amp;"")</f>
        <v>Bristol / Vellum - Imported</v>
      </c>
      <c r="E315" s="11" t="str">
        <f aca="false">IF($L315="","",INDEX('Price List'!$E$2:$E$1352,$L315)&amp;"")</f>
        <v/>
      </c>
      <c r="F315" s="10" t="str">
        <f aca="false">IF($L315="","",INDEX('Price List'!$F$2:$F$1352,$L315)&amp;"")</f>
        <v>140 gsm</v>
      </c>
      <c r="G315" s="10" t="str">
        <f aca="false">IF($L315="","",INDEX('Price List'!$G$2:$G$1352,$L315)&amp;"")</f>
        <v>22.5 x 28.5</v>
      </c>
      <c r="H315" s="10" t="str">
        <f aca="false">IF($L315="","",INDEX('Price List'!$H$2:$H$1352,$L315)&amp;"")</f>
        <v>sheet</v>
      </c>
      <c r="I315" s="12" t="n">
        <f aca="false">IF($L315="","",IF(INDEX('Price List'!$I$2:$I$1352,$L315)="","",INDEX('Price List'!$I$2:$I$1352,$L315)))</f>
        <v>5.5</v>
      </c>
      <c r="J315" s="11" t="str">
        <f aca="false">IF($L315="","",INDEX('Price List'!$J$2:$J$1352,$L315)&amp;"")</f>
        <v/>
      </c>
      <c r="K315" s="10" t="str">
        <f aca="false">IF($L315="","",INDEX('Price List'!$K$2:$K$1352,$L315)&amp;"")</f>
        <v>April (year not shown)</v>
      </c>
      <c r="L315" s="13" t="n">
        <f aca="false">IF(305&gt;$H$4,"",MATCH(305,'Price List'!$M$2:$M$1352,0))</f>
        <v>305</v>
      </c>
    </row>
    <row r="316" customFormat="false" ht="15" hidden="false" customHeight="false" outlineLevel="0" collapsed="false">
      <c r="A316" s="9" t="n">
        <v>306</v>
      </c>
      <c r="B316" s="10" t="str">
        <f aca="false">IF($L316="","",INDEX('Price List'!$B$2:$B$1352,$L316)&amp;"")</f>
        <v>NAPPCO (April list - latest)</v>
      </c>
      <c r="C316" s="10" t="str">
        <f aca="false">IF($L316="","",INDEX('Price List'!$C$2:$C$1352,$L316)&amp;"")</f>
        <v>Bristol / Vellum</v>
      </c>
      <c r="D316" s="11" t="str">
        <f aca="false">IF($L316="","",INDEX('Price List'!$D$2:$D$1352,$L316)&amp;"")</f>
        <v>Bristol / Vellum - Imported</v>
      </c>
      <c r="E316" s="11" t="str">
        <f aca="false">IF($L316="","",INDEX('Price List'!$E$2:$E$1352,$L316)&amp;"")</f>
        <v/>
      </c>
      <c r="F316" s="10" t="str">
        <f aca="false">IF($L316="","",INDEX('Price List'!$F$2:$F$1352,$L316)&amp;"")</f>
        <v>180 gsm</v>
      </c>
      <c r="G316" s="10" t="str">
        <f aca="false">IF($L316="","",INDEX('Price List'!$G$2:$G$1352,$L316)&amp;"")</f>
        <v>22.5 x 28.5</v>
      </c>
      <c r="H316" s="10" t="str">
        <f aca="false">IF($L316="","",INDEX('Price List'!$H$2:$H$1352,$L316)&amp;"")</f>
        <v>sheet</v>
      </c>
      <c r="I316" s="12" t="n">
        <f aca="false">IF($L316="","",IF(INDEX('Price List'!$I$2:$I$1352,$L316)="","",INDEX('Price List'!$I$2:$I$1352,$L316)))</f>
        <v>6.5</v>
      </c>
      <c r="J316" s="11" t="str">
        <f aca="false">IF($L316="","",INDEX('Price List'!$J$2:$J$1352,$L316)&amp;"")</f>
        <v/>
      </c>
      <c r="K316" s="10" t="str">
        <f aca="false">IF($L316="","",INDEX('Price List'!$K$2:$K$1352,$L316)&amp;"")</f>
        <v>April (year not shown)</v>
      </c>
      <c r="L316" s="13" t="n">
        <f aca="false">IF(306&gt;$H$4,"",MATCH(306,'Price List'!$M$2:$M$1352,0))</f>
        <v>306</v>
      </c>
    </row>
    <row r="317" customFormat="false" ht="15" hidden="false" customHeight="false" outlineLevel="0" collapsed="false">
      <c r="A317" s="9" t="n">
        <v>307</v>
      </c>
      <c r="B317" s="10" t="str">
        <f aca="false">IF($L317="","",INDEX('Price List'!$B$2:$B$1352,$L317)&amp;"")</f>
        <v>NAPPCO (April list - latest)</v>
      </c>
      <c r="C317" s="10" t="str">
        <f aca="false">IF($L317="","",INDEX('Price List'!$C$2:$C$1352,$L317)&amp;"")</f>
        <v>Bristol / Vellum</v>
      </c>
      <c r="D317" s="11" t="str">
        <f aca="false">IF($L317="","",INDEX('Price List'!$D$2:$D$1352,$L317)&amp;"")</f>
        <v>Bristol / Vellum - Local</v>
      </c>
      <c r="E317" s="11" t="str">
        <f aca="false">IF($L317="","",INDEX('Price List'!$E$2:$E$1352,$L317)&amp;"")</f>
        <v/>
      </c>
      <c r="F317" s="10" t="str">
        <f aca="false">IF($L317="","",INDEX('Price List'!$F$2:$F$1352,$L317)&amp;"")</f>
        <v>180 gsm</v>
      </c>
      <c r="G317" s="10" t="str">
        <f aca="false">IF($L317="","",INDEX('Price List'!$G$2:$G$1352,$L317)&amp;"")</f>
        <v>22.5 x 28.5</v>
      </c>
      <c r="H317" s="10" t="str">
        <f aca="false">IF($L317="","",INDEX('Price List'!$H$2:$H$1352,$L317)&amp;"")</f>
        <v>sheet</v>
      </c>
      <c r="I317" s="12" t="n">
        <f aca="false">IF($L317="","",IF(INDEX('Price List'!$I$2:$I$1352,$L317)="","",INDEX('Price List'!$I$2:$I$1352,$L317)))</f>
        <v>5.5</v>
      </c>
      <c r="J317" s="11" t="str">
        <f aca="false">IF($L317="","",INDEX('Price List'!$J$2:$J$1352,$L317)&amp;"")</f>
        <v/>
      </c>
      <c r="K317" s="10" t="str">
        <f aca="false">IF($L317="","",INDEX('Price List'!$K$2:$K$1352,$L317)&amp;"")</f>
        <v>April (year not shown)</v>
      </c>
      <c r="L317" s="13" t="n">
        <f aca="false">IF(307&gt;$H$4,"",MATCH(307,'Price List'!$M$2:$M$1352,0))</f>
        <v>307</v>
      </c>
    </row>
    <row r="318" customFormat="false" ht="15" hidden="false" customHeight="false" outlineLevel="0" collapsed="false">
      <c r="A318" s="9" t="n">
        <v>308</v>
      </c>
      <c r="B318" s="10" t="str">
        <f aca="false">IF($L318="","",INDEX('Price List'!$B$2:$B$1352,$L318)&amp;"")</f>
        <v>NAPPCO (April list - latest)</v>
      </c>
      <c r="C318" s="10" t="str">
        <f aca="false">IF($L318="","",INDEX('Price List'!$C$2:$C$1352,$L318)&amp;"")</f>
        <v>Bristol / Vellum</v>
      </c>
      <c r="D318" s="11" t="str">
        <f aca="false">IF($L318="","",INDEX('Price List'!$D$2:$D$1352,$L318)&amp;"")</f>
        <v>Bristol / Vellum - Imported</v>
      </c>
      <c r="E318" s="11" t="str">
        <f aca="false">IF($L318="","",INDEX('Price List'!$E$2:$E$1352,$L318)&amp;"")</f>
        <v/>
      </c>
      <c r="F318" s="10" t="str">
        <f aca="false">IF($L318="","",INDEX('Price List'!$F$2:$F$1352,$L318)&amp;"")</f>
        <v>230 gsm</v>
      </c>
      <c r="G318" s="10" t="str">
        <f aca="false">IF($L318="","",INDEX('Price List'!$G$2:$G$1352,$L318)&amp;"")</f>
        <v>22.5 x 28.5</v>
      </c>
      <c r="H318" s="10" t="str">
        <f aca="false">IF($L318="","",INDEX('Price List'!$H$2:$H$1352,$L318)&amp;"")</f>
        <v>sheet</v>
      </c>
      <c r="I318" s="12" t="n">
        <f aca="false">IF($L318="","",IF(INDEX('Price List'!$I$2:$I$1352,$L318)="","",INDEX('Price List'!$I$2:$I$1352,$L318)))</f>
        <v>8</v>
      </c>
      <c r="J318" s="11" t="str">
        <f aca="false">IF($L318="","",INDEX('Price List'!$J$2:$J$1352,$L318)&amp;"")</f>
        <v/>
      </c>
      <c r="K318" s="10" t="str">
        <f aca="false">IF($L318="","",INDEX('Price List'!$K$2:$K$1352,$L318)&amp;"")</f>
        <v>April (year not shown)</v>
      </c>
      <c r="L318" s="13" t="n">
        <f aca="false">IF(308&gt;$H$4,"",MATCH(308,'Price List'!$M$2:$M$1352,0))</f>
        <v>308</v>
      </c>
    </row>
    <row r="319" customFormat="false" ht="15" hidden="false" customHeight="false" outlineLevel="0" collapsed="false">
      <c r="A319" s="9" t="n">
        <v>309</v>
      </c>
      <c r="B319" s="10" t="str">
        <f aca="false">IF($L319="","",INDEX('Price List'!$B$2:$B$1352,$L319)&amp;"")</f>
        <v>NAPPCO (April list - latest)</v>
      </c>
      <c r="C319" s="10" t="str">
        <f aca="false">IF($L319="","",INDEX('Price List'!$C$2:$C$1352,$L319)&amp;"")</f>
        <v>Bristol / Vellum</v>
      </c>
      <c r="D319" s="11" t="str">
        <f aca="false">IF($L319="","",INDEX('Price List'!$D$2:$D$1352,$L319)&amp;"")</f>
        <v>Bristol / Vellum - Imported</v>
      </c>
      <c r="E319" s="11" t="str">
        <f aca="false">IF($L319="","",INDEX('Price List'!$E$2:$E$1352,$L319)&amp;"")</f>
        <v/>
      </c>
      <c r="F319" s="10" t="str">
        <f aca="false">IF($L319="","",INDEX('Price List'!$F$2:$F$1352,$L319)&amp;"")</f>
        <v>Colored (230g)</v>
      </c>
      <c r="G319" s="10" t="str">
        <f aca="false">IF($L319="","",INDEX('Price List'!$G$2:$G$1352,$L319)&amp;"")</f>
        <v>22.5 x 28.5</v>
      </c>
      <c r="H319" s="10" t="str">
        <f aca="false">IF($L319="","",INDEX('Price List'!$H$2:$H$1352,$L319)&amp;"")</f>
        <v>sheet</v>
      </c>
      <c r="I319" s="12" t="n">
        <f aca="false">IF($L319="","",IF(INDEX('Price List'!$I$2:$I$1352,$L319)="","",INDEX('Price List'!$I$2:$I$1352,$L319)))</f>
        <v>10.75</v>
      </c>
      <c r="J319" s="11" t="str">
        <f aca="false">IF($L319="","",INDEX('Price List'!$J$2:$J$1352,$L319)&amp;"")</f>
        <v/>
      </c>
      <c r="K319" s="10" t="str">
        <f aca="false">IF($L319="","",INDEX('Price List'!$K$2:$K$1352,$L319)&amp;"")</f>
        <v>April (year not shown)</v>
      </c>
      <c r="L319" s="13" t="n">
        <f aca="false">IF(309&gt;$H$4,"",MATCH(309,'Price List'!$M$2:$M$1352,0))</f>
        <v>309</v>
      </c>
    </row>
    <row r="320" customFormat="false" ht="15" hidden="false" customHeight="false" outlineLevel="0" collapsed="false">
      <c r="A320" s="9" t="n">
        <v>310</v>
      </c>
      <c r="B320" s="10" t="str">
        <f aca="false">IF($L320="","",INDEX('Price List'!$B$2:$B$1352,$L320)&amp;"")</f>
        <v>NAPPCO (April list - latest)</v>
      </c>
      <c r="C320" s="10" t="str">
        <f aca="false">IF($L320="","",INDEX('Price List'!$C$2:$C$1352,$L320)&amp;"")</f>
        <v>Bristol / Vellum</v>
      </c>
      <c r="D320" s="11" t="str">
        <f aca="false">IF($L320="","",INDEX('Price List'!$D$2:$D$1352,$L320)&amp;"")</f>
        <v>Bristol / Vellum - Imported</v>
      </c>
      <c r="E320" s="11" t="str">
        <f aca="false">IF($L320="","",INDEX('Price List'!$E$2:$E$1352,$L320)&amp;"")</f>
        <v/>
      </c>
      <c r="F320" s="10" t="str">
        <f aca="false">IF($L320="","",INDEX('Price List'!$F$2:$F$1352,$L320)&amp;"")</f>
        <v>Colored (180g)</v>
      </c>
      <c r="G320" s="10" t="str">
        <f aca="false">IF($L320="","",INDEX('Price List'!$G$2:$G$1352,$L320)&amp;"")</f>
        <v>22.5 x 28.5</v>
      </c>
      <c r="H320" s="10" t="str">
        <f aca="false">IF($L320="","",INDEX('Price List'!$H$2:$H$1352,$L320)&amp;"")</f>
        <v>sheet</v>
      </c>
      <c r="I320" s="12" t="n">
        <f aca="false">IF($L320="","",IF(INDEX('Price List'!$I$2:$I$1352,$L320)="","",INDEX('Price List'!$I$2:$I$1352,$L320)))</f>
        <v>8</v>
      </c>
      <c r="J320" s="11" t="str">
        <f aca="false">IF($L320="","",INDEX('Price List'!$J$2:$J$1352,$L320)&amp;"")</f>
        <v/>
      </c>
      <c r="K320" s="10" t="str">
        <f aca="false">IF($L320="","",INDEX('Price List'!$K$2:$K$1352,$L320)&amp;"")</f>
        <v>April (year not shown)</v>
      </c>
      <c r="L320" s="13" t="n">
        <f aca="false">IF(310&gt;$H$4,"",MATCH(310,'Price List'!$M$2:$M$1352,0))</f>
        <v>310</v>
      </c>
    </row>
    <row r="321" customFormat="false" ht="15" hidden="false" customHeight="false" outlineLevel="0" collapsed="false">
      <c r="A321" s="9" t="n">
        <v>311</v>
      </c>
      <c r="B321" s="10" t="str">
        <f aca="false">IF($L321="","",INDEX('Price List'!$B$2:$B$1352,$L321)&amp;"")</f>
        <v>NAPPCO (April list - latest)</v>
      </c>
      <c r="C321" s="10" t="str">
        <f aca="false">IF($L321="","",INDEX('Price List'!$C$2:$C$1352,$L321)&amp;"")</f>
        <v>Bristol / Vellum</v>
      </c>
      <c r="D321" s="11" t="str">
        <f aca="false">IF($L321="","",INDEX('Price List'!$D$2:$D$1352,$L321)&amp;"")</f>
        <v>Bristol / Vellum - Imported</v>
      </c>
      <c r="E321" s="11" t="str">
        <f aca="false">IF($L321="","",INDEX('Price List'!$E$2:$E$1352,$L321)&amp;"")</f>
        <v/>
      </c>
      <c r="F321" s="10" t="str">
        <f aca="false">IF($L321="","",INDEX('Price List'!$F$2:$F$1352,$L321)&amp;"")</f>
        <v>Colored (100g)</v>
      </c>
      <c r="G321" s="10" t="str">
        <f aca="false">IF($L321="","",INDEX('Price List'!$G$2:$G$1352,$L321)&amp;"")</f>
        <v>22.5 x 28.5</v>
      </c>
      <c r="H321" s="10" t="str">
        <f aca="false">IF($L321="","",INDEX('Price List'!$H$2:$H$1352,$L321)&amp;"")</f>
        <v>sheet</v>
      </c>
      <c r="I321" s="12" t="n">
        <f aca="false">IF($L321="","",IF(INDEX('Price List'!$I$2:$I$1352,$L321)="","",INDEX('Price List'!$I$2:$I$1352,$L321)))</f>
        <v>6</v>
      </c>
      <c r="J321" s="11" t="str">
        <f aca="false">IF($L321="","",INDEX('Price List'!$J$2:$J$1352,$L321)&amp;"")</f>
        <v/>
      </c>
      <c r="K321" s="10" t="str">
        <f aca="false">IF($L321="","",INDEX('Price List'!$K$2:$K$1352,$L321)&amp;"")</f>
        <v>April (year not shown)</v>
      </c>
      <c r="L321" s="13" t="n">
        <f aca="false">IF(311&gt;$H$4,"",MATCH(311,'Price List'!$M$2:$M$1352,0))</f>
        <v>311</v>
      </c>
    </row>
    <row r="322" customFormat="false" ht="15" hidden="false" customHeight="false" outlineLevel="0" collapsed="false">
      <c r="A322" s="9" t="n">
        <v>312</v>
      </c>
      <c r="B322" s="10" t="str">
        <f aca="false">IF($L322="","",INDEX('Price List'!$B$2:$B$1352,$L322)&amp;"")</f>
        <v>NAPPCO (April list - latest)</v>
      </c>
      <c r="C322" s="10" t="str">
        <f aca="false">IF($L322="","",INDEX('Price List'!$C$2:$C$1352,$L322)&amp;"")</f>
        <v>Bristol / Vellum</v>
      </c>
      <c r="D322" s="11" t="str">
        <f aca="false">IF($L322="","",INDEX('Price List'!$D$2:$D$1352,$L322)&amp;"")</f>
        <v>Bristol / Vellum - Local</v>
      </c>
      <c r="E322" s="11" t="str">
        <f aca="false">IF($L322="","",INDEX('Price List'!$E$2:$E$1352,$L322)&amp;"")</f>
        <v/>
      </c>
      <c r="F322" s="10" t="str">
        <f aca="false">IF($L322="","",INDEX('Price List'!$F$2:$F$1352,$L322)&amp;"")</f>
        <v>Colored (100g)</v>
      </c>
      <c r="G322" s="10" t="str">
        <f aca="false">IF($L322="","",INDEX('Price List'!$G$2:$G$1352,$L322)&amp;"")</f>
        <v>22.5 x 28.5</v>
      </c>
      <c r="H322" s="10" t="str">
        <f aca="false">IF($L322="","",INDEX('Price List'!$H$2:$H$1352,$L322)&amp;"")</f>
        <v>sheet</v>
      </c>
      <c r="I322" s="12" t="n">
        <f aca="false">IF($L322="","",IF(INDEX('Price List'!$I$2:$I$1352,$L322)="","",INDEX('Price List'!$I$2:$I$1352,$L322)))</f>
        <v>5.5</v>
      </c>
      <c r="J322" s="11" t="str">
        <f aca="false">IF($L322="","",INDEX('Price List'!$J$2:$J$1352,$L322)&amp;"")</f>
        <v>Local is 110gsm</v>
      </c>
      <c r="K322" s="10" t="str">
        <f aca="false">IF($L322="","",INDEX('Price List'!$K$2:$K$1352,$L322)&amp;"")</f>
        <v>April (year not shown)</v>
      </c>
      <c r="L322" s="13" t="n">
        <f aca="false">IF(312&gt;$H$4,"",MATCH(312,'Price List'!$M$2:$M$1352,0))</f>
        <v>312</v>
      </c>
    </row>
    <row r="323" customFormat="false" ht="15" hidden="false" customHeight="false" outlineLevel="0" collapsed="false">
      <c r="A323" s="9" t="n">
        <v>313</v>
      </c>
      <c r="B323" s="10" t="str">
        <f aca="false">IF($L323="","",INDEX('Price List'!$B$2:$B$1352,$L323)&amp;"")</f>
        <v>NAPPCO (April list - latest)</v>
      </c>
      <c r="C323" s="10" t="str">
        <f aca="false">IF($L323="","",INDEX('Price List'!$C$2:$C$1352,$L323)&amp;"")</f>
        <v>Kraft Paper</v>
      </c>
      <c r="D323" s="11" t="str">
        <f aca="false">IF($L323="","",INDEX('Price List'!$D$2:$D$1352,$L323)&amp;"")</f>
        <v>Kraft Paper - Imported</v>
      </c>
      <c r="E323" s="11" t="str">
        <f aca="false">IF($L323="","",INDEX('Price List'!$E$2:$E$1352,$L323)&amp;"")</f>
        <v/>
      </c>
      <c r="F323" s="10" t="str">
        <f aca="false">IF($L323="","",INDEX('Price List'!$F$2:$F$1352,$L323)&amp;"")</f>
        <v>35 (50#)</v>
      </c>
      <c r="G323" s="10" t="str">
        <f aca="false">IF($L323="","",INDEX('Price List'!$G$2:$G$1352,$L323)&amp;"")</f>
        <v>36 x 48</v>
      </c>
      <c r="H323" s="10" t="str">
        <f aca="false">IF($L323="","",INDEX('Price List'!$H$2:$H$1352,$L323)&amp;"")</f>
        <v>ream</v>
      </c>
      <c r="I323" s="12" t="n">
        <f aca="false">IF($L323="","",IF(INDEX('Price List'!$I$2:$I$1352,$L323)="","",INDEX('Price List'!$I$2:$I$1352,$L323)))</f>
        <v>1460</v>
      </c>
      <c r="J323" s="11" t="str">
        <f aca="false">IF($L323="","",INDEX('Price List'!$J$2:$J$1352,$L323)&amp;"")</f>
        <v/>
      </c>
      <c r="K323" s="10" t="str">
        <f aca="false">IF($L323="","",INDEX('Price List'!$K$2:$K$1352,$L323)&amp;"")</f>
        <v>April (year not shown)</v>
      </c>
      <c r="L323" s="13" t="n">
        <f aca="false">IF(313&gt;$H$4,"",MATCH(313,'Price List'!$M$2:$M$1352,0))</f>
        <v>313</v>
      </c>
    </row>
    <row r="324" customFormat="false" ht="15" hidden="false" customHeight="false" outlineLevel="0" collapsed="false">
      <c r="A324" s="9" t="n">
        <v>314</v>
      </c>
      <c r="B324" s="10" t="str">
        <f aca="false">IF($L324="","",INDEX('Price List'!$B$2:$B$1352,$L324)&amp;"")</f>
        <v>NAPPCO (April list - latest)</v>
      </c>
      <c r="C324" s="10" t="str">
        <f aca="false">IF($L324="","",INDEX('Price List'!$C$2:$C$1352,$L324)&amp;"")</f>
        <v>Kraft Paper</v>
      </c>
      <c r="D324" s="11" t="str">
        <f aca="false">IF($L324="","",INDEX('Price List'!$D$2:$D$1352,$L324)&amp;"")</f>
        <v>Kraft Paper - Imported</v>
      </c>
      <c r="E324" s="11" t="str">
        <f aca="false">IF($L324="","",INDEX('Price List'!$E$2:$E$1352,$L324)&amp;"")</f>
        <v/>
      </c>
      <c r="F324" s="10" t="str">
        <f aca="false">IF($L324="","",INDEX('Price List'!$F$2:$F$1352,$L324)&amp;"")</f>
        <v>40 (55#)</v>
      </c>
      <c r="G324" s="10" t="str">
        <f aca="false">IF($L324="","",INDEX('Price List'!$G$2:$G$1352,$L324)&amp;"")</f>
        <v>36 x 48</v>
      </c>
      <c r="H324" s="10" t="str">
        <f aca="false">IF($L324="","",INDEX('Price List'!$H$2:$H$1352,$L324)&amp;"")</f>
        <v>ream</v>
      </c>
      <c r="I324" s="12" t="n">
        <f aca="false">IF($L324="","",IF(INDEX('Price List'!$I$2:$I$1352,$L324)="","",INDEX('Price List'!$I$2:$I$1352,$L324)))</f>
        <v>1670</v>
      </c>
      <c r="J324" s="11" t="str">
        <f aca="false">IF($L324="","",INDEX('Price List'!$J$2:$J$1352,$L324)&amp;"")</f>
        <v/>
      </c>
      <c r="K324" s="10" t="str">
        <f aca="false">IF($L324="","",INDEX('Price List'!$K$2:$K$1352,$L324)&amp;"")</f>
        <v>April (year not shown)</v>
      </c>
      <c r="L324" s="13" t="n">
        <f aca="false">IF(314&gt;$H$4,"",MATCH(314,'Price List'!$M$2:$M$1352,0))</f>
        <v>314</v>
      </c>
    </row>
    <row r="325" customFormat="false" ht="15" hidden="false" customHeight="false" outlineLevel="0" collapsed="false">
      <c r="A325" s="9" t="n">
        <v>315</v>
      </c>
      <c r="B325" s="10" t="str">
        <f aca="false">IF($L325="","",INDEX('Price List'!$B$2:$B$1352,$L325)&amp;"")</f>
        <v>NAPPCO (April list - latest)</v>
      </c>
      <c r="C325" s="10" t="str">
        <f aca="false">IF($L325="","",INDEX('Price List'!$C$2:$C$1352,$L325)&amp;"")</f>
        <v>Kraft Paper</v>
      </c>
      <c r="D325" s="11" t="str">
        <f aca="false">IF($L325="","",INDEX('Price List'!$D$2:$D$1352,$L325)&amp;"")</f>
        <v>Kraft Paper - Local</v>
      </c>
      <c r="E325" s="11" t="str">
        <f aca="false">IF($L325="","",INDEX('Price List'!$E$2:$E$1352,$L325)&amp;"")</f>
        <v/>
      </c>
      <c r="F325" s="10" t="str">
        <f aca="false">IF($L325="","",INDEX('Price List'!$F$2:$F$1352,$L325)&amp;"")</f>
        <v>50-53 (60#)</v>
      </c>
      <c r="G325" s="10" t="str">
        <f aca="false">IF($L325="","",INDEX('Price List'!$G$2:$G$1352,$L325)&amp;"")</f>
        <v>36 x 48</v>
      </c>
      <c r="H325" s="10" t="str">
        <f aca="false">IF($L325="","",INDEX('Price List'!$H$2:$H$1352,$L325)&amp;"")</f>
        <v>ream</v>
      </c>
      <c r="I325" s="12" t="n">
        <f aca="false">IF($L325="","",IF(INDEX('Price List'!$I$2:$I$1352,$L325)="","",INDEX('Price List'!$I$2:$I$1352,$L325)))</f>
        <v>1350</v>
      </c>
      <c r="J325" s="11" t="str">
        <f aca="false">IF($L325="","",INDEX('Price List'!$J$2:$J$1352,$L325)&amp;"")</f>
        <v/>
      </c>
      <c r="K325" s="10" t="str">
        <f aca="false">IF($L325="","",INDEX('Price List'!$K$2:$K$1352,$L325)&amp;"")</f>
        <v>April (year not shown)</v>
      </c>
      <c r="L325" s="13" t="n">
        <f aca="false">IF(315&gt;$H$4,"",MATCH(315,'Price List'!$M$2:$M$1352,0))</f>
        <v>315</v>
      </c>
    </row>
    <row r="326" customFormat="false" ht="15" hidden="false" customHeight="false" outlineLevel="0" collapsed="false">
      <c r="A326" s="9" t="n">
        <v>316</v>
      </c>
      <c r="B326" s="10" t="str">
        <f aca="false">IF($L326="","",INDEX('Price List'!$B$2:$B$1352,$L326)&amp;"")</f>
        <v>NAPPCO (April list - latest)</v>
      </c>
      <c r="C326" s="10" t="str">
        <f aca="false">IF($L326="","",INDEX('Price List'!$C$2:$C$1352,$L326)&amp;"")</f>
        <v>Kraft Paper</v>
      </c>
      <c r="D326" s="11" t="str">
        <f aca="false">IF($L326="","",INDEX('Price List'!$D$2:$D$1352,$L326)&amp;"")</f>
        <v>Kraft Paper - Imported</v>
      </c>
      <c r="E326" s="11" t="str">
        <f aca="false">IF($L326="","",INDEX('Price List'!$E$2:$E$1352,$L326)&amp;"")</f>
        <v/>
      </c>
      <c r="F326" s="10" t="str">
        <f aca="false">IF($L326="","",INDEX('Price List'!$F$2:$F$1352,$L326)&amp;"")</f>
        <v>50-53 (60#)</v>
      </c>
      <c r="G326" s="10" t="str">
        <f aca="false">IF($L326="","",INDEX('Price List'!$G$2:$G$1352,$L326)&amp;"")</f>
        <v>36 x 48</v>
      </c>
      <c r="H326" s="10" t="str">
        <f aca="false">IF($L326="","",INDEX('Price List'!$H$2:$H$1352,$L326)&amp;"")</f>
        <v>ream</v>
      </c>
      <c r="I326" s="12" t="n">
        <f aca="false">IF($L326="","",IF(INDEX('Price List'!$I$2:$I$1352,$L326)="","",INDEX('Price List'!$I$2:$I$1352,$L326)))</f>
        <v>2200</v>
      </c>
      <c r="J326" s="11" t="str">
        <f aca="false">IF($L326="","",INDEX('Price List'!$J$2:$J$1352,$L326)&amp;"")</f>
        <v/>
      </c>
      <c r="K326" s="10" t="str">
        <f aca="false">IF($L326="","",INDEX('Price List'!$K$2:$K$1352,$L326)&amp;"")</f>
        <v>April (year not shown)</v>
      </c>
      <c r="L326" s="13" t="n">
        <f aca="false">IF(316&gt;$H$4,"",MATCH(316,'Price List'!$M$2:$M$1352,0))</f>
        <v>316</v>
      </c>
    </row>
    <row r="327" customFormat="false" ht="15" hidden="false" customHeight="false" outlineLevel="0" collapsed="false">
      <c r="A327" s="9" t="n">
        <v>317</v>
      </c>
      <c r="B327" s="10" t="str">
        <f aca="false">IF($L327="","",INDEX('Price List'!$B$2:$B$1352,$L327)&amp;"")</f>
        <v>NAPPCO (April list - latest)</v>
      </c>
      <c r="C327" s="10" t="str">
        <f aca="false">IF($L327="","",INDEX('Price List'!$C$2:$C$1352,$L327)&amp;"")</f>
        <v>Kraft Paper</v>
      </c>
      <c r="D327" s="11" t="str">
        <f aca="false">IF($L327="","",INDEX('Price List'!$D$2:$D$1352,$L327)&amp;"")</f>
        <v>Kraft Paper - Bleach</v>
      </c>
      <c r="E327" s="11" t="str">
        <f aca="false">IF($L327="","",INDEX('Price List'!$E$2:$E$1352,$L327)&amp;"")</f>
        <v/>
      </c>
      <c r="F327" s="10" t="str">
        <f aca="false">IF($L327="","",INDEX('Price List'!$F$2:$F$1352,$L327)&amp;"")</f>
        <v>50-53 (60#)</v>
      </c>
      <c r="G327" s="10" t="str">
        <f aca="false">IF($L327="","",INDEX('Price List'!$G$2:$G$1352,$L327)&amp;"")</f>
        <v>36 x 48</v>
      </c>
      <c r="H327" s="10" t="str">
        <f aca="false">IF($L327="","",INDEX('Price List'!$H$2:$H$1352,$L327)&amp;"")</f>
        <v>ream</v>
      </c>
      <c r="I327" s="12" t="n">
        <f aca="false">IF($L327="","",IF(INDEX('Price List'!$I$2:$I$1352,$L327)="","",INDEX('Price List'!$I$2:$I$1352,$L327)))</f>
        <v>2490</v>
      </c>
      <c r="J327" s="11" t="str">
        <f aca="false">IF($L327="","",INDEX('Price List'!$J$2:$J$1352,$L327)&amp;"")</f>
        <v/>
      </c>
      <c r="K327" s="10" t="str">
        <f aca="false">IF($L327="","",INDEX('Price List'!$K$2:$K$1352,$L327)&amp;"")</f>
        <v>April (year not shown)</v>
      </c>
      <c r="L327" s="13" t="n">
        <f aca="false">IF(317&gt;$H$4,"",MATCH(317,'Price List'!$M$2:$M$1352,0))</f>
        <v>317</v>
      </c>
    </row>
    <row r="328" customFormat="false" ht="15" hidden="false" customHeight="false" outlineLevel="0" collapsed="false">
      <c r="A328" s="9" t="n">
        <v>318</v>
      </c>
      <c r="B328" s="10" t="str">
        <f aca="false">IF($L328="","",INDEX('Price List'!$B$2:$B$1352,$L328)&amp;"")</f>
        <v>NAPPCO (April list - latest)</v>
      </c>
      <c r="C328" s="10" t="str">
        <f aca="false">IF($L328="","",INDEX('Price List'!$C$2:$C$1352,$L328)&amp;"")</f>
        <v>Kraft Paper</v>
      </c>
      <c r="D328" s="11" t="str">
        <f aca="false">IF($L328="","",INDEX('Price List'!$D$2:$D$1352,$L328)&amp;"")</f>
        <v>Kraft Paper - Imported</v>
      </c>
      <c r="E328" s="11" t="str">
        <f aca="false">IF($L328="","",INDEX('Price List'!$E$2:$E$1352,$L328)&amp;"")</f>
        <v/>
      </c>
      <c r="F328" s="10" t="str">
        <f aca="false">IF($L328="","",INDEX('Price List'!$F$2:$F$1352,$L328)&amp;"")</f>
        <v>60 (70#)</v>
      </c>
      <c r="G328" s="10" t="str">
        <f aca="false">IF($L328="","",INDEX('Price List'!$G$2:$G$1352,$L328)&amp;"")</f>
        <v>36 x 48</v>
      </c>
      <c r="H328" s="10" t="str">
        <f aca="false">IF($L328="","",INDEX('Price List'!$H$2:$H$1352,$L328)&amp;"")</f>
        <v>ream</v>
      </c>
      <c r="I328" s="12" t="n">
        <f aca="false">IF($L328="","",IF(INDEX('Price List'!$I$2:$I$1352,$L328)="","",INDEX('Price List'!$I$2:$I$1352,$L328)))</f>
        <v>2500</v>
      </c>
      <c r="J328" s="11" t="str">
        <f aca="false">IF($L328="","",INDEX('Price List'!$J$2:$J$1352,$L328)&amp;"")</f>
        <v/>
      </c>
      <c r="K328" s="10" t="str">
        <f aca="false">IF($L328="","",INDEX('Price List'!$K$2:$K$1352,$L328)&amp;"")</f>
        <v>April (year not shown)</v>
      </c>
      <c r="L328" s="13" t="n">
        <f aca="false">IF(318&gt;$H$4,"",MATCH(318,'Price List'!$M$2:$M$1352,0))</f>
        <v>318</v>
      </c>
    </row>
    <row r="329" customFormat="false" ht="15" hidden="false" customHeight="false" outlineLevel="0" collapsed="false">
      <c r="A329" s="9" t="n">
        <v>319</v>
      </c>
      <c r="B329" s="10" t="str">
        <f aca="false">IF($L329="","",INDEX('Price List'!$B$2:$B$1352,$L329)&amp;"")</f>
        <v>NAPPCO (April list - latest)</v>
      </c>
      <c r="C329" s="10" t="str">
        <f aca="false">IF($L329="","",INDEX('Price List'!$C$2:$C$1352,$L329)&amp;"")</f>
        <v>Kraft Paper</v>
      </c>
      <c r="D329" s="11" t="str">
        <f aca="false">IF($L329="","",INDEX('Price List'!$D$2:$D$1352,$L329)&amp;"")</f>
        <v>Kraft Paper - Bleach</v>
      </c>
      <c r="E329" s="11" t="str">
        <f aca="false">IF($L329="","",INDEX('Price List'!$E$2:$E$1352,$L329)&amp;"")</f>
        <v/>
      </c>
      <c r="F329" s="10" t="str">
        <f aca="false">IF($L329="","",INDEX('Price List'!$F$2:$F$1352,$L329)&amp;"")</f>
        <v>60 (70#)</v>
      </c>
      <c r="G329" s="10" t="str">
        <f aca="false">IF($L329="","",INDEX('Price List'!$G$2:$G$1352,$L329)&amp;"")</f>
        <v>36 x 48</v>
      </c>
      <c r="H329" s="10" t="str">
        <f aca="false">IF($L329="","",INDEX('Price List'!$H$2:$H$1352,$L329)&amp;"")</f>
        <v>ream</v>
      </c>
      <c r="I329" s="12" t="n">
        <f aca="false">IF($L329="","",IF(INDEX('Price List'!$I$2:$I$1352,$L329)="","",INDEX('Price List'!$I$2:$I$1352,$L329)))</f>
        <v>2990</v>
      </c>
      <c r="J329" s="11" t="str">
        <f aca="false">IF($L329="","",INDEX('Price List'!$J$2:$J$1352,$L329)&amp;"")</f>
        <v/>
      </c>
      <c r="K329" s="10" t="str">
        <f aca="false">IF($L329="","",INDEX('Price List'!$K$2:$K$1352,$L329)&amp;"")</f>
        <v>April (year not shown)</v>
      </c>
      <c r="L329" s="13" t="n">
        <f aca="false">IF(319&gt;$H$4,"",MATCH(319,'Price List'!$M$2:$M$1352,0))</f>
        <v>319</v>
      </c>
    </row>
    <row r="330" customFormat="false" ht="15" hidden="false" customHeight="false" outlineLevel="0" collapsed="false">
      <c r="A330" s="9" t="n">
        <v>320</v>
      </c>
      <c r="B330" s="10" t="str">
        <f aca="false">IF($L330="","",INDEX('Price List'!$B$2:$B$1352,$L330)&amp;"")</f>
        <v>NAPPCO (April list - latest)</v>
      </c>
      <c r="C330" s="10" t="str">
        <f aca="false">IF($L330="","",INDEX('Price List'!$C$2:$C$1352,$L330)&amp;"")</f>
        <v>Kraft Paper</v>
      </c>
      <c r="D330" s="11" t="str">
        <f aca="false">IF($L330="","",INDEX('Price List'!$D$2:$D$1352,$L330)&amp;"")</f>
        <v>Kraft Paper - Local</v>
      </c>
      <c r="E330" s="11" t="str">
        <f aca="false">IF($L330="","",INDEX('Price List'!$E$2:$E$1352,$L330)&amp;"")</f>
        <v/>
      </c>
      <c r="F330" s="10" t="str">
        <f aca="false">IF($L330="","",INDEX('Price List'!$F$2:$F$1352,$L330)&amp;"")</f>
        <v>63-65 (80#)</v>
      </c>
      <c r="G330" s="10" t="str">
        <f aca="false">IF($L330="","",INDEX('Price List'!$G$2:$G$1352,$L330)&amp;"")</f>
        <v>36 x 48</v>
      </c>
      <c r="H330" s="10" t="str">
        <f aca="false">IF($L330="","",INDEX('Price List'!$H$2:$H$1352,$L330)&amp;"")</f>
        <v>ream</v>
      </c>
      <c r="I330" s="12" t="n">
        <f aca="false">IF($L330="","",IF(INDEX('Price List'!$I$2:$I$1352,$L330)="","",INDEX('Price List'!$I$2:$I$1352,$L330)))</f>
        <v>1450</v>
      </c>
      <c r="J330" s="11" t="str">
        <f aca="false">IF($L330="","",INDEX('Price List'!$J$2:$J$1352,$L330)&amp;"")</f>
        <v/>
      </c>
      <c r="K330" s="10" t="str">
        <f aca="false">IF($L330="","",INDEX('Price List'!$K$2:$K$1352,$L330)&amp;"")</f>
        <v>April (year not shown)</v>
      </c>
      <c r="L330" s="13" t="n">
        <f aca="false">IF(320&gt;$H$4,"",MATCH(320,'Price List'!$M$2:$M$1352,0))</f>
        <v>320</v>
      </c>
    </row>
    <row r="331" customFormat="false" ht="15" hidden="false" customHeight="false" outlineLevel="0" collapsed="false">
      <c r="A331" s="9" t="n">
        <v>321</v>
      </c>
      <c r="B331" s="10" t="str">
        <f aca="false">IF($L331="","",INDEX('Price List'!$B$2:$B$1352,$L331)&amp;"")</f>
        <v>NAPPCO (April list - latest)</v>
      </c>
      <c r="C331" s="10" t="str">
        <f aca="false">IF($L331="","",INDEX('Price List'!$C$2:$C$1352,$L331)&amp;"")</f>
        <v>Kraft Paper</v>
      </c>
      <c r="D331" s="11" t="str">
        <f aca="false">IF($L331="","",INDEX('Price List'!$D$2:$D$1352,$L331)&amp;"")</f>
        <v>Kraft Paper - Imported</v>
      </c>
      <c r="E331" s="11" t="str">
        <f aca="false">IF($L331="","",INDEX('Price List'!$E$2:$E$1352,$L331)&amp;"")</f>
        <v/>
      </c>
      <c r="F331" s="10" t="str">
        <f aca="false">IF($L331="","",INDEX('Price List'!$F$2:$F$1352,$L331)&amp;"")</f>
        <v>63-65 (80#)</v>
      </c>
      <c r="G331" s="10" t="str">
        <f aca="false">IF($L331="","",INDEX('Price List'!$G$2:$G$1352,$L331)&amp;"")</f>
        <v>36 x 48</v>
      </c>
      <c r="H331" s="10" t="str">
        <f aca="false">IF($L331="","",INDEX('Price List'!$H$2:$H$1352,$L331)&amp;"")</f>
        <v>ream</v>
      </c>
      <c r="I331" s="12" t="n">
        <f aca="false">IF($L331="","",IF(INDEX('Price List'!$I$2:$I$1352,$L331)="","",INDEX('Price List'!$I$2:$I$1352,$L331)))</f>
        <v>2720</v>
      </c>
      <c r="J331" s="11" t="str">
        <f aca="false">IF($L331="","",INDEX('Price List'!$J$2:$J$1352,$L331)&amp;"")</f>
        <v/>
      </c>
      <c r="K331" s="10" t="str">
        <f aca="false">IF($L331="","",INDEX('Price List'!$K$2:$K$1352,$L331)&amp;"")</f>
        <v>April (year not shown)</v>
      </c>
      <c r="L331" s="13" t="n">
        <f aca="false">IF(321&gt;$H$4,"",MATCH(321,'Price List'!$M$2:$M$1352,0))</f>
        <v>321</v>
      </c>
    </row>
    <row r="332" customFormat="false" ht="15" hidden="false" customHeight="false" outlineLevel="0" collapsed="false">
      <c r="A332" s="9" t="n">
        <v>322</v>
      </c>
      <c r="B332" s="10" t="str">
        <f aca="false">IF($L332="","",INDEX('Price List'!$B$2:$B$1352,$L332)&amp;"")</f>
        <v>NAPPCO (April list - latest)</v>
      </c>
      <c r="C332" s="10" t="str">
        <f aca="false">IF($L332="","",INDEX('Price List'!$C$2:$C$1352,$L332)&amp;"")</f>
        <v>Kraft Paper</v>
      </c>
      <c r="D332" s="11" t="str">
        <f aca="false">IF($L332="","",INDEX('Price List'!$D$2:$D$1352,$L332)&amp;"")</f>
        <v>Kraft Paper - Bleach</v>
      </c>
      <c r="E332" s="11" t="str">
        <f aca="false">IF($L332="","",INDEX('Price List'!$E$2:$E$1352,$L332)&amp;"")</f>
        <v/>
      </c>
      <c r="F332" s="10" t="str">
        <f aca="false">IF($L332="","",INDEX('Price List'!$F$2:$F$1352,$L332)&amp;"")</f>
        <v>63-65 (80#)</v>
      </c>
      <c r="G332" s="10" t="str">
        <f aca="false">IF($L332="","",INDEX('Price List'!$G$2:$G$1352,$L332)&amp;"")</f>
        <v>36 x 48</v>
      </c>
      <c r="H332" s="10" t="str">
        <f aca="false">IF($L332="","",INDEX('Price List'!$H$2:$H$1352,$L332)&amp;"")</f>
        <v>ream</v>
      </c>
      <c r="I332" s="12" t="n">
        <f aca="false">IF($L332="","",IF(INDEX('Price List'!$I$2:$I$1352,$L332)="","",INDEX('Price List'!$I$2:$I$1352,$L332)))</f>
        <v>3240</v>
      </c>
      <c r="J332" s="11" t="str">
        <f aca="false">IF($L332="","",INDEX('Price List'!$J$2:$J$1352,$L332)&amp;"")</f>
        <v/>
      </c>
      <c r="K332" s="10" t="str">
        <f aca="false">IF($L332="","",INDEX('Price List'!$K$2:$K$1352,$L332)&amp;"")</f>
        <v>April (year not shown)</v>
      </c>
      <c r="L332" s="13" t="n">
        <f aca="false">IF(322&gt;$H$4,"",MATCH(322,'Price List'!$M$2:$M$1352,0))</f>
        <v>322</v>
      </c>
    </row>
    <row r="333" customFormat="false" ht="15" hidden="false" customHeight="false" outlineLevel="0" collapsed="false">
      <c r="A333" s="9" t="n">
        <v>323</v>
      </c>
      <c r="B333" s="10" t="str">
        <f aca="false">IF($L333="","",INDEX('Price List'!$B$2:$B$1352,$L333)&amp;"")</f>
        <v>NAPPCO (April list - latest)</v>
      </c>
      <c r="C333" s="10" t="str">
        <f aca="false">IF($L333="","",INDEX('Price List'!$C$2:$C$1352,$L333)&amp;"")</f>
        <v>Kraft Paper</v>
      </c>
      <c r="D333" s="11" t="str">
        <f aca="false">IF($L333="","",INDEX('Price List'!$D$2:$D$1352,$L333)&amp;"")</f>
        <v>Kraft Paper - Local</v>
      </c>
      <c r="E333" s="11" t="str">
        <f aca="false">IF($L333="","",INDEX('Price List'!$E$2:$E$1352,$L333)&amp;"")</f>
        <v/>
      </c>
      <c r="F333" s="10" t="str">
        <f aca="false">IF($L333="","",INDEX('Price List'!$F$2:$F$1352,$L333)&amp;"")</f>
        <v>70 (80#)</v>
      </c>
      <c r="G333" s="10" t="str">
        <f aca="false">IF($L333="","",INDEX('Price List'!$G$2:$G$1352,$L333)&amp;"")</f>
        <v>36 x 48</v>
      </c>
      <c r="H333" s="10" t="str">
        <f aca="false">IF($L333="","",INDEX('Price List'!$H$2:$H$1352,$L333)&amp;"")</f>
        <v>ream</v>
      </c>
      <c r="I333" s="12" t="n">
        <f aca="false">IF($L333="","",IF(INDEX('Price List'!$I$2:$I$1352,$L333)="","",INDEX('Price List'!$I$2:$I$1352,$L333)))</f>
        <v>1765</v>
      </c>
      <c r="J333" s="11" t="str">
        <f aca="false">IF($L333="","",INDEX('Price List'!$J$2:$J$1352,$L333)&amp;"")</f>
        <v/>
      </c>
      <c r="K333" s="10" t="str">
        <f aca="false">IF($L333="","",INDEX('Price List'!$K$2:$K$1352,$L333)&amp;"")</f>
        <v>April (year not shown)</v>
      </c>
      <c r="L333" s="13" t="n">
        <f aca="false">IF(323&gt;$H$4,"",MATCH(323,'Price List'!$M$2:$M$1352,0))</f>
        <v>323</v>
      </c>
    </row>
    <row r="334" customFormat="false" ht="15" hidden="false" customHeight="false" outlineLevel="0" collapsed="false">
      <c r="A334" s="9" t="n">
        <v>324</v>
      </c>
      <c r="B334" s="10" t="str">
        <f aca="false">IF($L334="","",INDEX('Price List'!$B$2:$B$1352,$L334)&amp;"")</f>
        <v>NAPPCO (April list - latest)</v>
      </c>
      <c r="C334" s="10" t="str">
        <f aca="false">IF($L334="","",INDEX('Price List'!$C$2:$C$1352,$L334)&amp;"")</f>
        <v>Kraft Paper</v>
      </c>
      <c r="D334" s="11" t="str">
        <f aca="false">IF($L334="","",INDEX('Price List'!$D$2:$D$1352,$L334)&amp;"")</f>
        <v>Kraft Paper - Imported</v>
      </c>
      <c r="E334" s="11" t="str">
        <f aca="false">IF($L334="","",INDEX('Price List'!$E$2:$E$1352,$L334)&amp;"")</f>
        <v/>
      </c>
      <c r="F334" s="10" t="str">
        <f aca="false">IF($L334="","",INDEX('Price List'!$F$2:$F$1352,$L334)&amp;"")</f>
        <v>70 (80#)</v>
      </c>
      <c r="G334" s="10" t="str">
        <f aca="false">IF($L334="","",INDEX('Price List'!$G$2:$G$1352,$L334)&amp;"")</f>
        <v>36 x 48</v>
      </c>
      <c r="H334" s="10" t="str">
        <f aca="false">IF($L334="","",INDEX('Price List'!$H$2:$H$1352,$L334)&amp;"")</f>
        <v>ream</v>
      </c>
      <c r="I334" s="12" t="n">
        <f aca="false">IF($L334="","",IF(INDEX('Price List'!$I$2:$I$1352,$L334)="","",INDEX('Price List'!$I$2:$I$1352,$L334)))</f>
        <v>2930</v>
      </c>
      <c r="J334" s="11" t="str">
        <f aca="false">IF($L334="","",INDEX('Price List'!$J$2:$J$1352,$L334)&amp;"")</f>
        <v/>
      </c>
      <c r="K334" s="10" t="str">
        <f aca="false">IF($L334="","",INDEX('Price List'!$K$2:$K$1352,$L334)&amp;"")</f>
        <v>April (year not shown)</v>
      </c>
      <c r="L334" s="13" t="n">
        <f aca="false">IF(324&gt;$H$4,"",MATCH(324,'Price List'!$M$2:$M$1352,0))</f>
        <v>324</v>
      </c>
    </row>
    <row r="335" customFormat="false" ht="15" hidden="false" customHeight="false" outlineLevel="0" collapsed="false">
      <c r="A335" s="9" t="n">
        <v>325</v>
      </c>
      <c r="B335" s="10" t="str">
        <f aca="false">IF($L335="","",INDEX('Price List'!$B$2:$B$1352,$L335)&amp;"")</f>
        <v>NAPPCO (April list - latest)</v>
      </c>
      <c r="C335" s="10" t="str">
        <f aca="false">IF($L335="","",INDEX('Price List'!$C$2:$C$1352,$L335)&amp;"")</f>
        <v>Kraft Paper</v>
      </c>
      <c r="D335" s="11" t="str">
        <f aca="false">IF($L335="","",INDEX('Price List'!$D$2:$D$1352,$L335)&amp;"")</f>
        <v>Kraft Paper - Bleach</v>
      </c>
      <c r="E335" s="11" t="str">
        <f aca="false">IF($L335="","",INDEX('Price List'!$E$2:$E$1352,$L335)&amp;"")</f>
        <v/>
      </c>
      <c r="F335" s="10" t="str">
        <f aca="false">IF($L335="","",INDEX('Price List'!$F$2:$F$1352,$L335)&amp;"")</f>
        <v>70 (80#)</v>
      </c>
      <c r="G335" s="10" t="str">
        <f aca="false">IF($L335="","",INDEX('Price List'!$G$2:$G$1352,$L335)&amp;"")</f>
        <v>36 x 48</v>
      </c>
      <c r="H335" s="10" t="str">
        <f aca="false">IF($L335="","",INDEX('Price List'!$H$2:$H$1352,$L335)&amp;"")</f>
        <v>ream</v>
      </c>
      <c r="I335" s="12" t="n">
        <f aca="false">IF($L335="","",IF(INDEX('Price List'!$I$2:$I$1352,$L335)="","",INDEX('Price List'!$I$2:$I$1352,$L335)))</f>
        <v>3490</v>
      </c>
      <c r="J335" s="11" t="str">
        <f aca="false">IF($L335="","",INDEX('Price List'!$J$2:$J$1352,$L335)&amp;"")</f>
        <v/>
      </c>
      <c r="K335" s="10" t="str">
        <f aca="false">IF($L335="","",INDEX('Price List'!$K$2:$K$1352,$L335)&amp;"")</f>
        <v>April (year not shown)</v>
      </c>
      <c r="L335" s="13" t="n">
        <f aca="false">IF(325&gt;$H$4,"",MATCH(325,'Price List'!$M$2:$M$1352,0))</f>
        <v>325</v>
      </c>
    </row>
    <row r="336" customFormat="false" ht="15" hidden="false" customHeight="false" outlineLevel="0" collapsed="false">
      <c r="A336" s="9" t="n">
        <v>326</v>
      </c>
      <c r="B336" s="10" t="str">
        <f aca="false">IF($L336="","",INDEX('Price List'!$B$2:$B$1352,$L336)&amp;"")</f>
        <v>NAPPCO (April list - latest)</v>
      </c>
      <c r="C336" s="10" t="str">
        <f aca="false">IF($L336="","",INDEX('Price List'!$C$2:$C$1352,$L336)&amp;"")</f>
        <v>Kraft Paper</v>
      </c>
      <c r="D336" s="11" t="str">
        <f aca="false">IF($L336="","",INDEX('Price List'!$D$2:$D$1352,$L336)&amp;"")</f>
        <v>Kraft Paper - Local</v>
      </c>
      <c r="E336" s="11" t="str">
        <f aca="false">IF($L336="","",INDEX('Price List'!$E$2:$E$1352,$L336)&amp;"")</f>
        <v/>
      </c>
      <c r="F336" s="10" t="str">
        <f aca="false">IF($L336="","",INDEX('Price List'!$F$2:$F$1352,$L336)&amp;"")</f>
        <v>80 (100#)</v>
      </c>
      <c r="G336" s="10" t="str">
        <f aca="false">IF($L336="","",INDEX('Price List'!$G$2:$G$1352,$L336)&amp;"")</f>
        <v>36 x 48</v>
      </c>
      <c r="H336" s="10" t="str">
        <f aca="false">IF($L336="","",INDEX('Price List'!$H$2:$H$1352,$L336)&amp;"")</f>
        <v>ream</v>
      </c>
      <c r="I336" s="12" t="n">
        <f aca="false">IF($L336="","",IF(INDEX('Price List'!$I$2:$I$1352,$L336)="","",INDEX('Price List'!$I$2:$I$1352,$L336)))</f>
        <v>2020</v>
      </c>
      <c r="J336" s="11" t="str">
        <f aca="false">IF($L336="","",INDEX('Price List'!$J$2:$J$1352,$L336)&amp;"")</f>
        <v/>
      </c>
      <c r="K336" s="10" t="str">
        <f aca="false">IF($L336="","",INDEX('Price List'!$K$2:$K$1352,$L336)&amp;"")</f>
        <v>April (year not shown)</v>
      </c>
      <c r="L336" s="13" t="n">
        <f aca="false">IF(326&gt;$H$4,"",MATCH(326,'Price List'!$M$2:$M$1352,0))</f>
        <v>326</v>
      </c>
    </row>
    <row r="337" customFormat="false" ht="15" hidden="false" customHeight="false" outlineLevel="0" collapsed="false">
      <c r="A337" s="9" t="n">
        <v>327</v>
      </c>
      <c r="B337" s="10" t="str">
        <f aca="false">IF($L337="","",INDEX('Price List'!$B$2:$B$1352,$L337)&amp;"")</f>
        <v>NAPPCO (April list - latest)</v>
      </c>
      <c r="C337" s="10" t="str">
        <f aca="false">IF($L337="","",INDEX('Price List'!$C$2:$C$1352,$L337)&amp;"")</f>
        <v>Kraft Paper</v>
      </c>
      <c r="D337" s="11" t="str">
        <f aca="false">IF($L337="","",INDEX('Price List'!$D$2:$D$1352,$L337)&amp;"")</f>
        <v>Kraft Paper - Imported</v>
      </c>
      <c r="E337" s="11" t="str">
        <f aca="false">IF($L337="","",INDEX('Price List'!$E$2:$E$1352,$L337)&amp;"")</f>
        <v/>
      </c>
      <c r="F337" s="10" t="str">
        <f aca="false">IF($L337="","",INDEX('Price List'!$F$2:$F$1352,$L337)&amp;"")</f>
        <v>80 (100#)</v>
      </c>
      <c r="G337" s="10" t="str">
        <f aca="false">IF($L337="","",INDEX('Price List'!$G$2:$G$1352,$L337)&amp;"")</f>
        <v>36 x 48</v>
      </c>
      <c r="H337" s="10" t="str">
        <f aca="false">IF($L337="","",INDEX('Price List'!$H$2:$H$1352,$L337)&amp;"")</f>
        <v>ream</v>
      </c>
      <c r="I337" s="12" t="n">
        <f aca="false">IF($L337="","",IF(INDEX('Price List'!$I$2:$I$1352,$L337)="","",INDEX('Price List'!$I$2:$I$1352,$L337)))</f>
        <v>3340</v>
      </c>
      <c r="J337" s="11" t="str">
        <f aca="false">IF($L337="","",INDEX('Price List'!$J$2:$J$1352,$L337)&amp;"")</f>
        <v/>
      </c>
      <c r="K337" s="10" t="str">
        <f aca="false">IF($L337="","",INDEX('Price List'!$K$2:$K$1352,$L337)&amp;"")</f>
        <v>April (year not shown)</v>
      </c>
      <c r="L337" s="13" t="n">
        <f aca="false">IF(327&gt;$H$4,"",MATCH(327,'Price List'!$M$2:$M$1352,0))</f>
        <v>327</v>
      </c>
    </row>
    <row r="338" customFormat="false" ht="15" hidden="false" customHeight="false" outlineLevel="0" collapsed="false">
      <c r="A338" s="9" t="n">
        <v>328</v>
      </c>
      <c r="B338" s="10" t="str">
        <f aca="false">IF($L338="","",INDEX('Price List'!$B$2:$B$1352,$L338)&amp;"")</f>
        <v>NAPPCO (April list - latest)</v>
      </c>
      <c r="C338" s="10" t="str">
        <f aca="false">IF($L338="","",INDEX('Price List'!$C$2:$C$1352,$L338)&amp;"")</f>
        <v>Kraft Paper</v>
      </c>
      <c r="D338" s="11" t="str">
        <f aca="false">IF($L338="","",INDEX('Price List'!$D$2:$D$1352,$L338)&amp;"")</f>
        <v>Kraft Paper - Bleach</v>
      </c>
      <c r="E338" s="11" t="str">
        <f aca="false">IF($L338="","",INDEX('Price List'!$E$2:$E$1352,$L338)&amp;"")</f>
        <v/>
      </c>
      <c r="F338" s="10" t="str">
        <f aca="false">IF($L338="","",INDEX('Price List'!$F$2:$F$1352,$L338)&amp;"")</f>
        <v>80 (100#)</v>
      </c>
      <c r="G338" s="10" t="str">
        <f aca="false">IF($L338="","",INDEX('Price List'!$G$2:$G$1352,$L338)&amp;"")</f>
        <v>36 x 48</v>
      </c>
      <c r="H338" s="10" t="str">
        <f aca="false">IF($L338="","",INDEX('Price List'!$H$2:$H$1352,$L338)&amp;"")</f>
        <v>ream</v>
      </c>
      <c r="I338" s="12" t="n">
        <f aca="false">IF($L338="","",IF(INDEX('Price List'!$I$2:$I$1352,$L338)="","",INDEX('Price List'!$I$2:$I$1352,$L338)))</f>
        <v>3990</v>
      </c>
      <c r="J338" s="11" t="str">
        <f aca="false">IF($L338="","",INDEX('Price List'!$J$2:$J$1352,$L338)&amp;"")</f>
        <v/>
      </c>
      <c r="K338" s="10" t="str">
        <f aca="false">IF($L338="","",INDEX('Price List'!$K$2:$K$1352,$L338)&amp;"")</f>
        <v>April (year not shown)</v>
      </c>
      <c r="L338" s="13" t="n">
        <f aca="false">IF(328&gt;$H$4,"",MATCH(328,'Price List'!$M$2:$M$1352,0))</f>
        <v>328</v>
      </c>
    </row>
    <row r="339" customFormat="false" ht="15" hidden="false" customHeight="false" outlineLevel="0" collapsed="false">
      <c r="A339" s="9" t="n">
        <v>329</v>
      </c>
      <c r="B339" s="10" t="str">
        <f aca="false">IF($L339="","",INDEX('Price List'!$B$2:$B$1352,$L339)&amp;"")</f>
        <v>NAPPCO (April list - latest)</v>
      </c>
      <c r="C339" s="10" t="str">
        <f aca="false">IF($L339="","",INDEX('Price List'!$C$2:$C$1352,$L339)&amp;"")</f>
        <v>Kraft Paper</v>
      </c>
      <c r="D339" s="11" t="str">
        <f aca="false">IF($L339="","",INDEX('Price List'!$D$2:$D$1352,$L339)&amp;"")</f>
        <v>Kraft Paper - Imported</v>
      </c>
      <c r="E339" s="11" t="str">
        <f aca="false">IF($L339="","",INDEX('Price List'!$E$2:$E$1352,$L339)&amp;"")</f>
        <v/>
      </c>
      <c r="F339" s="10" t="str">
        <f aca="false">IF($L339="","",INDEX('Price List'!$F$2:$F$1352,$L339)&amp;"")</f>
        <v>90 (110#)</v>
      </c>
      <c r="G339" s="10" t="str">
        <f aca="false">IF($L339="","",INDEX('Price List'!$G$2:$G$1352,$L339)&amp;"")</f>
        <v>36 x 48</v>
      </c>
      <c r="H339" s="10" t="str">
        <f aca="false">IF($L339="","",INDEX('Price List'!$H$2:$H$1352,$L339)&amp;"")</f>
        <v>ream</v>
      </c>
      <c r="I339" s="12" t="n">
        <f aca="false">IF($L339="","",IF(INDEX('Price List'!$I$2:$I$1352,$L339)="","",INDEX('Price List'!$I$2:$I$1352,$L339)))</f>
        <v>3760</v>
      </c>
      <c r="J339" s="11" t="str">
        <f aca="false">IF($L339="","",INDEX('Price List'!$J$2:$J$1352,$L339)&amp;"")</f>
        <v/>
      </c>
      <c r="K339" s="10" t="str">
        <f aca="false">IF($L339="","",INDEX('Price List'!$K$2:$K$1352,$L339)&amp;"")</f>
        <v>April (year not shown)</v>
      </c>
      <c r="L339" s="13" t="n">
        <f aca="false">IF(329&gt;$H$4,"",MATCH(329,'Price List'!$M$2:$M$1352,0))</f>
        <v>329</v>
      </c>
    </row>
    <row r="340" customFormat="false" ht="15" hidden="false" customHeight="false" outlineLevel="0" collapsed="false">
      <c r="A340" s="9" t="n">
        <v>330</v>
      </c>
      <c r="B340" s="10" t="str">
        <f aca="false">IF($L340="","",INDEX('Price List'!$B$2:$B$1352,$L340)&amp;"")</f>
        <v>NAPPCO (April list - latest)</v>
      </c>
      <c r="C340" s="10" t="str">
        <f aca="false">IF($L340="","",INDEX('Price List'!$C$2:$C$1352,$L340)&amp;"")</f>
        <v>Kraft Paper</v>
      </c>
      <c r="D340" s="11" t="str">
        <f aca="false">IF($L340="","",INDEX('Price List'!$D$2:$D$1352,$L340)&amp;"")</f>
        <v>Kraft Paper - Bleach</v>
      </c>
      <c r="E340" s="11" t="str">
        <f aca="false">IF($L340="","",INDEX('Price List'!$E$2:$E$1352,$L340)&amp;"")</f>
        <v/>
      </c>
      <c r="F340" s="10" t="str">
        <f aca="false">IF($L340="","",INDEX('Price List'!$F$2:$F$1352,$L340)&amp;"")</f>
        <v>90 (110#)</v>
      </c>
      <c r="G340" s="10" t="str">
        <f aca="false">IF($L340="","",INDEX('Price List'!$G$2:$G$1352,$L340)&amp;"")</f>
        <v>36 x 48</v>
      </c>
      <c r="H340" s="10" t="str">
        <f aca="false">IF($L340="","",INDEX('Price List'!$H$2:$H$1352,$L340)&amp;"")</f>
        <v>ream</v>
      </c>
      <c r="I340" s="12" t="n">
        <f aca="false">IF($L340="","",IF(INDEX('Price List'!$I$2:$I$1352,$L340)="","",INDEX('Price List'!$I$2:$I$1352,$L340)))</f>
        <v>4480</v>
      </c>
      <c r="J340" s="11" t="str">
        <f aca="false">IF($L340="","",INDEX('Price List'!$J$2:$J$1352,$L340)&amp;"")</f>
        <v/>
      </c>
      <c r="K340" s="10" t="str">
        <f aca="false">IF($L340="","",INDEX('Price List'!$K$2:$K$1352,$L340)&amp;"")</f>
        <v>April (year not shown)</v>
      </c>
      <c r="L340" s="13" t="n">
        <f aca="false">IF(330&gt;$H$4,"",MATCH(330,'Price List'!$M$2:$M$1352,0))</f>
        <v>330</v>
      </c>
    </row>
    <row r="341" customFormat="false" ht="15" hidden="false" customHeight="false" outlineLevel="0" collapsed="false">
      <c r="A341" s="9" t="n">
        <v>331</v>
      </c>
      <c r="B341" s="10" t="str">
        <f aca="false">IF($L341="","",INDEX('Price List'!$B$2:$B$1352,$L341)&amp;"")</f>
        <v>NAPPCO (April list - latest)</v>
      </c>
      <c r="C341" s="10" t="str">
        <f aca="false">IF($L341="","",INDEX('Price List'!$C$2:$C$1352,$L341)&amp;"")</f>
        <v>Kraft Paper</v>
      </c>
      <c r="D341" s="11" t="str">
        <f aca="false">IF($L341="","",INDEX('Price List'!$D$2:$D$1352,$L341)&amp;"")</f>
        <v>Kraft Paper - Imported</v>
      </c>
      <c r="E341" s="11" t="str">
        <f aca="false">IF($L341="","",INDEX('Price List'!$E$2:$E$1352,$L341)&amp;"")</f>
        <v/>
      </c>
      <c r="F341" s="10" t="str">
        <f aca="false">IF($L341="","",INDEX('Price List'!$F$2:$F$1352,$L341)&amp;"")</f>
        <v>100 (120#)</v>
      </c>
      <c r="G341" s="10" t="str">
        <f aca="false">IF($L341="","",INDEX('Price List'!$G$2:$G$1352,$L341)&amp;"")</f>
        <v>36 x 48</v>
      </c>
      <c r="H341" s="10" t="str">
        <f aca="false">IF($L341="","",INDEX('Price List'!$H$2:$H$1352,$L341)&amp;"")</f>
        <v>sheet</v>
      </c>
      <c r="I341" s="12" t="n">
        <f aca="false">IF($L341="","",IF(INDEX('Price List'!$I$2:$I$1352,$L341)="","",INDEX('Price List'!$I$2:$I$1352,$L341)))</f>
        <v>8.7</v>
      </c>
      <c r="J341" s="11" t="str">
        <f aca="false">IF($L341="","",INDEX('Price List'!$J$2:$J$1352,$L341)&amp;"")</f>
        <v/>
      </c>
      <c r="K341" s="10" t="str">
        <f aca="false">IF($L341="","",INDEX('Price List'!$K$2:$K$1352,$L341)&amp;"")</f>
        <v>April (year not shown)</v>
      </c>
      <c r="L341" s="13" t="n">
        <f aca="false">IF(331&gt;$H$4,"",MATCH(331,'Price List'!$M$2:$M$1352,0))</f>
        <v>331</v>
      </c>
    </row>
    <row r="342" customFormat="false" ht="15" hidden="false" customHeight="false" outlineLevel="0" collapsed="false">
      <c r="A342" s="9" t="n">
        <v>332</v>
      </c>
      <c r="B342" s="10" t="str">
        <f aca="false">IF($L342="","",INDEX('Price List'!$B$2:$B$1352,$L342)&amp;"")</f>
        <v>NAPPCO (April list - latest)</v>
      </c>
      <c r="C342" s="10" t="str">
        <f aca="false">IF($L342="","",INDEX('Price List'!$C$2:$C$1352,$L342)&amp;"")</f>
        <v>Kraft Paper</v>
      </c>
      <c r="D342" s="11" t="str">
        <f aca="false">IF($L342="","",INDEX('Price List'!$D$2:$D$1352,$L342)&amp;"")</f>
        <v>Kraft Paper - Bleach</v>
      </c>
      <c r="E342" s="11" t="str">
        <f aca="false">IF($L342="","",INDEX('Price List'!$E$2:$E$1352,$L342)&amp;"")</f>
        <v/>
      </c>
      <c r="F342" s="10" t="str">
        <f aca="false">IF($L342="","",INDEX('Price List'!$F$2:$F$1352,$L342)&amp;"")</f>
        <v>100 (120#)</v>
      </c>
      <c r="G342" s="10" t="str">
        <f aca="false">IF($L342="","",INDEX('Price List'!$G$2:$G$1352,$L342)&amp;"")</f>
        <v>36 x 48</v>
      </c>
      <c r="H342" s="10" t="str">
        <f aca="false">IF($L342="","",INDEX('Price List'!$H$2:$H$1352,$L342)&amp;"")</f>
        <v>sheet</v>
      </c>
      <c r="I342" s="12" t="n">
        <f aca="false">IF($L342="","",IF(INDEX('Price List'!$I$2:$I$1352,$L342)="","",INDEX('Price List'!$I$2:$I$1352,$L342)))</f>
        <v>10.4</v>
      </c>
      <c r="J342" s="11" t="str">
        <f aca="false">IF($L342="","",INDEX('Price List'!$J$2:$J$1352,$L342)&amp;"")</f>
        <v/>
      </c>
      <c r="K342" s="10" t="str">
        <f aca="false">IF($L342="","",INDEX('Price List'!$K$2:$K$1352,$L342)&amp;"")</f>
        <v>April (year not shown)</v>
      </c>
      <c r="L342" s="13" t="n">
        <f aca="false">IF(332&gt;$H$4,"",MATCH(332,'Price List'!$M$2:$M$1352,0))</f>
        <v>332</v>
      </c>
    </row>
    <row r="343" customFormat="false" ht="15" hidden="false" customHeight="false" outlineLevel="0" collapsed="false">
      <c r="A343" s="9" t="n">
        <v>333</v>
      </c>
      <c r="B343" s="10" t="str">
        <f aca="false">IF($L343="","",INDEX('Price List'!$B$2:$B$1352,$L343)&amp;"")</f>
        <v>NAPPCO (April list - latest)</v>
      </c>
      <c r="C343" s="10" t="str">
        <f aca="false">IF($L343="","",INDEX('Price List'!$C$2:$C$1352,$L343)&amp;"")</f>
        <v>Kraft Paper</v>
      </c>
      <c r="D343" s="11" t="str">
        <f aca="false">IF($L343="","",INDEX('Price List'!$D$2:$D$1352,$L343)&amp;"")</f>
        <v>Kraft Paper - Imported</v>
      </c>
      <c r="E343" s="11" t="str">
        <f aca="false">IF($L343="","",INDEX('Price List'!$E$2:$E$1352,$L343)&amp;"")</f>
        <v/>
      </c>
      <c r="F343" s="10" t="str">
        <f aca="false">IF($L343="","",INDEX('Price List'!$F$2:$F$1352,$L343)&amp;"")</f>
        <v>110 (135#)</v>
      </c>
      <c r="G343" s="10" t="str">
        <f aca="false">IF($L343="","",INDEX('Price List'!$G$2:$G$1352,$L343)&amp;"")</f>
        <v>36 x 48</v>
      </c>
      <c r="H343" s="10" t="str">
        <f aca="false">IF($L343="","",INDEX('Price List'!$H$2:$H$1352,$L343)&amp;"")</f>
        <v>sheet</v>
      </c>
      <c r="I343" s="12" t="n">
        <f aca="false">IF($L343="","",IF(INDEX('Price List'!$I$2:$I$1352,$L343)="","",INDEX('Price List'!$I$2:$I$1352,$L343)))</f>
        <v>9.6</v>
      </c>
      <c r="J343" s="11" t="str">
        <f aca="false">IF($L343="","",INDEX('Price List'!$J$2:$J$1352,$L343)&amp;"")</f>
        <v/>
      </c>
      <c r="K343" s="10" t="str">
        <f aca="false">IF($L343="","",INDEX('Price List'!$K$2:$K$1352,$L343)&amp;"")</f>
        <v>April (year not shown)</v>
      </c>
      <c r="L343" s="13" t="n">
        <f aca="false">IF(333&gt;$H$4,"",MATCH(333,'Price List'!$M$2:$M$1352,0))</f>
        <v>333</v>
      </c>
    </row>
    <row r="344" customFormat="false" ht="15" hidden="false" customHeight="false" outlineLevel="0" collapsed="false">
      <c r="A344" s="9" t="n">
        <v>334</v>
      </c>
      <c r="B344" s="10" t="str">
        <f aca="false">IF($L344="","",INDEX('Price List'!$B$2:$B$1352,$L344)&amp;"")</f>
        <v>NAPPCO (April list - latest)</v>
      </c>
      <c r="C344" s="10" t="str">
        <f aca="false">IF($L344="","",INDEX('Price List'!$C$2:$C$1352,$L344)&amp;"")</f>
        <v>Kraft Paper</v>
      </c>
      <c r="D344" s="11" t="str">
        <f aca="false">IF($L344="","",INDEX('Price List'!$D$2:$D$1352,$L344)&amp;"")</f>
        <v>Kraft Paper - Bleach</v>
      </c>
      <c r="E344" s="11" t="str">
        <f aca="false">IF($L344="","",INDEX('Price List'!$E$2:$E$1352,$L344)&amp;"")</f>
        <v/>
      </c>
      <c r="F344" s="10" t="str">
        <f aca="false">IF($L344="","",INDEX('Price List'!$F$2:$F$1352,$L344)&amp;"")</f>
        <v>110 (135#)</v>
      </c>
      <c r="G344" s="10" t="str">
        <f aca="false">IF($L344="","",INDEX('Price List'!$G$2:$G$1352,$L344)&amp;"")</f>
        <v>36 x 48</v>
      </c>
      <c r="H344" s="10" t="str">
        <f aca="false">IF($L344="","",INDEX('Price List'!$H$2:$H$1352,$L344)&amp;"")</f>
        <v>sheet</v>
      </c>
      <c r="I344" s="12" t="n">
        <f aca="false">IF($L344="","",IF(INDEX('Price List'!$I$2:$I$1352,$L344)="","",INDEX('Price List'!$I$2:$I$1352,$L344)))</f>
        <v>11.4</v>
      </c>
      <c r="J344" s="11" t="str">
        <f aca="false">IF($L344="","",INDEX('Price List'!$J$2:$J$1352,$L344)&amp;"")</f>
        <v/>
      </c>
      <c r="K344" s="10" t="str">
        <f aca="false">IF($L344="","",INDEX('Price List'!$K$2:$K$1352,$L344)&amp;"")</f>
        <v>April (year not shown)</v>
      </c>
      <c r="L344" s="13" t="n">
        <f aca="false">IF(334&gt;$H$4,"",MATCH(334,'Price List'!$M$2:$M$1352,0))</f>
        <v>334</v>
      </c>
    </row>
    <row r="345" customFormat="false" ht="15" hidden="false" customHeight="false" outlineLevel="0" collapsed="false">
      <c r="A345" s="9" t="n">
        <v>335</v>
      </c>
      <c r="B345" s="10" t="str">
        <f aca="false">IF($L345="","",INDEX('Price List'!$B$2:$B$1352,$L345)&amp;"")</f>
        <v>NAPPCO (April list - latest)</v>
      </c>
      <c r="C345" s="10" t="str">
        <f aca="false">IF($L345="","",INDEX('Price List'!$C$2:$C$1352,$L345)&amp;"")</f>
        <v>Kraft Paper</v>
      </c>
      <c r="D345" s="11" t="str">
        <f aca="false">IF($L345="","",INDEX('Price List'!$D$2:$D$1352,$L345)&amp;"")</f>
        <v>Kraft Paper - Local</v>
      </c>
      <c r="E345" s="11" t="str">
        <f aca="false">IF($L345="","",INDEX('Price List'!$E$2:$E$1352,$L345)&amp;"")</f>
        <v/>
      </c>
      <c r="F345" s="10" t="str">
        <f aca="false">IF($L345="","",INDEX('Price List'!$F$2:$F$1352,$L345)&amp;"")</f>
        <v>115 (140#)</v>
      </c>
      <c r="G345" s="10" t="str">
        <f aca="false">IF($L345="","",INDEX('Price List'!$G$2:$G$1352,$L345)&amp;"")</f>
        <v>36 x 48</v>
      </c>
      <c r="H345" s="10" t="str">
        <f aca="false">IF($L345="","",INDEX('Price List'!$H$2:$H$1352,$L345)&amp;"")</f>
        <v>sheet</v>
      </c>
      <c r="I345" s="12" t="n">
        <f aca="false">IF($L345="","",IF(INDEX('Price List'!$I$2:$I$1352,$L345)="","",INDEX('Price List'!$I$2:$I$1352,$L345)))</f>
        <v>6</v>
      </c>
      <c r="J345" s="11" t="str">
        <f aca="false">IF($L345="","",INDEX('Price List'!$J$2:$J$1352,$L345)&amp;"")</f>
        <v/>
      </c>
      <c r="K345" s="10" t="str">
        <f aca="false">IF($L345="","",INDEX('Price List'!$K$2:$K$1352,$L345)&amp;"")</f>
        <v>April (year not shown)</v>
      </c>
      <c r="L345" s="13" t="n">
        <f aca="false">IF(335&gt;$H$4,"",MATCH(335,'Price List'!$M$2:$M$1352,0))</f>
        <v>335</v>
      </c>
    </row>
    <row r="346" customFormat="false" ht="15" hidden="false" customHeight="false" outlineLevel="0" collapsed="false">
      <c r="A346" s="9" t="n">
        <v>336</v>
      </c>
      <c r="B346" s="10" t="str">
        <f aca="false">IF($L346="","",INDEX('Price List'!$B$2:$B$1352,$L346)&amp;"")</f>
        <v>NAPPCO (April list - latest)</v>
      </c>
      <c r="C346" s="10" t="str">
        <f aca="false">IF($L346="","",INDEX('Price List'!$C$2:$C$1352,$L346)&amp;"")</f>
        <v>Kraft Paper</v>
      </c>
      <c r="D346" s="11" t="str">
        <f aca="false">IF($L346="","",INDEX('Price List'!$D$2:$D$1352,$L346)&amp;"")</f>
        <v>Kraft Paper - Imported</v>
      </c>
      <c r="E346" s="11" t="str">
        <f aca="false">IF($L346="","",INDEX('Price List'!$E$2:$E$1352,$L346)&amp;"")</f>
        <v/>
      </c>
      <c r="F346" s="10" t="str">
        <f aca="false">IF($L346="","",INDEX('Price List'!$F$2:$F$1352,$L346)&amp;"")</f>
        <v>115 (140#)</v>
      </c>
      <c r="G346" s="10" t="str">
        <f aca="false">IF($L346="","",INDEX('Price List'!$G$2:$G$1352,$L346)&amp;"")</f>
        <v>36 x 48</v>
      </c>
      <c r="H346" s="10" t="str">
        <f aca="false">IF($L346="","",INDEX('Price List'!$H$2:$H$1352,$L346)&amp;"")</f>
        <v>sheet</v>
      </c>
      <c r="I346" s="12" t="n">
        <f aca="false">IF($L346="","",IF(INDEX('Price List'!$I$2:$I$1352,$L346)="","",INDEX('Price List'!$I$2:$I$1352,$L346)))</f>
        <v>10</v>
      </c>
      <c r="J346" s="11" t="str">
        <f aca="false">IF($L346="","",INDEX('Price List'!$J$2:$J$1352,$L346)&amp;"")</f>
        <v/>
      </c>
      <c r="K346" s="10" t="str">
        <f aca="false">IF($L346="","",INDEX('Price List'!$K$2:$K$1352,$L346)&amp;"")</f>
        <v>April (year not shown)</v>
      </c>
      <c r="L346" s="13" t="n">
        <f aca="false">IF(336&gt;$H$4,"",MATCH(336,'Price List'!$M$2:$M$1352,0))</f>
        <v>336</v>
      </c>
    </row>
    <row r="347" customFormat="false" ht="15" hidden="false" customHeight="false" outlineLevel="0" collapsed="false">
      <c r="A347" s="9" t="n">
        <v>337</v>
      </c>
      <c r="B347" s="10" t="str">
        <f aca="false">IF($L347="","",INDEX('Price List'!$B$2:$B$1352,$L347)&amp;"")</f>
        <v>NAPPCO (April list - latest)</v>
      </c>
      <c r="C347" s="10" t="str">
        <f aca="false">IF($L347="","",INDEX('Price List'!$C$2:$C$1352,$L347)&amp;"")</f>
        <v>Kraft Paper</v>
      </c>
      <c r="D347" s="11" t="str">
        <f aca="false">IF($L347="","",INDEX('Price List'!$D$2:$D$1352,$L347)&amp;"")</f>
        <v>Kraft Paper - Kraft Top</v>
      </c>
      <c r="E347" s="11" t="str">
        <f aca="false">IF($L347="","",INDEX('Price List'!$E$2:$E$1352,$L347)&amp;"")</f>
        <v/>
      </c>
      <c r="F347" s="10" t="str">
        <f aca="false">IF($L347="","",INDEX('Price List'!$F$2:$F$1352,$L347)&amp;"")</f>
        <v>115 (140#)</v>
      </c>
      <c r="G347" s="10" t="str">
        <f aca="false">IF($L347="","",INDEX('Price List'!$G$2:$G$1352,$L347)&amp;"")</f>
        <v>36 x 48</v>
      </c>
      <c r="H347" s="10" t="str">
        <f aca="false">IF($L347="","",INDEX('Price List'!$H$2:$H$1352,$L347)&amp;"")</f>
        <v>sheet</v>
      </c>
      <c r="I347" s="12" t="n">
        <f aca="false">IF($L347="","",IF(INDEX('Price List'!$I$2:$I$1352,$L347)="","",INDEX('Price List'!$I$2:$I$1352,$L347)))</f>
        <v>7.7</v>
      </c>
      <c r="J347" s="11" t="str">
        <f aca="false">IF($L347="","",INDEX('Price List'!$J$2:$J$1352,$L347)&amp;"")</f>
        <v/>
      </c>
      <c r="K347" s="10" t="str">
        <f aca="false">IF($L347="","",INDEX('Price List'!$K$2:$K$1352,$L347)&amp;"")</f>
        <v>April (year not shown)</v>
      </c>
      <c r="L347" s="13" t="n">
        <f aca="false">IF(337&gt;$H$4,"",MATCH(337,'Price List'!$M$2:$M$1352,0))</f>
        <v>337</v>
      </c>
    </row>
    <row r="348" customFormat="false" ht="15" hidden="false" customHeight="false" outlineLevel="0" collapsed="false">
      <c r="A348" s="9" t="n">
        <v>338</v>
      </c>
      <c r="B348" s="10" t="str">
        <f aca="false">IF($L348="","",INDEX('Price List'!$B$2:$B$1352,$L348)&amp;"")</f>
        <v>NAPPCO (April list - latest)</v>
      </c>
      <c r="C348" s="10" t="str">
        <f aca="false">IF($L348="","",INDEX('Price List'!$C$2:$C$1352,$L348)&amp;"")</f>
        <v>Kraft Paper</v>
      </c>
      <c r="D348" s="11" t="str">
        <f aca="false">IF($L348="","",INDEX('Price List'!$D$2:$D$1352,$L348)&amp;"")</f>
        <v>Kraft Paper - Imported</v>
      </c>
      <c r="E348" s="11" t="str">
        <f aca="false">IF($L348="","",INDEX('Price List'!$E$2:$E$1352,$L348)&amp;"")</f>
        <v/>
      </c>
      <c r="F348" s="10" t="str">
        <f aca="false">IF($L348="","",INDEX('Price List'!$F$2:$F$1352,$L348)&amp;"")</f>
        <v>120 (150#)</v>
      </c>
      <c r="G348" s="10" t="str">
        <f aca="false">IF($L348="","",INDEX('Price List'!$G$2:$G$1352,$L348)&amp;"")</f>
        <v>36 x 48</v>
      </c>
      <c r="H348" s="10" t="str">
        <f aca="false">IF($L348="","",INDEX('Price List'!$H$2:$H$1352,$L348)&amp;"")</f>
        <v>sheet</v>
      </c>
      <c r="I348" s="12" t="n">
        <f aca="false">IF($L348="","",IF(INDEX('Price List'!$I$2:$I$1352,$L348)="","",INDEX('Price List'!$I$2:$I$1352,$L348)))</f>
        <v>10.5</v>
      </c>
      <c r="J348" s="11" t="str">
        <f aca="false">IF($L348="","",INDEX('Price List'!$J$2:$J$1352,$L348)&amp;"")</f>
        <v/>
      </c>
      <c r="K348" s="10" t="str">
        <f aca="false">IF($L348="","",INDEX('Price List'!$K$2:$K$1352,$L348)&amp;"")</f>
        <v>April (year not shown)</v>
      </c>
      <c r="L348" s="13" t="n">
        <f aca="false">IF(338&gt;$H$4,"",MATCH(338,'Price List'!$M$2:$M$1352,0))</f>
        <v>338</v>
      </c>
    </row>
    <row r="349" customFormat="false" ht="15" hidden="false" customHeight="false" outlineLevel="0" collapsed="false">
      <c r="A349" s="9" t="n">
        <v>339</v>
      </c>
      <c r="B349" s="10" t="str">
        <f aca="false">IF($L349="","",INDEX('Price List'!$B$2:$B$1352,$L349)&amp;"")</f>
        <v>NAPPCO (April list - latest)</v>
      </c>
      <c r="C349" s="10" t="str">
        <f aca="false">IF($L349="","",INDEX('Price List'!$C$2:$C$1352,$L349)&amp;"")</f>
        <v>Kraft Paper</v>
      </c>
      <c r="D349" s="11" t="str">
        <f aca="false">IF($L349="","",INDEX('Price List'!$D$2:$D$1352,$L349)&amp;"")</f>
        <v>Kraft Paper - Bleach</v>
      </c>
      <c r="E349" s="11" t="str">
        <f aca="false">IF($L349="","",INDEX('Price List'!$E$2:$E$1352,$L349)&amp;"")</f>
        <v/>
      </c>
      <c r="F349" s="10" t="str">
        <f aca="false">IF($L349="","",INDEX('Price List'!$F$2:$F$1352,$L349)&amp;"")</f>
        <v>120 (150#)</v>
      </c>
      <c r="G349" s="10" t="str">
        <f aca="false">IF($L349="","",INDEX('Price List'!$G$2:$G$1352,$L349)&amp;"")</f>
        <v>36 x 48</v>
      </c>
      <c r="H349" s="10" t="str">
        <f aca="false">IF($L349="","",INDEX('Price List'!$H$2:$H$1352,$L349)&amp;"")</f>
        <v>sheet</v>
      </c>
      <c r="I349" s="12" t="n">
        <f aca="false">IF($L349="","",IF(INDEX('Price List'!$I$2:$I$1352,$L349)="","",INDEX('Price List'!$I$2:$I$1352,$L349)))</f>
        <v>12.5</v>
      </c>
      <c r="J349" s="11" t="str">
        <f aca="false">IF($L349="","",INDEX('Price List'!$J$2:$J$1352,$L349)&amp;"")</f>
        <v/>
      </c>
      <c r="K349" s="10" t="str">
        <f aca="false">IF($L349="","",INDEX('Price List'!$K$2:$K$1352,$L349)&amp;"")</f>
        <v>April (year not shown)</v>
      </c>
      <c r="L349" s="13" t="n">
        <f aca="false">IF(339&gt;$H$4,"",MATCH(339,'Price List'!$M$2:$M$1352,0))</f>
        <v>339</v>
      </c>
    </row>
    <row r="350" customFormat="false" ht="15" hidden="false" customHeight="false" outlineLevel="0" collapsed="false">
      <c r="A350" s="9" t="n">
        <v>340</v>
      </c>
      <c r="B350" s="10" t="str">
        <f aca="false">IF($L350="","",INDEX('Price List'!$B$2:$B$1352,$L350)&amp;"")</f>
        <v>NAPPCO (April list - latest)</v>
      </c>
      <c r="C350" s="10" t="str">
        <f aca="false">IF($L350="","",INDEX('Price List'!$C$2:$C$1352,$L350)&amp;"")</f>
        <v>Kraft Paper</v>
      </c>
      <c r="D350" s="11" t="str">
        <f aca="false">IF($L350="","",INDEX('Price List'!$D$2:$D$1352,$L350)&amp;"")</f>
        <v>Kraft Paper - Local</v>
      </c>
      <c r="E350" s="11" t="str">
        <f aca="false">IF($L350="","",INDEX('Price List'!$E$2:$E$1352,$L350)&amp;"")</f>
        <v/>
      </c>
      <c r="F350" s="10" t="str">
        <f aca="false">IF($L350="","",INDEX('Price List'!$F$2:$F$1352,$L350)&amp;"")</f>
        <v>125 (155#)</v>
      </c>
      <c r="G350" s="10" t="str">
        <f aca="false">IF($L350="","",INDEX('Price List'!$G$2:$G$1352,$L350)&amp;"")</f>
        <v>36 x 48</v>
      </c>
      <c r="H350" s="10" t="str">
        <f aca="false">IF($L350="","",INDEX('Price List'!$H$2:$H$1352,$L350)&amp;"")</f>
        <v>sheet</v>
      </c>
      <c r="I350" s="12" t="n">
        <f aca="false">IF($L350="","",IF(INDEX('Price List'!$I$2:$I$1352,$L350)="","",INDEX('Price List'!$I$2:$I$1352,$L350)))</f>
        <v>6.6</v>
      </c>
      <c r="J350" s="11" t="str">
        <f aca="false">IF($L350="","",INDEX('Price List'!$J$2:$J$1352,$L350)&amp;"")</f>
        <v/>
      </c>
      <c r="K350" s="10" t="str">
        <f aca="false">IF($L350="","",INDEX('Price List'!$K$2:$K$1352,$L350)&amp;"")</f>
        <v>April (year not shown)</v>
      </c>
      <c r="L350" s="13" t="n">
        <f aca="false">IF(340&gt;$H$4,"",MATCH(340,'Price List'!$M$2:$M$1352,0))</f>
        <v>340</v>
      </c>
    </row>
    <row r="351" customFormat="false" ht="15" hidden="false" customHeight="false" outlineLevel="0" collapsed="false">
      <c r="A351" s="9" t="n">
        <v>341</v>
      </c>
      <c r="B351" s="10" t="str">
        <f aca="false">IF($L351="","",INDEX('Price List'!$B$2:$B$1352,$L351)&amp;"")</f>
        <v>NAPPCO (April list - latest)</v>
      </c>
      <c r="C351" s="10" t="str">
        <f aca="false">IF($L351="","",INDEX('Price List'!$C$2:$C$1352,$L351)&amp;"")</f>
        <v>Kraft Paper</v>
      </c>
      <c r="D351" s="11" t="str">
        <f aca="false">IF($L351="","",INDEX('Price List'!$D$2:$D$1352,$L351)&amp;"")</f>
        <v>Kraft Paper - Imported</v>
      </c>
      <c r="E351" s="11" t="str">
        <f aca="false">IF($L351="","",INDEX('Price List'!$E$2:$E$1352,$L351)&amp;"")</f>
        <v/>
      </c>
      <c r="F351" s="10" t="str">
        <f aca="false">IF($L351="","",INDEX('Price List'!$F$2:$F$1352,$L351)&amp;"")</f>
        <v>125 (155#)</v>
      </c>
      <c r="G351" s="10" t="str">
        <f aca="false">IF($L351="","",INDEX('Price List'!$G$2:$G$1352,$L351)&amp;"")</f>
        <v>36 x 48</v>
      </c>
      <c r="H351" s="10" t="str">
        <f aca="false">IF($L351="","",INDEX('Price List'!$H$2:$H$1352,$L351)&amp;"")</f>
        <v>sheet</v>
      </c>
      <c r="I351" s="12" t="n">
        <f aca="false">IF($L351="","",IF(INDEX('Price List'!$I$2:$I$1352,$L351)="","",INDEX('Price List'!$I$2:$I$1352,$L351)))</f>
        <v>10.9</v>
      </c>
      <c r="J351" s="11" t="str">
        <f aca="false">IF($L351="","",INDEX('Price List'!$J$2:$J$1352,$L351)&amp;"")</f>
        <v/>
      </c>
      <c r="K351" s="10" t="str">
        <f aca="false">IF($L351="","",INDEX('Price List'!$K$2:$K$1352,$L351)&amp;"")</f>
        <v>April (year not shown)</v>
      </c>
      <c r="L351" s="13" t="n">
        <f aca="false">IF(341&gt;$H$4,"",MATCH(341,'Price List'!$M$2:$M$1352,0))</f>
        <v>341</v>
      </c>
    </row>
    <row r="352" customFormat="false" ht="15" hidden="false" customHeight="false" outlineLevel="0" collapsed="false">
      <c r="A352" s="9" t="n">
        <v>342</v>
      </c>
      <c r="B352" s="10" t="str">
        <f aca="false">IF($L352="","",INDEX('Price List'!$B$2:$B$1352,$L352)&amp;"")</f>
        <v>NAPPCO (April list - latest)</v>
      </c>
      <c r="C352" s="10" t="str">
        <f aca="false">IF($L352="","",INDEX('Price List'!$C$2:$C$1352,$L352)&amp;"")</f>
        <v>Kraft Paper</v>
      </c>
      <c r="D352" s="11" t="str">
        <f aca="false">IF($L352="","",INDEX('Price List'!$D$2:$D$1352,$L352)&amp;"")</f>
        <v>Kraft Paper - Kraft Top</v>
      </c>
      <c r="E352" s="11" t="str">
        <f aca="false">IF($L352="","",INDEX('Price List'!$E$2:$E$1352,$L352)&amp;"")</f>
        <v/>
      </c>
      <c r="F352" s="10" t="str">
        <f aca="false">IF($L352="","",INDEX('Price List'!$F$2:$F$1352,$L352)&amp;"")</f>
        <v>125 (155#)</v>
      </c>
      <c r="G352" s="10" t="str">
        <f aca="false">IF($L352="","",INDEX('Price List'!$G$2:$G$1352,$L352)&amp;"")</f>
        <v>36 x 48</v>
      </c>
      <c r="H352" s="10" t="str">
        <f aca="false">IF($L352="","",INDEX('Price List'!$H$2:$H$1352,$L352)&amp;"")</f>
        <v>sheet</v>
      </c>
      <c r="I352" s="12" t="n">
        <f aca="false">IF($L352="","",IF(INDEX('Price List'!$I$2:$I$1352,$L352)="","",INDEX('Price List'!$I$2:$I$1352,$L352)))</f>
        <v>8.3</v>
      </c>
      <c r="J352" s="11" t="str">
        <f aca="false">IF($L352="","",INDEX('Price List'!$J$2:$J$1352,$L352)&amp;"")</f>
        <v/>
      </c>
      <c r="K352" s="10" t="str">
        <f aca="false">IF($L352="","",INDEX('Price List'!$K$2:$K$1352,$L352)&amp;"")</f>
        <v>April (year not shown)</v>
      </c>
      <c r="L352" s="13" t="n">
        <f aca="false">IF(342&gt;$H$4,"",MATCH(342,'Price List'!$M$2:$M$1352,0))</f>
        <v>342</v>
      </c>
    </row>
    <row r="353" customFormat="false" ht="15" hidden="false" customHeight="false" outlineLevel="0" collapsed="false">
      <c r="A353" s="9" t="n">
        <v>343</v>
      </c>
      <c r="B353" s="10" t="str">
        <f aca="false">IF($L353="","",INDEX('Price List'!$B$2:$B$1352,$L353)&amp;"")</f>
        <v>NAPPCO (April list - latest)</v>
      </c>
      <c r="C353" s="10" t="str">
        <f aca="false">IF($L353="","",INDEX('Price List'!$C$2:$C$1352,$L353)&amp;"")</f>
        <v>Kraft Paper</v>
      </c>
      <c r="D353" s="11" t="str">
        <f aca="false">IF($L353="","",INDEX('Price List'!$D$2:$D$1352,$L353)&amp;"")</f>
        <v>Kraft Paper - Imported</v>
      </c>
      <c r="E353" s="11" t="str">
        <f aca="false">IF($L353="","",INDEX('Price List'!$E$2:$E$1352,$L353)&amp;"")</f>
        <v/>
      </c>
      <c r="F353" s="10" t="str">
        <f aca="false">IF($L353="","",INDEX('Price List'!$F$2:$F$1352,$L353)&amp;"")</f>
        <v>130 (160#)</v>
      </c>
      <c r="G353" s="10" t="str">
        <f aca="false">IF($L353="","",INDEX('Price List'!$G$2:$G$1352,$L353)&amp;"")</f>
        <v>36 x 48</v>
      </c>
      <c r="H353" s="10" t="str">
        <f aca="false">IF($L353="","",INDEX('Price List'!$H$2:$H$1352,$L353)&amp;"")</f>
        <v>sheet</v>
      </c>
      <c r="I353" s="12" t="n">
        <f aca="false">IF($L353="","",IF(INDEX('Price List'!$I$2:$I$1352,$L353)="","",INDEX('Price List'!$I$2:$I$1352,$L353)))</f>
        <v>11.3</v>
      </c>
      <c r="J353" s="11" t="str">
        <f aca="false">IF($L353="","",INDEX('Price List'!$J$2:$J$1352,$L353)&amp;"")</f>
        <v/>
      </c>
      <c r="K353" s="10" t="str">
        <f aca="false">IF($L353="","",INDEX('Price List'!$K$2:$K$1352,$L353)&amp;"")</f>
        <v>April (year not shown)</v>
      </c>
      <c r="L353" s="13" t="n">
        <f aca="false">IF(343&gt;$H$4,"",MATCH(343,'Price List'!$M$2:$M$1352,0))</f>
        <v>343</v>
      </c>
    </row>
    <row r="354" customFormat="false" ht="15" hidden="false" customHeight="false" outlineLevel="0" collapsed="false">
      <c r="A354" s="9" t="n">
        <v>344</v>
      </c>
      <c r="B354" s="10" t="str">
        <f aca="false">IF($L354="","",INDEX('Price List'!$B$2:$B$1352,$L354)&amp;"")</f>
        <v>NAPPCO (April list - latest)</v>
      </c>
      <c r="C354" s="10" t="str">
        <f aca="false">IF($L354="","",INDEX('Price List'!$C$2:$C$1352,$L354)&amp;"")</f>
        <v>Kraft Paper</v>
      </c>
      <c r="D354" s="11" t="str">
        <f aca="false">IF($L354="","",INDEX('Price List'!$D$2:$D$1352,$L354)&amp;"")</f>
        <v>Kraft Paper - Bleach</v>
      </c>
      <c r="E354" s="11" t="str">
        <f aca="false">IF($L354="","",INDEX('Price List'!$E$2:$E$1352,$L354)&amp;"")</f>
        <v/>
      </c>
      <c r="F354" s="10" t="str">
        <f aca="false">IF($L354="","",INDEX('Price List'!$F$2:$F$1352,$L354)&amp;"")</f>
        <v>130 (160#)</v>
      </c>
      <c r="G354" s="10" t="str">
        <f aca="false">IF($L354="","",INDEX('Price List'!$G$2:$G$1352,$L354)&amp;"")</f>
        <v>36 x 48</v>
      </c>
      <c r="H354" s="10" t="str">
        <f aca="false">IF($L354="","",INDEX('Price List'!$H$2:$H$1352,$L354)&amp;"")</f>
        <v>sheet</v>
      </c>
      <c r="I354" s="12" t="n">
        <f aca="false">IF($L354="","",IF(INDEX('Price List'!$I$2:$I$1352,$L354)="","",INDEX('Price List'!$I$2:$I$1352,$L354)))</f>
        <v>13.5</v>
      </c>
      <c r="J354" s="11" t="str">
        <f aca="false">IF($L354="","",INDEX('Price List'!$J$2:$J$1352,$L354)&amp;"")</f>
        <v/>
      </c>
      <c r="K354" s="10" t="str">
        <f aca="false">IF($L354="","",INDEX('Price List'!$K$2:$K$1352,$L354)&amp;"")</f>
        <v>April (year not shown)</v>
      </c>
      <c r="L354" s="13" t="n">
        <f aca="false">IF(344&gt;$H$4,"",MATCH(344,'Price List'!$M$2:$M$1352,0))</f>
        <v>344</v>
      </c>
    </row>
    <row r="355" customFormat="false" ht="15" hidden="false" customHeight="false" outlineLevel="0" collapsed="false">
      <c r="A355" s="9" t="n">
        <v>345</v>
      </c>
      <c r="B355" s="10" t="str">
        <f aca="false">IF($L355="","",INDEX('Price List'!$B$2:$B$1352,$L355)&amp;"")</f>
        <v>NAPPCO (April list - latest)</v>
      </c>
      <c r="C355" s="10" t="str">
        <f aca="false">IF($L355="","",INDEX('Price List'!$C$2:$C$1352,$L355)&amp;"")</f>
        <v>Kraft Paper</v>
      </c>
      <c r="D355" s="11" t="str">
        <f aca="false">IF($L355="","",INDEX('Price List'!$D$2:$D$1352,$L355)&amp;"")</f>
        <v>Kraft Paper - Imported</v>
      </c>
      <c r="E355" s="11" t="str">
        <f aca="false">IF($L355="","",INDEX('Price List'!$E$2:$E$1352,$L355)&amp;"")</f>
        <v/>
      </c>
      <c r="F355" s="10" t="str">
        <f aca="false">IF($L355="","",INDEX('Price List'!$F$2:$F$1352,$L355)&amp;"")</f>
        <v>135 (165#)</v>
      </c>
      <c r="G355" s="10" t="str">
        <f aca="false">IF($L355="","",INDEX('Price List'!$G$2:$G$1352,$L355)&amp;"")</f>
        <v>36 x 48</v>
      </c>
      <c r="H355" s="10" t="str">
        <f aca="false">IF($L355="","",INDEX('Price List'!$H$2:$H$1352,$L355)&amp;"")</f>
        <v>sheet</v>
      </c>
      <c r="I355" s="12" t="n">
        <f aca="false">IF($L355="","",IF(INDEX('Price List'!$I$2:$I$1352,$L355)="","",INDEX('Price List'!$I$2:$I$1352,$L355)))</f>
        <v>11.75</v>
      </c>
      <c r="J355" s="11" t="str">
        <f aca="false">IF($L355="","",INDEX('Price List'!$J$2:$J$1352,$L355)&amp;"")</f>
        <v/>
      </c>
      <c r="K355" s="10" t="str">
        <f aca="false">IF($L355="","",INDEX('Price List'!$K$2:$K$1352,$L355)&amp;"")</f>
        <v>April (year not shown)</v>
      </c>
      <c r="L355" s="13" t="n">
        <f aca="false">IF(345&gt;$H$4,"",MATCH(345,'Price List'!$M$2:$M$1352,0))</f>
        <v>345</v>
      </c>
    </row>
    <row r="356" customFormat="false" ht="15" hidden="false" customHeight="false" outlineLevel="0" collapsed="false">
      <c r="A356" s="9" t="n">
        <v>346</v>
      </c>
      <c r="B356" s="10" t="str">
        <f aca="false">IF($L356="","",INDEX('Price List'!$B$2:$B$1352,$L356)&amp;"")</f>
        <v>NAPPCO (April list - latest)</v>
      </c>
      <c r="C356" s="10" t="str">
        <f aca="false">IF($L356="","",INDEX('Price List'!$C$2:$C$1352,$L356)&amp;"")</f>
        <v>Kraft Paper</v>
      </c>
      <c r="D356" s="11" t="str">
        <f aca="false">IF($L356="","",INDEX('Price List'!$D$2:$D$1352,$L356)&amp;"")</f>
        <v>Kraft Paper - Local</v>
      </c>
      <c r="E356" s="11" t="str">
        <f aca="false">IF($L356="","",INDEX('Price List'!$E$2:$E$1352,$L356)&amp;"")</f>
        <v/>
      </c>
      <c r="F356" s="10" t="str">
        <f aca="false">IF($L356="","",INDEX('Price List'!$F$2:$F$1352,$L356)&amp;"")</f>
        <v>140 (175#)</v>
      </c>
      <c r="G356" s="10" t="str">
        <f aca="false">IF($L356="","",INDEX('Price List'!$G$2:$G$1352,$L356)&amp;"")</f>
        <v>36 x 48</v>
      </c>
      <c r="H356" s="10" t="str">
        <f aca="false">IF($L356="","",INDEX('Price List'!$H$2:$H$1352,$L356)&amp;"")</f>
        <v>sheet</v>
      </c>
      <c r="I356" s="12" t="n">
        <f aca="false">IF($L356="","",IF(INDEX('Price List'!$I$2:$I$1352,$L356)="","",INDEX('Price List'!$I$2:$I$1352,$L356)))</f>
        <v>7.4</v>
      </c>
      <c r="J356" s="11" t="str">
        <f aca="false">IF($L356="","",INDEX('Price List'!$J$2:$J$1352,$L356)&amp;"")</f>
        <v/>
      </c>
      <c r="K356" s="10" t="str">
        <f aca="false">IF($L356="","",INDEX('Price List'!$K$2:$K$1352,$L356)&amp;"")</f>
        <v>April (year not shown)</v>
      </c>
      <c r="L356" s="13" t="n">
        <f aca="false">IF(346&gt;$H$4,"",MATCH(346,'Price List'!$M$2:$M$1352,0))</f>
        <v>346</v>
      </c>
    </row>
    <row r="357" customFormat="false" ht="15" hidden="false" customHeight="false" outlineLevel="0" collapsed="false">
      <c r="A357" s="9" t="n">
        <v>347</v>
      </c>
      <c r="B357" s="10" t="str">
        <f aca="false">IF($L357="","",INDEX('Price List'!$B$2:$B$1352,$L357)&amp;"")</f>
        <v>NAPPCO (April list - latest)</v>
      </c>
      <c r="C357" s="10" t="str">
        <f aca="false">IF($L357="","",INDEX('Price List'!$C$2:$C$1352,$L357)&amp;"")</f>
        <v>Kraft Paper</v>
      </c>
      <c r="D357" s="11" t="str">
        <f aca="false">IF($L357="","",INDEX('Price List'!$D$2:$D$1352,$L357)&amp;"")</f>
        <v>Kraft Paper - Imported</v>
      </c>
      <c r="E357" s="11" t="str">
        <f aca="false">IF($L357="","",INDEX('Price List'!$E$2:$E$1352,$L357)&amp;"")</f>
        <v/>
      </c>
      <c r="F357" s="10" t="str">
        <f aca="false">IF($L357="","",INDEX('Price List'!$F$2:$F$1352,$L357)&amp;"")</f>
        <v>140 (175#)</v>
      </c>
      <c r="G357" s="10" t="str">
        <f aca="false">IF($L357="","",INDEX('Price List'!$G$2:$G$1352,$L357)&amp;"")</f>
        <v>36 x 48</v>
      </c>
      <c r="H357" s="10" t="str">
        <f aca="false">IF($L357="","",INDEX('Price List'!$H$2:$H$1352,$L357)&amp;"")</f>
        <v>sheet</v>
      </c>
      <c r="I357" s="12" t="n">
        <f aca="false">IF($L357="","",IF(INDEX('Price List'!$I$2:$I$1352,$L357)="","",INDEX('Price List'!$I$2:$I$1352,$L357)))</f>
        <v>12.2</v>
      </c>
      <c r="J357" s="11" t="str">
        <f aca="false">IF($L357="","",INDEX('Price List'!$J$2:$J$1352,$L357)&amp;"")</f>
        <v/>
      </c>
      <c r="K357" s="10" t="str">
        <f aca="false">IF($L357="","",INDEX('Price List'!$K$2:$K$1352,$L357)&amp;"")</f>
        <v>April (year not shown)</v>
      </c>
      <c r="L357" s="13" t="n">
        <f aca="false">IF(347&gt;$H$4,"",MATCH(347,'Price List'!$M$2:$M$1352,0))</f>
        <v>347</v>
      </c>
    </row>
    <row r="358" customFormat="false" ht="15" hidden="false" customHeight="false" outlineLevel="0" collapsed="false">
      <c r="A358" s="9" t="n">
        <v>348</v>
      </c>
      <c r="B358" s="10" t="str">
        <f aca="false">IF($L358="","",INDEX('Price List'!$B$2:$B$1352,$L358)&amp;"")</f>
        <v>NAPPCO (April list - latest)</v>
      </c>
      <c r="C358" s="10" t="str">
        <f aca="false">IF($L358="","",INDEX('Price List'!$C$2:$C$1352,$L358)&amp;"")</f>
        <v>Kraft Paper</v>
      </c>
      <c r="D358" s="11" t="str">
        <f aca="false">IF($L358="","",INDEX('Price List'!$D$2:$D$1352,$L358)&amp;"")</f>
        <v>Kraft Paper - Kraft Top</v>
      </c>
      <c r="E358" s="11" t="str">
        <f aca="false">IF($L358="","",INDEX('Price List'!$E$2:$E$1352,$L358)&amp;"")</f>
        <v/>
      </c>
      <c r="F358" s="10" t="str">
        <f aca="false">IF($L358="","",INDEX('Price List'!$F$2:$F$1352,$L358)&amp;"")</f>
        <v>140 (175#)</v>
      </c>
      <c r="G358" s="10" t="str">
        <f aca="false">IF($L358="","",INDEX('Price List'!$G$2:$G$1352,$L358)&amp;"")</f>
        <v>36 x 48</v>
      </c>
      <c r="H358" s="10" t="str">
        <f aca="false">IF($L358="","",INDEX('Price List'!$H$2:$H$1352,$L358)&amp;"")</f>
        <v>sheet</v>
      </c>
      <c r="I358" s="12" t="n">
        <f aca="false">IF($L358="","",IF(INDEX('Price List'!$I$2:$I$1352,$L358)="","",INDEX('Price List'!$I$2:$I$1352,$L358)))</f>
        <v>9.3</v>
      </c>
      <c r="J358" s="11" t="str">
        <f aca="false">IF($L358="","",INDEX('Price List'!$J$2:$J$1352,$L358)&amp;"")</f>
        <v/>
      </c>
      <c r="K358" s="10" t="str">
        <f aca="false">IF($L358="","",INDEX('Price List'!$K$2:$K$1352,$L358)&amp;"")</f>
        <v>April (year not shown)</v>
      </c>
      <c r="L358" s="13" t="n">
        <f aca="false">IF(348&gt;$H$4,"",MATCH(348,'Price List'!$M$2:$M$1352,0))</f>
        <v>348</v>
      </c>
    </row>
    <row r="359" customFormat="false" ht="15" hidden="false" customHeight="false" outlineLevel="0" collapsed="false">
      <c r="A359" s="9" t="n">
        <v>349</v>
      </c>
      <c r="B359" s="10" t="str">
        <f aca="false">IF($L359="","",INDEX('Price List'!$B$2:$B$1352,$L359)&amp;"")</f>
        <v>NAPPCO (April list - latest)</v>
      </c>
      <c r="C359" s="10" t="str">
        <f aca="false">IF($L359="","",INDEX('Price List'!$C$2:$C$1352,$L359)&amp;"")</f>
        <v>Kraft Paper</v>
      </c>
      <c r="D359" s="11" t="str">
        <f aca="false">IF($L359="","",INDEX('Price List'!$D$2:$D$1352,$L359)&amp;"")</f>
        <v>Kraft Paper - Local</v>
      </c>
      <c r="E359" s="11" t="str">
        <f aca="false">IF($L359="","",INDEX('Price List'!$E$2:$E$1352,$L359)&amp;"")</f>
        <v/>
      </c>
      <c r="F359" s="10" t="str">
        <f aca="false">IF($L359="","",INDEX('Price List'!$F$2:$F$1352,$L359)&amp;"")</f>
        <v>150 (185#)</v>
      </c>
      <c r="G359" s="10" t="str">
        <f aca="false">IF($L359="","",INDEX('Price List'!$G$2:$G$1352,$L359)&amp;"")</f>
        <v>36 x 48</v>
      </c>
      <c r="H359" s="10" t="str">
        <f aca="false">IF($L359="","",INDEX('Price List'!$H$2:$H$1352,$L359)&amp;"")</f>
        <v>sheet</v>
      </c>
      <c r="I359" s="12" t="n">
        <f aca="false">IF($L359="","",IF(INDEX('Price List'!$I$2:$I$1352,$L359)="","",INDEX('Price List'!$I$2:$I$1352,$L359)))</f>
        <v>7.9</v>
      </c>
      <c r="J359" s="11" t="str">
        <f aca="false">IF($L359="","",INDEX('Price List'!$J$2:$J$1352,$L359)&amp;"")</f>
        <v/>
      </c>
      <c r="K359" s="10" t="str">
        <f aca="false">IF($L359="","",INDEX('Price List'!$K$2:$K$1352,$L359)&amp;"")</f>
        <v>April (year not shown)</v>
      </c>
      <c r="L359" s="13" t="n">
        <f aca="false">IF(349&gt;$H$4,"",MATCH(349,'Price List'!$M$2:$M$1352,0))</f>
        <v>349</v>
      </c>
    </row>
    <row r="360" customFormat="false" ht="15" hidden="false" customHeight="false" outlineLevel="0" collapsed="false">
      <c r="A360" s="9" t="n">
        <v>350</v>
      </c>
      <c r="B360" s="10" t="str">
        <f aca="false">IF($L360="","",INDEX('Price List'!$B$2:$B$1352,$L360)&amp;"")</f>
        <v>NAPPCO (April list - latest)</v>
      </c>
      <c r="C360" s="10" t="str">
        <f aca="false">IF($L360="","",INDEX('Price List'!$C$2:$C$1352,$L360)&amp;"")</f>
        <v>Kraft Paper</v>
      </c>
      <c r="D360" s="11" t="str">
        <f aca="false">IF($L360="","",INDEX('Price List'!$D$2:$D$1352,$L360)&amp;"")</f>
        <v>Kraft Paper - Imported</v>
      </c>
      <c r="E360" s="11" t="str">
        <f aca="false">IF($L360="","",INDEX('Price List'!$E$2:$E$1352,$L360)&amp;"")</f>
        <v/>
      </c>
      <c r="F360" s="10" t="str">
        <f aca="false">IF($L360="","",INDEX('Price List'!$F$2:$F$1352,$L360)&amp;"")</f>
        <v>150 (185#)</v>
      </c>
      <c r="G360" s="10" t="str">
        <f aca="false">IF($L360="","",INDEX('Price List'!$G$2:$G$1352,$L360)&amp;"")</f>
        <v>36 x 48</v>
      </c>
      <c r="H360" s="10" t="str">
        <f aca="false">IF($L360="","",INDEX('Price List'!$H$2:$H$1352,$L360)&amp;"")</f>
        <v>sheet</v>
      </c>
      <c r="I360" s="12" t="n">
        <f aca="false">IF($L360="","",IF(INDEX('Price List'!$I$2:$I$1352,$L360)="","",INDEX('Price List'!$I$2:$I$1352,$L360)))</f>
        <v>13</v>
      </c>
      <c r="J360" s="11" t="str">
        <f aca="false">IF($L360="","",INDEX('Price List'!$J$2:$J$1352,$L360)&amp;"")</f>
        <v/>
      </c>
      <c r="K360" s="10" t="str">
        <f aca="false">IF($L360="","",INDEX('Price List'!$K$2:$K$1352,$L360)&amp;"")</f>
        <v>April (year not shown)</v>
      </c>
      <c r="L360" s="13" t="n">
        <f aca="false">IF(350&gt;$H$4,"",MATCH(350,'Price List'!$M$2:$M$1352,0))</f>
        <v>350</v>
      </c>
    </row>
    <row r="361" customFormat="false" ht="15" hidden="false" customHeight="false" outlineLevel="0" collapsed="false">
      <c r="A361" s="9" t="n">
        <v>351</v>
      </c>
      <c r="B361" s="10" t="str">
        <f aca="false">IF($L361="","",INDEX('Price List'!$B$2:$B$1352,$L361)&amp;"")</f>
        <v>NAPPCO (April list - latest)</v>
      </c>
      <c r="C361" s="10" t="str">
        <f aca="false">IF($L361="","",INDEX('Price List'!$C$2:$C$1352,$L361)&amp;"")</f>
        <v>Kraft Paper</v>
      </c>
      <c r="D361" s="11" t="str">
        <f aca="false">IF($L361="","",INDEX('Price List'!$D$2:$D$1352,$L361)&amp;"")</f>
        <v>Kraft Paper - Local</v>
      </c>
      <c r="E361" s="11" t="str">
        <f aca="false">IF($L361="","",INDEX('Price List'!$E$2:$E$1352,$L361)&amp;"")</f>
        <v/>
      </c>
      <c r="F361" s="10" t="str">
        <f aca="false">IF($L361="","",INDEX('Price List'!$F$2:$F$1352,$L361)&amp;"")</f>
        <v>170 (210#)</v>
      </c>
      <c r="G361" s="10" t="str">
        <f aca="false">IF($L361="","",INDEX('Price List'!$G$2:$G$1352,$L361)&amp;"")</f>
        <v>36 x 48</v>
      </c>
      <c r="H361" s="10" t="str">
        <f aca="false">IF($L361="","",INDEX('Price List'!$H$2:$H$1352,$L361)&amp;"")</f>
        <v>sheet</v>
      </c>
      <c r="I361" s="12" t="n">
        <f aca="false">IF($L361="","",IF(INDEX('Price List'!$I$2:$I$1352,$L361)="","",INDEX('Price List'!$I$2:$I$1352,$L361)))</f>
        <v>8.9</v>
      </c>
      <c r="J361" s="11" t="str">
        <f aca="false">IF($L361="","",INDEX('Price List'!$J$2:$J$1352,$L361)&amp;"")</f>
        <v/>
      </c>
      <c r="K361" s="10" t="str">
        <f aca="false">IF($L361="","",INDEX('Price List'!$K$2:$K$1352,$L361)&amp;"")</f>
        <v>April (year not shown)</v>
      </c>
      <c r="L361" s="13" t="n">
        <f aca="false">IF(351&gt;$H$4,"",MATCH(351,'Price List'!$M$2:$M$1352,0))</f>
        <v>351</v>
      </c>
    </row>
    <row r="362" customFormat="false" ht="15" hidden="false" customHeight="false" outlineLevel="0" collapsed="false">
      <c r="A362" s="9" t="n">
        <v>352</v>
      </c>
      <c r="B362" s="10" t="str">
        <f aca="false">IF($L362="","",INDEX('Price List'!$B$2:$B$1352,$L362)&amp;"")</f>
        <v>NAPPCO (April list - latest)</v>
      </c>
      <c r="C362" s="10" t="str">
        <f aca="false">IF($L362="","",INDEX('Price List'!$C$2:$C$1352,$L362)&amp;"")</f>
        <v>Kraft Paper</v>
      </c>
      <c r="D362" s="11" t="str">
        <f aca="false">IF($L362="","",INDEX('Price List'!$D$2:$D$1352,$L362)&amp;"")</f>
        <v>Kraft Paper - Local</v>
      </c>
      <c r="E362" s="11" t="str">
        <f aca="false">IF($L362="","",INDEX('Price List'!$E$2:$E$1352,$L362)&amp;"")</f>
        <v/>
      </c>
      <c r="F362" s="10" t="str">
        <f aca="false">IF($L362="","",INDEX('Price List'!$F$2:$F$1352,$L362)&amp;"")</f>
        <v>200 (245#)</v>
      </c>
      <c r="G362" s="10" t="str">
        <f aca="false">IF($L362="","",INDEX('Price List'!$G$2:$G$1352,$L362)&amp;"")</f>
        <v>36 x 48</v>
      </c>
      <c r="H362" s="10" t="str">
        <f aca="false">IF($L362="","",INDEX('Price List'!$H$2:$H$1352,$L362)&amp;"")</f>
        <v>sheet</v>
      </c>
      <c r="I362" s="12" t="n">
        <f aca="false">IF($L362="","",IF(INDEX('Price List'!$I$2:$I$1352,$L362)="","",INDEX('Price List'!$I$2:$I$1352,$L362)))</f>
        <v>10.5</v>
      </c>
      <c r="J362" s="11" t="str">
        <f aca="false">IF($L362="","",INDEX('Price List'!$J$2:$J$1352,$L362)&amp;"")</f>
        <v/>
      </c>
      <c r="K362" s="10" t="str">
        <f aca="false">IF($L362="","",INDEX('Price List'!$K$2:$K$1352,$L362)&amp;"")</f>
        <v>April (year not shown)</v>
      </c>
      <c r="L362" s="13" t="n">
        <f aca="false">IF(352&gt;$H$4,"",MATCH(352,'Price List'!$M$2:$M$1352,0))</f>
        <v>352</v>
      </c>
    </row>
    <row r="363" customFormat="false" ht="15" hidden="false" customHeight="false" outlineLevel="0" collapsed="false">
      <c r="A363" s="9" t="n">
        <v>353</v>
      </c>
      <c r="B363" s="10" t="str">
        <f aca="false">IF($L363="","",INDEX('Price List'!$B$2:$B$1352,$L363)&amp;"")</f>
        <v>NAPPCO (April list - latest)</v>
      </c>
      <c r="C363" s="10" t="str">
        <f aca="false">IF($L363="","",INDEX('Price List'!$C$2:$C$1352,$L363)&amp;"")</f>
        <v>Kraft Paper</v>
      </c>
      <c r="D363" s="11" t="str">
        <f aca="false">IF($L363="","",INDEX('Price List'!$D$2:$D$1352,$L363)&amp;"")</f>
        <v>Kraft Paper - Local</v>
      </c>
      <c r="E363" s="11" t="str">
        <f aca="false">IF($L363="","",INDEX('Price List'!$E$2:$E$1352,$L363)&amp;"")</f>
        <v/>
      </c>
      <c r="F363" s="10" t="str">
        <f aca="false">IF($L363="","",INDEX('Price List'!$F$2:$F$1352,$L363)&amp;"")</f>
        <v>250 (300#)</v>
      </c>
      <c r="G363" s="10" t="str">
        <f aca="false">IF($L363="","",INDEX('Price List'!$G$2:$G$1352,$L363)&amp;"")</f>
        <v>36 x 48</v>
      </c>
      <c r="H363" s="10" t="str">
        <f aca="false">IF($L363="","",INDEX('Price List'!$H$2:$H$1352,$L363)&amp;"")</f>
        <v>sheet</v>
      </c>
      <c r="I363" s="12" t="n">
        <f aca="false">IF($L363="","",IF(INDEX('Price List'!$I$2:$I$1352,$L363)="","",INDEX('Price List'!$I$2:$I$1352,$L363)))</f>
        <v>13.1</v>
      </c>
      <c r="J363" s="11" t="str">
        <f aca="false">IF($L363="","",INDEX('Price List'!$J$2:$J$1352,$L363)&amp;"")</f>
        <v/>
      </c>
      <c r="K363" s="10" t="str">
        <f aca="false">IF($L363="","",INDEX('Price List'!$K$2:$K$1352,$L363)&amp;"")</f>
        <v>April (year not shown)</v>
      </c>
      <c r="L363" s="13" t="n">
        <f aca="false">IF(353&gt;$H$4,"",MATCH(353,'Price List'!$M$2:$M$1352,0))</f>
        <v>353</v>
      </c>
    </row>
    <row r="364" customFormat="false" ht="15" hidden="false" customHeight="false" outlineLevel="0" collapsed="false">
      <c r="A364" s="9" t="n">
        <v>354</v>
      </c>
      <c r="B364" s="10" t="str">
        <f aca="false">IF($L364="","",INDEX('Price List'!$B$2:$B$1352,$L364)&amp;"")</f>
        <v>NAPPCO (April list - latest)</v>
      </c>
      <c r="C364" s="10" t="str">
        <f aca="false">IF($L364="","",INDEX('Price List'!$C$2:$C$1352,$L364)&amp;"")</f>
        <v>Kraft Paper</v>
      </c>
      <c r="D364" s="11" t="str">
        <f aca="false">IF($L364="","",INDEX('Price List'!$D$2:$D$1352,$L364)&amp;"")</f>
        <v>Kraft Paper - Kraft Top</v>
      </c>
      <c r="E364" s="11" t="str">
        <f aca="false">IF($L364="","",INDEX('Price List'!$E$2:$E$1352,$L364)&amp;"")</f>
        <v/>
      </c>
      <c r="F364" s="10" t="str">
        <f aca="false">IF($L364="","",INDEX('Price List'!$F$2:$F$1352,$L364)&amp;"")</f>
        <v>250 (300#)</v>
      </c>
      <c r="G364" s="10" t="str">
        <f aca="false">IF($L364="","",INDEX('Price List'!$G$2:$G$1352,$L364)&amp;"")</f>
        <v>36 x 48</v>
      </c>
      <c r="H364" s="10" t="str">
        <f aca="false">IF($L364="","",INDEX('Price List'!$H$2:$H$1352,$L364)&amp;"")</f>
        <v>sheet</v>
      </c>
      <c r="I364" s="12" t="n">
        <f aca="false">IF($L364="","",IF(INDEX('Price List'!$I$2:$I$1352,$L364)="","",INDEX('Price List'!$I$2:$I$1352,$L364)))</f>
        <v>16.5</v>
      </c>
      <c r="J364" s="11" t="str">
        <f aca="false">IF($L364="","",INDEX('Price List'!$J$2:$J$1352,$L364)&amp;"")</f>
        <v/>
      </c>
      <c r="K364" s="10" t="str">
        <f aca="false">IF($L364="","",INDEX('Price List'!$K$2:$K$1352,$L364)&amp;"")</f>
        <v>April (year not shown)</v>
      </c>
      <c r="L364" s="13" t="n">
        <f aca="false">IF(354&gt;$H$4,"",MATCH(354,'Price List'!$M$2:$M$1352,0))</f>
        <v>354</v>
      </c>
    </row>
    <row r="365" customFormat="false" ht="15" hidden="false" customHeight="false" outlineLevel="0" collapsed="false">
      <c r="A365" s="9" t="n">
        <v>355</v>
      </c>
      <c r="B365" s="10" t="str">
        <f aca="false">IF($L365="","",INDEX('Price List'!$B$2:$B$1352,$L365)&amp;"")</f>
        <v>NAPPCO (April list - latest)</v>
      </c>
      <c r="C365" s="10" t="str">
        <f aca="false">IF($L365="","",INDEX('Price List'!$C$2:$C$1352,$L365)&amp;"")</f>
        <v>Kraft Paper</v>
      </c>
      <c r="D365" s="11" t="str">
        <f aca="false">IF($L365="","",INDEX('Price List'!$D$2:$D$1352,$L365)&amp;"")</f>
        <v>Kraft Paper - Local</v>
      </c>
      <c r="E365" s="11" t="str">
        <f aca="false">IF($L365="","",INDEX('Price List'!$E$2:$E$1352,$L365)&amp;"")</f>
        <v/>
      </c>
      <c r="F365" s="10" t="str">
        <f aca="false">IF($L365="","",INDEX('Price List'!$F$2:$F$1352,$L365)&amp;"")</f>
        <v>300 (400#)</v>
      </c>
      <c r="G365" s="10" t="str">
        <f aca="false">IF($L365="","",INDEX('Price List'!$G$2:$G$1352,$L365)&amp;"")</f>
        <v>36 x 48</v>
      </c>
      <c r="H365" s="10" t="str">
        <f aca="false">IF($L365="","",INDEX('Price List'!$H$2:$H$1352,$L365)&amp;"")</f>
        <v>sheet</v>
      </c>
      <c r="I365" s="12" t="n">
        <f aca="false">IF($L365="","",IF(INDEX('Price List'!$I$2:$I$1352,$L365)="","",INDEX('Price List'!$I$2:$I$1352,$L365)))</f>
        <v>15.7</v>
      </c>
      <c r="J365" s="11" t="str">
        <f aca="false">IF($L365="","",INDEX('Price List'!$J$2:$J$1352,$L365)&amp;"")</f>
        <v/>
      </c>
      <c r="K365" s="10" t="str">
        <f aca="false">IF($L365="","",INDEX('Price List'!$K$2:$K$1352,$L365)&amp;"")</f>
        <v>April (year not shown)</v>
      </c>
      <c r="L365" s="13" t="n">
        <f aca="false">IF(355&gt;$H$4,"",MATCH(355,'Price List'!$M$2:$M$1352,0))</f>
        <v>355</v>
      </c>
    </row>
    <row r="366" customFormat="false" ht="23.85" hidden="false" customHeight="false" outlineLevel="0" collapsed="false">
      <c r="A366" s="9" t="n">
        <v>356</v>
      </c>
      <c r="B366" s="10" t="str">
        <f aca="false">IF($L366="","",INDEX('Price List'!$B$2:$B$1352,$L366)&amp;"")</f>
        <v>NAPPCO (April list - latest)</v>
      </c>
      <c r="C366" s="10" t="str">
        <f aca="false">IF($L366="","",INDEX('Price List'!$C$2:$C$1352,$L366)&amp;"")</f>
        <v>Kraft Paper</v>
      </c>
      <c r="D366" s="11" t="str">
        <f aca="false">IF($L366="","",INDEX('Price List'!$D$2:$D$1352,$L366)&amp;"")</f>
        <v>Kraft Paper - Local</v>
      </c>
      <c r="E366" s="11" t="str">
        <f aca="false">IF($L366="","",INDEX('Price List'!$E$2:$E$1352,$L366)&amp;"")</f>
        <v>Kilo price</v>
      </c>
      <c r="F366" s="10" t="str">
        <f aca="false">IF($L366="","",INDEX('Price List'!$F$2:$F$1352,$L366)&amp;"")</f>
        <v/>
      </c>
      <c r="G366" s="10" t="str">
        <f aca="false">IF($L366="","",INDEX('Price List'!$G$2:$G$1352,$L366)&amp;"")</f>
        <v/>
      </c>
      <c r="H366" s="10" t="str">
        <f aca="false">IF($L366="","",INDEX('Price List'!$H$2:$H$1352,$L366)&amp;"")</f>
        <v>per kg</v>
      </c>
      <c r="I366" s="12" t="n">
        <f aca="false">IF($L366="","",IF(INDEX('Price List'!$I$2:$I$1352,$L366)="","",INDEX('Price List'!$I$2:$I$1352,$L366)))</f>
        <v>47</v>
      </c>
      <c r="J366" s="11" t="str">
        <f aca="false">IF($L366="","",INDEX('Price List'!$J$2:$J$1352,$L366)&amp;"")</f>
        <v>Counter roll: add 35%. Kraft GSM = lbs x 1.6276 x 2. KFSK 35-40gsm price per kilo is 70.</v>
      </c>
      <c r="K366" s="10" t="str">
        <f aca="false">IF($L366="","",INDEX('Price List'!$K$2:$K$1352,$L366)&amp;"")</f>
        <v>April (year not shown)</v>
      </c>
      <c r="L366" s="13" t="n">
        <f aca="false">IF(356&gt;$H$4,"",MATCH(356,'Price List'!$M$2:$M$1352,0))</f>
        <v>356</v>
      </c>
    </row>
    <row r="367" customFormat="false" ht="23.85" hidden="false" customHeight="false" outlineLevel="0" collapsed="false">
      <c r="A367" s="9" t="n">
        <v>357</v>
      </c>
      <c r="B367" s="10" t="str">
        <f aca="false">IF($L367="","",INDEX('Price List'!$B$2:$B$1352,$L367)&amp;"")</f>
        <v>NAPPCO (April list - latest)</v>
      </c>
      <c r="C367" s="10" t="str">
        <f aca="false">IF($L367="","",INDEX('Price List'!$C$2:$C$1352,$L367)&amp;"")</f>
        <v>Kraft Paper</v>
      </c>
      <c r="D367" s="11" t="str">
        <f aca="false">IF($L367="","",INDEX('Price List'!$D$2:$D$1352,$L367)&amp;"")</f>
        <v>Kraft Paper - Imported</v>
      </c>
      <c r="E367" s="11" t="str">
        <f aca="false">IF($L367="","",INDEX('Price List'!$E$2:$E$1352,$L367)&amp;"")</f>
        <v>Kilo price</v>
      </c>
      <c r="F367" s="10" t="str">
        <f aca="false">IF($L367="","",INDEX('Price List'!$F$2:$F$1352,$L367)&amp;"")</f>
        <v/>
      </c>
      <c r="G367" s="10" t="str">
        <f aca="false">IF($L367="","",INDEX('Price List'!$G$2:$G$1352,$L367)&amp;"")</f>
        <v/>
      </c>
      <c r="H367" s="10" t="str">
        <f aca="false">IF($L367="","",INDEX('Price List'!$H$2:$H$1352,$L367)&amp;"")</f>
        <v>per kg</v>
      </c>
      <c r="I367" s="12" t="n">
        <f aca="false">IF($L367="","",IF(INDEX('Price List'!$I$2:$I$1352,$L367)="","",INDEX('Price List'!$I$2:$I$1352,$L367)))</f>
        <v>78</v>
      </c>
      <c r="J367" s="11" t="str">
        <f aca="false">IF($L367="","",INDEX('Price List'!$J$2:$J$1352,$L367)&amp;"")</f>
        <v>Counter roll: add 35%. Kraft GSM = lbs x 1.6276 x 2. KFSK 35-40gsm price per kilo is 70.</v>
      </c>
      <c r="K367" s="10" t="str">
        <f aca="false">IF($L367="","",INDEX('Price List'!$K$2:$K$1352,$L367)&amp;"")</f>
        <v>April (year not shown)</v>
      </c>
      <c r="L367" s="13" t="n">
        <f aca="false">IF(357&gt;$H$4,"",MATCH(357,'Price List'!$M$2:$M$1352,0))</f>
        <v>357</v>
      </c>
    </row>
    <row r="368" customFormat="false" ht="23.85" hidden="false" customHeight="false" outlineLevel="0" collapsed="false">
      <c r="A368" s="9" t="n">
        <v>358</v>
      </c>
      <c r="B368" s="10" t="str">
        <f aca="false">IF($L368="","",INDEX('Price List'!$B$2:$B$1352,$L368)&amp;"")</f>
        <v>NAPPCO (April list - latest)</v>
      </c>
      <c r="C368" s="10" t="str">
        <f aca="false">IF($L368="","",INDEX('Price List'!$C$2:$C$1352,$L368)&amp;"")</f>
        <v>Kraft Paper</v>
      </c>
      <c r="D368" s="11" t="str">
        <f aca="false">IF($L368="","",INDEX('Price List'!$D$2:$D$1352,$L368)&amp;"")</f>
        <v>Kraft Paper - Bleach</v>
      </c>
      <c r="E368" s="11" t="str">
        <f aca="false">IF($L368="","",INDEX('Price List'!$E$2:$E$1352,$L368)&amp;"")</f>
        <v>Kilo price</v>
      </c>
      <c r="F368" s="10" t="str">
        <f aca="false">IF($L368="","",INDEX('Price List'!$F$2:$F$1352,$L368)&amp;"")</f>
        <v/>
      </c>
      <c r="G368" s="10" t="str">
        <f aca="false">IF($L368="","",INDEX('Price List'!$G$2:$G$1352,$L368)&amp;"")</f>
        <v/>
      </c>
      <c r="H368" s="10" t="str">
        <f aca="false">IF($L368="","",INDEX('Price List'!$H$2:$H$1352,$L368)&amp;"")</f>
        <v>per kg</v>
      </c>
      <c r="I368" s="12" t="n">
        <f aca="false">IF($L368="","",IF(INDEX('Price List'!$I$2:$I$1352,$L368)="","",INDEX('Price List'!$I$2:$I$1352,$L368)))</f>
        <v>93</v>
      </c>
      <c r="J368" s="11" t="str">
        <f aca="false">IF($L368="","",INDEX('Price List'!$J$2:$J$1352,$L368)&amp;"")</f>
        <v>Counter roll: add 35%. Kraft GSM = lbs x 1.6276 x 2. KFSK 35-40gsm price per kilo is 70.</v>
      </c>
      <c r="K368" s="10" t="str">
        <f aca="false">IF($L368="","",INDEX('Price List'!$K$2:$K$1352,$L368)&amp;"")</f>
        <v>April (year not shown)</v>
      </c>
      <c r="L368" s="13" t="n">
        <f aca="false">IF(358&gt;$H$4,"",MATCH(358,'Price List'!$M$2:$M$1352,0))</f>
        <v>358</v>
      </c>
    </row>
    <row r="369" customFormat="false" ht="23.85" hidden="false" customHeight="false" outlineLevel="0" collapsed="false">
      <c r="A369" s="9" t="n">
        <v>359</v>
      </c>
      <c r="B369" s="10" t="str">
        <f aca="false">IF($L369="","",INDEX('Price List'!$B$2:$B$1352,$L369)&amp;"")</f>
        <v>NAPPCO (April list - latest)</v>
      </c>
      <c r="C369" s="10" t="str">
        <f aca="false">IF($L369="","",INDEX('Price List'!$C$2:$C$1352,$L369)&amp;"")</f>
        <v>Kraft Paper</v>
      </c>
      <c r="D369" s="11" t="str">
        <f aca="false">IF($L369="","",INDEX('Price List'!$D$2:$D$1352,$L369)&amp;"")</f>
        <v>Kraft Paper - Kraft Top</v>
      </c>
      <c r="E369" s="11" t="str">
        <f aca="false">IF($L369="","",INDEX('Price List'!$E$2:$E$1352,$L369)&amp;"")</f>
        <v>Kilo price</v>
      </c>
      <c r="F369" s="10" t="str">
        <f aca="false">IF($L369="","",INDEX('Price List'!$F$2:$F$1352,$L369)&amp;"")</f>
        <v/>
      </c>
      <c r="G369" s="10" t="str">
        <f aca="false">IF($L369="","",INDEX('Price List'!$G$2:$G$1352,$L369)&amp;"")</f>
        <v/>
      </c>
      <c r="H369" s="10" t="str">
        <f aca="false">IF($L369="","",INDEX('Price List'!$H$2:$H$1352,$L369)&amp;"")</f>
        <v>per kg</v>
      </c>
      <c r="I369" s="12" t="n">
        <f aca="false">IF($L369="","",IF(INDEX('Price List'!$I$2:$I$1352,$L369)="","",INDEX('Price List'!$I$2:$I$1352,$L369)))</f>
        <v>62</v>
      </c>
      <c r="J369" s="11" t="str">
        <f aca="false">IF($L369="","",INDEX('Price List'!$J$2:$J$1352,$L369)&amp;"")</f>
        <v>Counter roll: add 35%. Kraft GSM = lbs x 1.6276 x 2. KFSK 35-40gsm price per kilo is 70.</v>
      </c>
      <c r="K369" s="10" t="str">
        <f aca="false">IF($L369="","",INDEX('Price List'!$K$2:$K$1352,$L369)&amp;"")</f>
        <v>April (year not shown)</v>
      </c>
      <c r="L369" s="13" t="n">
        <f aca="false">IF(359&gt;$H$4,"",MATCH(359,'Price List'!$M$2:$M$1352,0))</f>
        <v>359</v>
      </c>
    </row>
    <row r="370" customFormat="false" ht="15" hidden="false" customHeight="false" outlineLevel="0" collapsed="false">
      <c r="A370" s="9" t="n">
        <v>360</v>
      </c>
      <c r="B370" s="10" t="str">
        <f aca="false">IF($L370="","",INDEX('Price List'!$B$2:$B$1352,$L370)&amp;"")</f>
        <v>NAPPCO (April list - latest)</v>
      </c>
      <c r="C370" s="10" t="str">
        <f aca="false">IF($L370="","",INDEX('Price List'!$C$2:$C$1352,$L370)&amp;"")</f>
        <v>Carbonless Paper</v>
      </c>
      <c r="D370" s="11" t="str">
        <f aca="false">IF($L370="","",INDEX('Price List'!$D$2:$D$1352,$L370)&amp;"")</f>
        <v>CB White 48</v>
      </c>
      <c r="E370" s="11" t="str">
        <f aca="false">IF($L370="","",INDEX('Price List'!$E$2:$E$1352,$L370)&amp;"")</f>
        <v/>
      </c>
      <c r="F370" s="10" t="str">
        <f aca="false">IF($L370="","",INDEX('Price List'!$F$2:$F$1352,$L370)&amp;"")</f>
        <v/>
      </c>
      <c r="G370" s="10" t="str">
        <f aca="false">IF($L370="","",INDEX('Price List'!$G$2:$G$1352,$L370)&amp;"")</f>
        <v>34 x 22</v>
      </c>
      <c r="H370" s="10" t="str">
        <f aca="false">IF($L370="","",INDEX('Price List'!$H$2:$H$1352,$L370)&amp;"")</f>
        <v>ream</v>
      </c>
      <c r="I370" s="12" t="n">
        <f aca="false">IF($L370="","",IF(INDEX('Price List'!$I$2:$I$1352,$L370)="","",INDEX('Price List'!$I$2:$I$1352,$L370)))</f>
        <v>1550</v>
      </c>
      <c r="J370" s="11" t="str">
        <f aca="false">IF($L370="","",INDEX('Price List'!$J$2:$J$1352,$L370)&amp;"")</f>
        <v/>
      </c>
      <c r="K370" s="10" t="str">
        <f aca="false">IF($L370="","",INDEX('Price List'!$K$2:$K$1352,$L370)&amp;"")</f>
        <v>April (year not shown)</v>
      </c>
      <c r="L370" s="13" t="n">
        <f aca="false">IF(360&gt;$H$4,"",MATCH(360,'Price List'!$M$2:$M$1352,0))</f>
        <v>360</v>
      </c>
    </row>
    <row r="371" customFormat="false" ht="15" hidden="false" customHeight="false" outlineLevel="0" collapsed="false">
      <c r="A371" s="9" t="n">
        <v>361</v>
      </c>
      <c r="B371" s="10" t="str">
        <f aca="false">IF($L371="","",INDEX('Price List'!$B$2:$B$1352,$L371)&amp;"")</f>
        <v>NAPPCO (April list - latest)</v>
      </c>
      <c r="C371" s="10" t="str">
        <f aca="false">IF($L371="","",INDEX('Price List'!$C$2:$C$1352,$L371)&amp;"")</f>
        <v>Carbonless Paper</v>
      </c>
      <c r="D371" s="11" t="str">
        <f aca="false">IF($L371="","",INDEX('Price List'!$D$2:$D$1352,$L371)&amp;"")</f>
        <v>CB White 48</v>
      </c>
      <c r="E371" s="11" t="str">
        <f aca="false">IF($L371="","",INDEX('Price List'!$E$2:$E$1352,$L371)&amp;"")</f>
        <v/>
      </c>
      <c r="F371" s="10" t="str">
        <f aca="false">IF($L371="","",INDEX('Price List'!$F$2:$F$1352,$L371)&amp;"")</f>
        <v/>
      </c>
      <c r="G371" s="10" t="str">
        <f aca="false">IF($L371="","",INDEX('Price List'!$G$2:$G$1352,$L371)&amp;"")</f>
        <v>34 x 28</v>
      </c>
      <c r="H371" s="10" t="str">
        <f aca="false">IF($L371="","",INDEX('Price List'!$H$2:$H$1352,$L371)&amp;"")</f>
        <v>ream</v>
      </c>
      <c r="I371" s="12" t="n">
        <f aca="false">IF($L371="","",IF(INDEX('Price List'!$I$2:$I$1352,$L371)="","",INDEX('Price List'!$I$2:$I$1352,$L371)))</f>
        <v>1950</v>
      </c>
      <c r="J371" s="11" t="str">
        <f aca="false">IF($L371="","",INDEX('Price List'!$J$2:$J$1352,$L371)&amp;"")</f>
        <v/>
      </c>
      <c r="K371" s="10" t="str">
        <f aca="false">IF($L371="","",INDEX('Price List'!$K$2:$K$1352,$L371)&amp;"")</f>
        <v>April (year not shown)</v>
      </c>
      <c r="L371" s="13" t="n">
        <f aca="false">IF(361&gt;$H$4,"",MATCH(361,'Price List'!$M$2:$M$1352,0))</f>
        <v>361</v>
      </c>
    </row>
    <row r="372" customFormat="false" ht="15" hidden="false" customHeight="false" outlineLevel="0" collapsed="false">
      <c r="A372" s="9" t="n">
        <v>362</v>
      </c>
      <c r="B372" s="10" t="str">
        <f aca="false">IF($L372="","",INDEX('Price List'!$B$2:$B$1352,$L372)&amp;"")</f>
        <v>NAPPCO (April list - latest)</v>
      </c>
      <c r="C372" s="10" t="str">
        <f aca="false">IF($L372="","",INDEX('Price List'!$C$2:$C$1352,$L372)&amp;"")</f>
        <v>Carbonless Paper</v>
      </c>
      <c r="D372" s="11" t="str">
        <f aca="false">IF($L372="","",INDEX('Price List'!$D$2:$D$1352,$L372)&amp;"")</f>
        <v>CB White 55</v>
      </c>
      <c r="E372" s="11" t="str">
        <f aca="false">IF($L372="","",INDEX('Price List'!$E$2:$E$1352,$L372)&amp;"")</f>
        <v/>
      </c>
      <c r="F372" s="10" t="str">
        <f aca="false">IF($L372="","",INDEX('Price List'!$F$2:$F$1352,$L372)&amp;"")</f>
        <v/>
      </c>
      <c r="G372" s="10" t="str">
        <f aca="false">IF($L372="","",INDEX('Price List'!$G$2:$G$1352,$L372)&amp;"")</f>
        <v>34 x 22</v>
      </c>
      <c r="H372" s="10" t="str">
        <f aca="false">IF($L372="","",INDEX('Price List'!$H$2:$H$1352,$L372)&amp;"")</f>
        <v>ream</v>
      </c>
      <c r="I372" s="12" t="n">
        <f aca="false">IF($L372="","",IF(INDEX('Price List'!$I$2:$I$1352,$L372)="","",INDEX('Price List'!$I$2:$I$1352,$L372)))</f>
        <v>1800</v>
      </c>
      <c r="J372" s="11" t="str">
        <f aca="false">IF($L372="","",INDEX('Price List'!$J$2:$J$1352,$L372)&amp;"")</f>
        <v/>
      </c>
      <c r="K372" s="10" t="str">
        <f aca="false">IF($L372="","",INDEX('Price List'!$K$2:$K$1352,$L372)&amp;"")</f>
        <v>April (year not shown)</v>
      </c>
      <c r="L372" s="13" t="n">
        <f aca="false">IF(362&gt;$H$4,"",MATCH(362,'Price List'!$M$2:$M$1352,0))</f>
        <v>362</v>
      </c>
    </row>
    <row r="373" customFormat="false" ht="15" hidden="false" customHeight="false" outlineLevel="0" collapsed="false">
      <c r="A373" s="9" t="n">
        <v>363</v>
      </c>
      <c r="B373" s="10" t="str">
        <f aca="false">IF($L373="","",INDEX('Price List'!$B$2:$B$1352,$L373)&amp;"")</f>
        <v>NAPPCO (April list - latest)</v>
      </c>
      <c r="C373" s="10" t="str">
        <f aca="false">IF($L373="","",INDEX('Price List'!$C$2:$C$1352,$L373)&amp;"")</f>
        <v>Carbonless Paper</v>
      </c>
      <c r="D373" s="11" t="str">
        <f aca="false">IF($L373="","",INDEX('Price List'!$D$2:$D$1352,$L373)&amp;"")</f>
        <v>CB White 55</v>
      </c>
      <c r="E373" s="11" t="str">
        <f aca="false">IF($L373="","",INDEX('Price List'!$E$2:$E$1352,$L373)&amp;"")</f>
        <v/>
      </c>
      <c r="F373" s="10" t="str">
        <f aca="false">IF($L373="","",INDEX('Price List'!$F$2:$F$1352,$L373)&amp;"")</f>
        <v/>
      </c>
      <c r="G373" s="10" t="str">
        <f aca="false">IF($L373="","",INDEX('Price List'!$G$2:$G$1352,$L373)&amp;"")</f>
        <v>34 x 28</v>
      </c>
      <c r="H373" s="10" t="str">
        <f aca="false">IF($L373="","",INDEX('Price List'!$H$2:$H$1352,$L373)&amp;"")</f>
        <v>ream</v>
      </c>
      <c r="I373" s="12" t="n">
        <f aca="false">IF($L373="","",IF(INDEX('Price List'!$I$2:$I$1352,$L373)="","",INDEX('Price List'!$I$2:$I$1352,$L373)))</f>
        <v>2250</v>
      </c>
      <c r="J373" s="11" t="str">
        <f aca="false">IF($L373="","",INDEX('Price List'!$J$2:$J$1352,$L373)&amp;"")</f>
        <v/>
      </c>
      <c r="K373" s="10" t="str">
        <f aca="false">IF($L373="","",INDEX('Price List'!$K$2:$K$1352,$L373)&amp;"")</f>
        <v>April (year not shown)</v>
      </c>
      <c r="L373" s="13" t="n">
        <f aca="false">IF(363&gt;$H$4,"",MATCH(363,'Price List'!$M$2:$M$1352,0))</f>
        <v>363</v>
      </c>
    </row>
    <row r="374" customFormat="false" ht="15" hidden="false" customHeight="false" outlineLevel="0" collapsed="false">
      <c r="A374" s="9" t="n">
        <v>364</v>
      </c>
      <c r="B374" s="10" t="str">
        <f aca="false">IF($L374="","",INDEX('Price List'!$B$2:$B$1352,$L374)&amp;"")</f>
        <v>NAPPCO (April list - latest)</v>
      </c>
      <c r="C374" s="10" t="str">
        <f aca="false">IF($L374="","",INDEX('Price List'!$C$2:$C$1352,$L374)&amp;"")</f>
        <v>Carbonless Paper</v>
      </c>
      <c r="D374" s="11" t="str">
        <f aca="false">IF($L374="","",INDEX('Price List'!$D$2:$D$1352,$L374)&amp;"")</f>
        <v>CFB Color/White</v>
      </c>
      <c r="E374" s="11" t="str">
        <f aca="false">IF($L374="","",INDEX('Price List'!$E$2:$E$1352,$L374)&amp;"")</f>
        <v/>
      </c>
      <c r="F374" s="10" t="str">
        <f aca="false">IF($L374="","",INDEX('Price List'!$F$2:$F$1352,$L374)&amp;"")</f>
        <v/>
      </c>
      <c r="G374" s="10" t="str">
        <f aca="false">IF($L374="","",INDEX('Price List'!$G$2:$G$1352,$L374)&amp;"")</f>
        <v>34 x 22</v>
      </c>
      <c r="H374" s="10" t="str">
        <f aca="false">IF($L374="","",INDEX('Price List'!$H$2:$H$1352,$L374)&amp;"")</f>
        <v>ream</v>
      </c>
      <c r="I374" s="12" t="n">
        <f aca="false">IF($L374="","",IF(INDEX('Price List'!$I$2:$I$1352,$L374)="","",INDEX('Price List'!$I$2:$I$1352,$L374)))</f>
        <v>1650</v>
      </c>
      <c r="J374" s="11" t="str">
        <f aca="false">IF($L374="","",INDEX('Price List'!$J$2:$J$1352,$L374)&amp;"")</f>
        <v/>
      </c>
      <c r="K374" s="10" t="str">
        <f aca="false">IF($L374="","",INDEX('Price List'!$K$2:$K$1352,$L374)&amp;"")</f>
        <v>April (year not shown)</v>
      </c>
      <c r="L374" s="13" t="n">
        <f aca="false">IF(364&gt;$H$4,"",MATCH(364,'Price List'!$M$2:$M$1352,0))</f>
        <v>364</v>
      </c>
    </row>
    <row r="375" customFormat="false" ht="15" hidden="false" customHeight="false" outlineLevel="0" collapsed="false">
      <c r="A375" s="9" t="n">
        <v>365</v>
      </c>
      <c r="B375" s="10" t="str">
        <f aca="false">IF($L375="","",INDEX('Price List'!$B$2:$B$1352,$L375)&amp;"")</f>
        <v>NAPPCO (April list - latest)</v>
      </c>
      <c r="C375" s="10" t="str">
        <f aca="false">IF($L375="","",INDEX('Price List'!$C$2:$C$1352,$L375)&amp;"")</f>
        <v>Carbonless Paper</v>
      </c>
      <c r="D375" s="11" t="str">
        <f aca="false">IF($L375="","",INDEX('Price List'!$D$2:$D$1352,$L375)&amp;"")</f>
        <v>CFB Color/White</v>
      </c>
      <c r="E375" s="11" t="str">
        <f aca="false">IF($L375="","",INDEX('Price List'!$E$2:$E$1352,$L375)&amp;"")</f>
        <v/>
      </c>
      <c r="F375" s="10" t="str">
        <f aca="false">IF($L375="","",INDEX('Price List'!$F$2:$F$1352,$L375)&amp;"")</f>
        <v/>
      </c>
      <c r="G375" s="10" t="str">
        <f aca="false">IF($L375="","",INDEX('Price List'!$G$2:$G$1352,$L375)&amp;"")</f>
        <v>34 x 28</v>
      </c>
      <c r="H375" s="10" t="str">
        <f aca="false">IF($L375="","",INDEX('Price List'!$H$2:$H$1352,$L375)&amp;"")</f>
        <v>ream</v>
      </c>
      <c r="I375" s="12" t="n">
        <f aca="false">IF($L375="","",IF(INDEX('Price List'!$I$2:$I$1352,$L375)="","",INDEX('Price List'!$I$2:$I$1352,$L375)))</f>
        <v>2100</v>
      </c>
      <c r="J375" s="11" t="str">
        <f aca="false">IF($L375="","",INDEX('Price List'!$J$2:$J$1352,$L375)&amp;"")</f>
        <v/>
      </c>
      <c r="K375" s="10" t="str">
        <f aca="false">IF($L375="","",INDEX('Price List'!$K$2:$K$1352,$L375)&amp;"")</f>
        <v>April (year not shown)</v>
      </c>
      <c r="L375" s="13" t="n">
        <f aca="false">IF(365&gt;$H$4,"",MATCH(365,'Price List'!$M$2:$M$1352,0))</f>
        <v>365</v>
      </c>
    </row>
    <row r="376" customFormat="false" ht="15" hidden="false" customHeight="false" outlineLevel="0" collapsed="false">
      <c r="A376" s="9" t="n">
        <v>366</v>
      </c>
      <c r="B376" s="10" t="str">
        <f aca="false">IF($L376="","",INDEX('Price List'!$B$2:$B$1352,$L376)&amp;"")</f>
        <v>NAPPCO (April list - latest)</v>
      </c>
      <c r="C376" s="10" t="str">
        <f aca="false">IF($L376="","",INDEX('Price List'!$C$2:$C$1352,$L376)&amp;"")</f>
        <v>Carbonless Paper</v>
      </c>
      <c r="D376" s="11" t="str">
        <f aca="false">IF($L376="","",INDEX('Price List'!$D$2:$D$1352,$L376)&amp;"")</f>
        <v>CF Color/White</v>
      </c>
      <c r="E376" s="11" t="str">
        <f aca="false">IF($L376="","",INDEX('Price List'!$E$2:$E$1352,$L376)&amp;"")</f>
        <v/>
      </c>
      <c r="F376" s="10" t="str">
        <f aca="false">IF($L376="","",INDEX('Price List'!$F$2:$F$1352,$L376)&amp;"")</f>
        <v/>
      </c>
      <c r="G376" s="10" t="str">
        <f aca="false">IF($L376="","",INDEX('Price List'!$G$2:$G$1352,$L376)&amp;"")</f>
        <v>34 x 22</v>
      </c>
      <c r="H376" s="10" t="str">
        <f aca="false">IF($L376="","",INDEX('Price List'!$H$2:$H$1352,$L376)&amp;"")</f>
        <v>ream</v>
      </c>
      <c r="I376" s="12" t="n">
        <f aca="false">IF($L376="","",IF(INDEX('Price List'!$I$2:$I$1352,$L376)="","",INDEX('Price List'!$I$2:$I$1352,$L376)))</f>
        <v>1550</v>
      </c>
      <c r="J376" s="11" t="str">
        <f aca="false">IF($L376="","",INDEX('Price List'!$J$2:$J$1352,$L376)&amp;"")</f>
        <v/>
      </c>
      <c r="K376" s="10" t="str">
        <f aca="false">IF($L376="","",INDEX('Price List'!$K$2:$K$1352,$L376)&amp;"")</f>
        <v>April (year not shown)</v>
      </c>
      <c r="L376" s="13" t="n">
        <f aca="false">IF(366&gt;$H$4,"",MATCH(366,'Price List'!$M$2:$M$1352,0))</f>
        <v>366</v>
      </c>
    </row>
    <row r="377" customFormat="false" ht="15" hidden="false" customHeight="false" outlineLevel="0" collapsed="false">
      <c r="A377" s="9" t="n">
        <v>367</v>
      </c>
      <c r="B377" s="10" t="str">
        <f aca="false">IF($L377="","",INDEX('Price List'!$B$2:$B$1352,$L377)&amp;"")</f>
        <v>NAPPCO (April list - latest)</v>
      </c>
      <c r="C377" s="10" t="str">
        <f aca="false">IF($L377="","",INDEX('Price List'!$C$2:$C$1352,$L377)&amp;"")</f>
        <v>Carbonless Paper</v>
      </c>
      <c r="D377" s="11" t="str">
        <f aca="false">IF($L377="","",INDEX('Price List'!$D$2:$D$1352,$L377)&amp;"")</f>
        <v>CF Color/White</v>
      </c>
      <c r="E377" s="11" t="str">
        <f aca="false">IF($L377="","",INDEX('Price List'!$E$2:$E$1352,$L377)&amp;"")</f>
        <v/>
      </c>
      <c r="F377" s="10" t="str">
        <f aca="false">IF($L377="","",INDEX('Price List'!$F$2:$F$1352,$L377)&amp;"")</f>
        <v/>
      </c>
      <c r="G377" s="10" t="str">
        <f aca="false">IF($L377="","",INDEX('Price List'!$G$2:$G$1352,$L377)&amp;"")</f>
        <v>34 x 28</v>
      </c>
      <c r="H377" s="10" t="str">
        <f aca="false">IF($L377="","",INDEX('Price List'!$H$2:$H$1352,$L377)&amp;"")</f>
        <v>ream</v>
      </c>
      <c r="I377" s="12" t="n">
        <f aca="false">IF($L377="","",IF(INDEX('Price List'!$I$2:$I$1352,$L377)="","",INDEX('Price List'!$I$2:$I$1352,$L377)))</f>
        <v>1950</v>
      </c>
      <c r="J377" s="11" t="str">
        <f aca="false">IF($L377="","",INDEX('Price List'!$J$2:$J$1352,$L377)&amp;"")</f>
        <v/>
      </c>
      <c r="K377" s="10" t="str">
        <f aca="false">IF($L377="","",INDEX('Price List'!$K$2:$K$1352,$L377)&amp;"")</f>
        <v>April (year not shown)</v>
      </c>
      <c r="L377" s="13" t="n">
        <f aca="false">IF(367&gt;$H$4,"",MATCH(367,'Price List'!$M$2:$M$1352,0))</f>
        <v>367</v>
      </c>
    </row>
    <row r="378" customFormat="false" ht="15" hidden="false" customHeight="false" outlineLevel="0" collapsed="false">
      <c r="A378" s="9" t="n">
        <v>368</v>
      </c>
      <c r="B378" s="10" t="str">
        <f aca="false">IF($L378="","",INDEX('Price List'!$B$2:$B$1352,$L378)&amp;"")</f>
        <v>NAPPCO (April list - latest)</v>
      </c>
      <c r="C378" s="10" t="str">
        <f aca="false">IF($L378="","",INDEX('Price List'!$C$2:$C$1352,$L378)&amp;"")</f>
        <v>Cast Coated (Kromkote)</v>
      </c>
      <c r="D378" s="11" t="str">
        <f aca="false">IF($L378="","",INDEX('Price List'!$D$2:$D$1352,$L378)&amp;"")</f>
        <v>Kromkote</v>
      </c>
      <c r="E378" s="11" t="str">
        <f aca="false">IF($L378="","",INDEX('Price List'!$E$2:$E$1352,$L378)&amp;"")</f>
        <v/>
      </c>
      <c r="F378" s="10" t="str">
        <f aca="false">IF($L378="","",INDEX('Price List'!$F$2:$F$1352,$L378)&amp;"")</f>
        <v>#60</v>
      </c>
      <c r="G378" s="10" t="str">
        <f aca="false">IF($L378="","",INDEX('Price List'!$G$2:$G$1352,$L378)&amp;"")</f>
        <v/>
      </c>
      <c r="H378" s="10" t="str">
        <f aca="false">IF($L378="","",INDEX('Price List'!$H$2:$H$1352,$L378)&amp;"")</f>
        <v>ream</v>
      </c>
      <c r="I378" s="12" t="n">
        <f aca="false">IF($L378="","",IF(INDEX('Price List'!$I$2:$I$1352,$L378)="","",INDEX('Price List'!$I$2:$I$1352,$L378)))</f>
        <v>3790</v>
      </c>
      <c r="J378" s="11" t="str">
        <f aca="false">IF($L378="","",INDEX('Price List'!$J$2:$J$1352,$L378)&amp;"")</f>
        <v>Handwritten update; printed P3,830</v>
      </c>
      <c r="K378" s="10" t="str">
        <f aca="false">IF($L378="","",INDEX('Price List'!$K$2:$K$1352,$L378)&amp;"")</f>
        <v>April (year not shown)</v>
      </c>
      <c r="L378" s="13" t="n">
        <f aca="false">IF(368&gt;$H$4,"",MATCH(368,'Price List'!$M$2:$M$1352,0))</f>
        <v>368</v>
      </c>
    </row>
    <row r="379" customFormat="false" ht="15" hidden="false" customHeight="false" outlineLevel="0" collapsed="false">
      <c r="A379" s="9" t="n">
        <v>369</v>
      </c>
      <c r="B379" s="10" t="str">
        <f aca="false">IF($L379="","",INDEX('Price List'!$B$2:$B$1352,$L379)&amp;"")</f>
        <v>NAPPCO (April list - latest)</v>
      </c>
      <c r="C379" s="10" t="str">
        <f aca="false">IF($L379="","",INDEX('Price List'!$C$2:$C$1352,$L379)&amp;"")</f>
        <v>Cast Coated (Kromkote)</v>
      </c>
      <c r="D379" s="11" t="str">
        <f aca="false">IF($L379="","",INDEX('Price List'!$D$2:$D$1352,$L379)&amp;"")</f>
        <v>Kromkote</v>
      </c>
      <c r="E379" s="11" t="str">
        <f aca="false">IF($L379="","",INDEX('Price List'!$E$2:$E$1352,$L379)&amp;"")</f>
        <v/>
      </c>
      <c r="F379" s="10" t="str">
        <f aca="false">IF($L379="","",INDEX('Price List'!$F$2:$F$1352,$L379)&amp;"")</f>
        <v>#189</v>
      </c>
      <c r="G379" s="10" t="str">
        <f aca="false">IF($L379="","",INDEX('Price List'!$G$2:$G$1352,$L379)&amp;"")</f>
        <v/>
      </c>
      <c r="H379" s="10" t="str">
        <f aca="false">IF($L379="","",INDEX('Price List'!$H$2:$H$1352,$L379)&amp;"")</f>
        <v>ream</v>
      </c>
      <c r="I379" s="12" t="n">
        <f aca="false">IF($L379="","",IF(INDEX('Price List'!$I$2:$I$1352,$L379)="","",INDEX('Price List'!$I$2:$I$1352,$L379)))</f>
        <v>19.5</v>
      </c>
      <c r="J379" s="11" t="str">
        <f aca="false">IF($L379="","",INDEX('Price List'!$J$2:$J$1352,$L379)&amp;"")</f>
        <v>Per sheet</v>
      </c>
      <c r="K379" s="10" t="str">
        <f aca="false">IF($L379="","",INDEX('Price List'!$K$2:$K$1352,$L379)&amp;"")</f>
        <v>April (year not shown)</v>
      </c>
      <c r="L379" s="13" t="n">
        <f aca="false">IF(369&gt;$H$4,"",MATCH(369,'Price List'!$M$2:$M$1352,0))</f>
        <v>369</v>
      </c>
    </row>
    <row r="380" customFormat="false" ht="15" hidden="false" customHeight="false" outlineLevel="0" collapsed="false">
      <c r="A380" s="9" t="n">
        <v>370</v>
      </c>
      <c r="B380" s="10" t="str">
        <f aca="false">IF($L380="","",INDEX('Price List'!$B$2:$B$1352,$L380)&amp;"")</f>
        <v>NAPPCO (April list - latest)</v>
      </c>
      <c r="C380" s="10" t="str">
        <f aca="false">IF($L380="","",INDEX('Price List'!$C$2:$C$1352,$L380)&amp;"")</f>
        <v>Sticker Paper</v>
      </c>
      <c r="D380" s="11" t="str">
        <f aca="false">IF($L380="","",INDEX('Price List'!$D$2:$D$1352,$L380)&amp;"")</f>
        <v>WB/YB Sticker - Satin 80g</v>
      </c>
      <c r="E380" s="11" t="str">
        <f aca="false">IF($L380="","",INDEX('Price List'!$E$2:$E$1352,$L380)&amp;"")</f>
        <v/>
      </c>
      <c r="F380" s="10" t="str">
        <f aca="false">IF($L380="","",INDEX('Price List'!$F$2:$F$1352,$L380)&amp;"")</f>
        <v/>
      </c>
      <c r="G380" s="10" t="str">
        <f aca="false">IF($L380="","",INDEX('Price List'!$G$2:$G$1352,$L380)&amp;"")</f>
        <v>24 x 36</v>
      </c>
      <c r="H380" s="10" t="str">
        <f aca="false">IF($L380="","",INDEX('Price List'!$H$2:$H$1352,$L380)&amp;"")</f>
        <v>sheet</v>
      </c>
      <c r="I380" s="12" t="n">
        <f aca="false">IF($L380="","",IF(INDEX('Price List'!$I$2:$I$1352,$L380)="","",INDEX('Price List'!$I$2:$I$1352,$L380)))</f>
        <v>12.5</v>
      </c>
      <c r="J380" s="11" t="str">
        <f aca="false">IF($L380="","",INDEX('Price List'!$J$2:$J$1352,$L380)&amp;"")</f>
        <v/>
      </c>
      <c r="K380" s="10" t="str">
        <f aca="false">IF($L380="","",INDEX('Price List'!$K$2:$K$1352,$L380)&amp;"")</f>
        <v>April (year not shown)</v>
      </c>
      <c r="L380" s="13" t="n">
        <f aca="false">IF(370&gt;$H$4,"",MATCH(370,'Price List'!$M$2:$M$1352,0))</f>
        <v>370</v>
      </c>
    </row>
    <row r="381" customFormat="false" ht="15" hidden="false" customHeight="false" outlineLevel="0" collapsed="false">
      <c r="A381" s="9" t="n">
        <v>371</v>
      </c>
      <c r="B381" s="10" t="str">
        <f aca="false">IF($L381="","",INDEX('Price List'!$B$2:$B$1352,$L381)&amp;"")</f>
        <v>NAPPCO (April list - latest)</v>
      </c>
      <c r="C381" s="10" t="str">
        <f aca="false">IF($L381="","",INDEX('Price List'!$C$2:$C$1352,$L381)&amp;"")</f>
        <v>Sticker Paper</v>
      </c>
      <c r="D381" s="11" t="str">
        <f aca="false">IF($L381="","",INDEX('Price List'!$D$2:$D$1352,$L381)&amp;"")</f>
        <v>WB/YB Sticker - Hi-Gloss 80g</v>
      </c>
      <c r="E381" s="11" t="str">
        <f aca="false">IF($L381="","",INDEX('Price List'!$E$2:$E$1352,$L381)&amp;"")</f>
        <v/>
      </c>
      <c r="F381" s="10" t="str">
        <f aca="false">IF($L381="","",INDEX('Price List'!$F$2:$F$1352,$L381)&amp;"")</f>
        <v/>
      </c>
      <c r="G381" s="10" t="str">
        <f aca="false">IF($L381="","",INDEX('Price List'!$G$2:$G$1352,$L381)&amp;"")</f>
        <v>24 x 36</v>
      </c>
      <c r="H381" s="10" t="str">
        <f aca="false">IF($L381="","",INDEX('Price List'!$H$2:$H$1352,$L381)&amp;"")</f>
        <v>sheet</v>
      </c>
      <c r="I381" s="12" t="n">
        <f aca="false">IF($L381="","",IF(INDEX('Price List'!$I$2:$I$1352,$L381)="","",INDEX('Price List'!$I$2:$I$1352,$L381)))</f>
        <v>13.5</v>
      </c>
      <c r="J381" s="11" t="str">
        <f aca="false">IF($L381="","",INDEX('Price List'!$J$2:$J$1352,$L381)&amp;"")</f>
        <v/>
      </c>
      <c r="K381" s="10" t="str">
        <f aca="false">IF($L381="","",INDEX('Price List'!$K$2:$K$1352,$L381)&amp;"")</f>
        <v>April (year not shown)</v>
      </c>
      <c r="L381" s="13" t="n">
        <f aca="false">IF(371&gt;$H$4,"",MATCH(371,'Price List'!$M$2:$M$1352,0))</f>
        <v>371</v>
      </c>
    </row>
    <row r="382" customFormat="false" ht="15" hidden="false" customHeight="false" outlineLevel="0" collapsed="false">
      <c r="A382" s="9" t="n">
        <v>372</v>
      </c>
      <c r="B382" s="10" t="str">
        <f aca="false">IF($L382="","",INDEX('Price List'!$B$2:$B$1352,$L382)&amp;"")</f>
        <v>NAPPCO (April list - latest)</v>
      </c>
      <c r="C382" s="10" t="str">
        <f aca="false">IF($L382="","",INDEX('Price List'!$C$2:$C$1352,$L382)&amp;"")</f>
        <v>Sticker Paper</v>
      </c>
      <c r="D382" s="11" t="str">
        <f aca="false">IF($L382="","",INDEX('Price List'!$D$2:$D$1352,$L382)&amp;"")</f>
        <v>WB/YB Sticker - Book 80g</v>
      </c>
      <c r="E382" s="11" t="str">
        <f aca="false">IF($L382="","",INDEX('Price List'!$E$2:$E$1352,$L382)&amp;"")</f>
        <v/>
      </c>
      <c r="F382" s="10" t="str">
        <f aca="false">IF($L382="","",INDEX('Price List'!$F$2:$F$1352,$L382)&amp;"")</f>
        <v/>
      </c>
      <c r="G382" s="10" t="str">
        <f aca="false">IF($L382="","",INDEX('Price List'!$G$2:$G$1352,$L382)&amp;"")</f>
        <v>24 x 36</v>
      </c>
      <c r="H382" s="10" t="str">
        <f aca="false">IF($L382="","",INDEX('Price List'!$H$2:$H$1352,$L382)&amp;"")</f>
        <v>sheet</v>
      </c>
      <c r="I382" s="12" t="n">
        <f aca="false">IF($L382="","",IF(INDEX('Price List'!$I$2:$I$1352,$L382)="","",INDEX('Price List'!$I$2:$I$1352,$L382)))</f>
        <v>14.5</v>
      </c>
      <c r="J382" s="11" t="str">
        <f aca="false">IF($L382="","",INDEX('Price List'!$J$2:$J$1352,$L382)&amp;"")</f>
        <v/>
      </c>
      <c r="K382" s="10" t="str">
        <f aca="false">IF($L382="","",INDEX('Price List'!$K$2:$K$1352,$L382)&amp;"")</f>
        <v>April (year not shown)</v>
      </c>
      <c r="L382" s="13" t="n">
        <f aca="false">IF(372&gt;$H$4,"",MATCH(372,'Price List'!$M$2:$M$1352,0))</f>
        <v>372</v>
      </c>
    </row>
    <row r="383" customFormat="false" ht="15" hidden="false" customHeight="false" outlineLevel="0" collapsed="false">
      <c r="A383" s="9" t="n">
        <v>373</v>
      </c>
      <c r="B383" s="10" t="str">
        <f aca="false">IF($L383="","",INDEX('Price List'!$B$2:$B$1352,$L383)&amp;"")</f>
        <v>NAPPCO (April list - latest)</v>
      </c>
      <c r="C383" s="10" t="str">
        <f aca="false">IF($L383="","",INDEX('Price List'!$C$2:$C$1352,$L383)&amp;"")</f>
        <v>Sticker Paper</v>
      </c>
      <c r="D383" s="11" t="str">
        <f aca="false">IF($L383="","",INDEX('Price List'!$D$2:$D$1352,$L383)&amp;"")</f>
        <v>WB/YB Sticker - Satin 85g</v>
      </c>
      <c r="E383" s="11" t="str">
        <f aca="false">IF($L383="","",INDEX('Price List'!$E$2:$E$1352,$L383)&amp;"")</f>
        <v/>
      </c>
      <c r="F383" s="10" t="str">
        <f aca="false">IF($L383="","",INDEX('Price List'!$F$2:$F$1352,$L383)&amp;"")</f>
        <v/>
      </c>
      <c r="G383" s="10" t="str">
        <f aca="false">IF($L383="","",INDEX('Price List'!$G$2:$G$1352,$L383)&amp;"")</f>
        <v>24 x 36</v>
      </c>
      <c r="H383" s="10" t="str">
        <f aca="false">IF($L383="","",INDEX('Price List'!$H$2:$H$1352,$L383)&amp;"")</f>
        <v>sheet</v>
      </c>
      <c r="I383" s="12" t="n">
        <f aca="false">IF($L383="","",IF(INDEX('Price List'!$I$2:$I$1352,$L383)="","",INDEX('Price List'!$I$2:$I$1352,$L383)))</f>
        <v>13.5</v>
      </c>
      <c r="J383" s="11" t="str">
        <f aca="false">IF($L383="","",INDEX('Price List'!$J$2:$J$1352,$L383)&amp;"")</f>
        <v/>
      </c>
      <c r="K383" s="10" t="str">
        <f aca="false">IF($L383="","",INDEX('Price List'!$K$2:$K$1352,$L383)&amp;"")</f>
        <v>April (year not shown)</v>
      </c>
      <c r="L383" s="13" t="n">
        <f aca="false">IF(373&gt;$H$4,"",MATCH(373,'Price List'!$M$2:$M$1352,0))</f>
        <v>373</v>
      </c>
    </row>
    <row r="384" customFormat="false" ht="15" hidden="false" customHeight="false" outlineLevel="0" collapsed="false">
      <c r="A384" s="9" t="n">
        <v>374</v>
      </c>
      <c r="B384" s="10" t="str">
        <f aca="false">IF($L384="","",INDEX('Price List'!$B$2:$B$1352,$L384)&amp;"")</f>
        <v>NAPPCO (April list - latest)</v>
      </c>
      <c r="C384" s="10" t="str">
        <f aca="false">IF($L384="","",INDEX('Price List'!$C$2:$C$1352,$L384)&amp;"")</f>
        <v>Sticker Paper</v>
      </c>
      <c r="D384" s="11" t="str">
        <f aca="false">IF($L384="","",INDEX('Price List'!$D$2:$D$1352,$L384)&amp;"")</f>
        <v>WB/YB Sticker - Hi-Gloss 85g</v>
      </c>
      <c r="E384" s="11" t="str">
        <f aca="false">IF($L384="","",INDEX('Price List'!$E$2:$E$1352,$L384)&amp;"")</f>
        <v/>
      </c>
      <c r="F384" s="10" t="str">
        <f aca="false">IF($L384="","",INDEX('Price List'!$F$2:$F$1352,$L384)&amp;"")</f>
        <v/>
      </c>
      <c r="G384" s="10" t="str">
        <f aca="false">IF($L384="","",INDEX('Price List'!$G$2:$G$1352,$L384)&amp;"")</f>
        <v>24 x 36</v>
      </c>
      <c r="H384" s="10" t="str">
        <f aca="false">IF($L384="","",INDEX('Price List'!$H$2:$H$1352,$L384)&amp;"")</f>
        <v>sheet</v>
      </c>
      <c r="I384" s="12" t="n">
        <f aca="false">IF($L384="","",IF(INDEX('Price List'!$I$2:$I$1352,$L384)="","",INDEX('Price List'!$I$2:$I$1352,$L384)))</f>
        <v>14.5</v>
      </c>
      <c r="J384" s="11" t="str">
        <f aca="false">IF($L384="","",INDEX('Price List'!$J$2:$J$1352,$L384)&amp;"")</f>
        <v/>
      </c>
      <c r="K384" s="10" t="str">
        <f aca="false">IF($L384="","",INDEX('Price List'!$K$2:$K$1352,$L384)&amp;"")</f>
        <v>April (year not shown)</v>
      </c>
      <c r="L384" s="13" t="n">
        <f aca="false">IF(374&gt;$H$4,"",MATCH(374,'Price List'!$M$2:$M$1352,0))</f>
        <v>374</v>
      </c>
    </row>
    <row r="385" customFormat="false" ht="15" hidden="false" customHeight="false" outlineLevel="0" collapsed="false">
      <c r="A385" s="9" t="n">
        <v>375</v>
      </c>
      <c r="B385" s="10" t="str">
        <f aca="false">IF($L385="","",INDEX('Price List'!$B$2:$B$1352,$L385)&amp;"")</f>
        <v>NAPPCO (April list - latest)</v>
      </c>
      <c r="C385" s="10" t="str">
        <f aca="false">IF($L385="","",INDEX('Price List'!$C$2:$C$1352,$L385)&amp;"")</f>
        <v>Sticker Paper</v>
      </c>
      <c r="D385" s="11" t="str">
        <f aca="false">IF($L385="","",INDEX('Price List'!$D$2:$D$1352,$L385)&amp;"")</f>
        <v>WB/YB Sticker - Book 85g</v>
      </c>
      <c r="E385" s="11" t="str">
        <f aca="false">IF($L385="","",INDEX('Price List'!$E$2:$E$1352,$L385)&amp;"")</f>
        <v/>
      </c>
      <c r="F385" s="10" t="str">
        <f aca="false">IF($L385="","",INDEX('Price List'!$F$2:$F$1352,$L385)&amp;"")</f>
        <v/>
      </c>
      <c r="G385" s="10" t="str">
        <f aca="false">IF($L385="","",INDEX('Price List'!$G$2:$G$1352,$L385)&amp;"")</f>
        <v>24 x 36</v>
      </c>
      <c r="H385" s="10" t="str">
        <f aca="false">IF($L385="","",INDEX('Price List'!$H$2:$H$1352,$L385)&amp;"")</f>
        <v>sheet</v>
      </c>
      <c r="I385" s="12" t="n">
        <f aca="false">IF($L385="","",IF(INDEX('Price List'!$I$2:$I$1352,$L385)="","",INDEX('Price List'!$I$2:$I$1352,$L385)))</f>
        <v>15.5</v>
      </c>
      <c r="J385" s="11" t="str">
        <f aca="false">IF($L385="","",INDEX('Price List'!$J$2:$J$1352,$L385)&amp;"")</f>
        <v/>
      </c>
      <c r="K385" s="10" t="str">
        <f aca="false">IF($L385="","",INDEX('Price List'!$K$2:$K$1352,$L385)&amp;"")</f>
        <v>April (year not shown)</v>
      </c>
      <c r="L385" s="13" t="n">
        <f aca="false">IF(375&gt;$H$4,"",MATCH(375,'Price List'!$M$2:$M$1352,0))</f>
        <v>375</v>
      </c>
    </row>
    <row r="386" customFormat="false" ht="15" hidden="false" customHeight="false" outlineLevel="0" collapsed="false">
      <c r="A386" s="9" t="n">
        <v>376</v>
      </c>
      <c r="B386" s="10" t="str">
        <f aca="false">IF($L386="","",INDEX('Price List'!$B$2:$B$1352,$L386)&amp;"")</f>
        <v>NAPPCO (April list - latest)</v>
      </c>
      <c r="C386" s="10" t="str">
        <f aca="false">IF($L386="","",INDEX('Price List'!$C$2:$C$1352,$L386)&amp;"")</f>
        <v>Greaseproof Paper</v>
      </c>
      <c r="D386" s="11" t="str">
        <f aca="false">IF($L386="","",INDEX('Price List'!$D$2:$D$1352,$L386)&amp;"")</f>
        <v>Greaseproof</v>
      </c>
      <c r="E386" s="11" t="str">
        <f aca="false">IF($L386="","",INDEX('Price List'!$E$2:$E$1352,$L386)&amp;"")</f>
        <v/>
      </c>
      <c r="F386" s="10" t="str">
        <f aca="false">IF($L386="","",INDEX('Price List'!$F$2:$F$1352,$L386)&amp;"")</f>
        <v>26gsm</v>
      </c>
      <c r="G386" s="10" t="str">
        <f aca="false">IF($L386="","",INDEX('Price List'!$G$2:$G$1352,$L386)&amp;"")</f>
        <v>24 x 36</v>
      </c>
      <c r="H386" s="10" t="str">
        <f aca="false">IF($L386="","",INDEX('Price List'!$H$2:$H$1352,$L386)&amp;"")</f>
        <v>ream</v>
      </c>
      <c r="I386" s="12" t="n">
        <f aca="false">IF($L386="","",IF(INDEX('Price List'!$I$2:$I$1352,$L386)="","",INDEX('Price List'!$I$2:$I$1352,$L386)))</f>
        <v>1025</v>
      </c>
      <c r="J386" s="11" t="str">
        <f aca="false">IF($L386="","",INDEX('Price List'!$J$2:$J$1352,$L386)&amp;"")</f>
        <v/>
      </c>
      <c r="K386" s="10" t="str">
        <f aca="false">IF($L386="","",INDEX('Price List'!$K$2:$K$1352,$L386)&amp;"")</f>
        <v>April (year not shown)</v>
      </c>
      <c r="L386" s="13" t="n">
        <f aca="false">IF(376&gt;$H$4,"",MATCH(376,'Price List'!$M$2:$M$1352,0))</f>
        <v>376</v>
      </c>
    </row>
    <row r="387" customFormat="false" ht="15" hidden="false" customHeight="false" outlineLevel="0" collapsed="false">
      <c r="A387" s="9" t="n">
        <v>377</v>
      </c>
      <c r="B387" s="10" t="str">
        <f aca="false">IF($L387="","",INDEX('Price List'!$B$2:$B$1352,$L387)&amp;"")</f>
        <v>NAPPCO (April list - latest)</v>
      </c>
      <c r="C387" s="10" t="str">
        <f aca="false">IF($L387="","",INDEX('Price List'!$C$2:$C$1352,$L387)&amp;"")</f>
        <v>Greaseproof Paper</v>
      </c>
      <c r="D387" s="11" t="str">
        <f aca="false">IF($L387="","",INDEX('Price List'!$D$2:$D$1352,$L387)&amp;"")</f>
        <v>Greaseproof</v>
      </c>
      <c r="E387" s="11" t="str">
        <f aca="false">IF($L387="","",INDEX('Price List'!$E$2:$E$1352,$L387)&amp;"")</f>
        <v/>
      </c>
      <c r="F387" s="10" t="str">
        <f aca="false">IF($L387="","",INDEX('Price List'!$F$2:$F$1352,$L387)&amp;"")</f>
        <v>30gsm</v>
      </c>
      <c r="G387" s="10" t="str">
        <f aca="false">IF($L387="","",INDEX('Price List'!$G$2:$G$1352,$L387)&amp;"")</f>
        <v>24 x 36</v>
      </c>
      <c r="H387" s="10" t="str">
        <f aca="false">IF($L387="","",INDEX('Price List'!$H$2:$H$1352,$L387)&amp;"")</f>
        <v>ream</v>
      </c>
      <c r="I387" s="12" t="n">
        <f aca="false">IF($L387="","",IF(INDEX('Price List'!$I$2:$I$1352,$L387)="","",INDEX('Price List'!$I$2:$I$1352,$L387)))</f>
        <v>1180</v>
      </c>
      <c r="J387" s="11" t="str">
        <f aca="false">IF($L387="","",INDEX('Price List'!$J$2:$J$1352,$L387)&amp;"")</f>
        <v/>
      </c>
      <c r="K387" s="10" t="str">
        <f aca="false">IF($L387="","",INDEX('Price List'!$K$2:$K$1352,$L387)&amp;"")</f>
        <v>April (year not shown)</v>
      </c>
      <c r="L387" s="13" t="n">
        <f aca="false">IF(377&gt;$H$4,"",MATCH(377,'Price List'!$M$2:$M$1352,0))</f>
        <v>377</v>
      </c>
    </row>
    <row r="388" customFormat="false" ht="15" hidden="false" customHeight="false" outlineLevel="0" collapsed="false">
      <c r="A388" s="9" t="n">
        <v>378</v>
      </c>
      <c r="B388" s="10" t="str">
        <f aca="false">IF($L388="","",INDEX('Price List'!$B$2:$B$1352,$L388)&amp;"")</f>
        <v>NAPPCO (April list - latest)</v>
      </c>
      <c r="C388" s="10" t="str">
        <f aca="false">IF($L388="","",INDEX('Price List'!$C$2:$C$1352,$L388)&amp;"")</f>
        <v>Greaseproof Paper</v>
      </c>
      <c r="D388" s="11" t="str">
        <f aca="false">IF($L388="","",INDEX('Price List'!$D$2:$D$1352,$L388)&amp;"")</f>
        <v>Greaseproof</v>
      </c>
      <c r="E388" s="11" t="str">
        <f aca="false">IF($L388="","",INDEX('Price List'!$E$2:$E$1352,$L388)&amp;"")</f>
        <v/>
      </c>
      <c r="F388" s="10" t="str">
        <f aca="false">IF($L388="","",INDEX('Price List'!$F$2:$F$1352,$L388)&amp;"")</f>
        <v>34/35gsm</v>
      </c>
      <c r="G388" s="10" t="str">
        <f aca="false">IF($L388="","",INDEX('Price List'!$G$2:$G$1352,$L388)&amp;"")</f>
        <v>24 x 36</v>
      </c>
      <c r="H388" s="10" t="str">
        <f aca="false">IF($L388="","",INDEX('Price List'!$H$2:$H$1352,$L388)&amp;"")</f>
        <v>ream</v>
      </c>
      <c r="I388" s="12" t="n">
        <f aca="false">IF($L388="","",IF(INDEX('Price List'!$I$2:$I$1352,$L388)="","",INDEX('Price List'!$I$2:$I$1352,$L388)))</f>
        <v>1340</v>
      </c>
      <c r="J388" s="11" t="str">
        <f aca="false">IF($L388="","",INDEX('Price List'!$J$2:$J$1352,$L388)&amp;"")</f>
        <v/>
      </c>
      <c r="K388" s="10" t="str">
        <f aca="false">IF($L388="","",INDEX('Price List'!$K$2:$K$1352,$L388)&amp;"")</f>
        <v>April (year not shown)</v>
      </c>
      <c r="L388" s="13" t="n">
        <f aca="false">IF(378&gt;$H$4,"",MATCH(378,'Price List'!$M$2:$M$1352,0))</f>
        <v>378</v>
      </c>
    </row>
    <row r="389" customFormat="false" ht="15" hidden="false" customHeight="false" outlineLevel="0" collapsed="false">
      <c r="A389" s="9" t="n">
        <v>379</v>
      </c>
      <c r="B389" s="10" t="str">
        <f aca="false">IF($L389="","",INDEX('Price List'!$B$2:$B$1352,$L389)&amp;"")</f>
        <v>NAPPCO (April list - latest)</v>
      </c>
      <c r="C389" s="10" t="str">
        <f aca="false">IF($L389="","",INDEX('Price List'!$C$2:$C$1352,$L389)&amp;"")</f>
        <v>Greaseproof Paper</v>
      </c>
      <c r="D389" s="11" t="str">
        <f aca="false">IF($L389="","",INDEX('Price List'!$D$2:$D$1352,$L389)&amp;"")</f>
        <v>Greaseproof</v>
      </c>
      <c r="E389" s="11" t="str">
        <f aca="false">IF($L389="","",INDEX('Price List'!$E$2:$E$1352,$L389)&amp;"")</f>
        <v/>
      </c>
      <c r="F389" s="10" t="str">
        <f aca="false">IF($L389="","",INDEX('Price List'!$F$2:$F$1352,$L389)&amp;"")</f>
        <v>38gsm (IJ)</v>
      </c>
      <c r="G389" s="10" t="str">
        <f aca="false">IF($L389="","",INDEX('Price List'!$G$2:$G$1352,$L389)&amp;"")</f>
        <v>24 x 36</v>
      </c>
      <c r="H389" s="10" t="str">
        <f aca="false">IF($L389="","",INDEX('Price List'!$H$2:$H$1352,$L389)&amp;"")</f>
        <v>ream</v>
      </c>
      <c r="I389" s="12" t="n">
        <f aca="false">IF($L389="","",IF(INDEX('Price List'!$I$2:$I$1352,$L389)="","",INDEX('Price List'!$I$2:$I$1352,$L389)))</f>
        <v>1520</v>
      </c>
      <c r="J389" s="11" t="str">
        <f aca="false">IF($L389="","",INDEX('Price List'!$J$2:$J$1352,$L389)&amp;"")</f>
        <v/>
      </c>
      <c r="K389" s="10" t="str">
        <f aca="false">IF($L389="","",INDEX('Price List'!$K$2:$K$1352,$L389)&amp;"")</f>
        <v>April (year not shown)</v>
      </c>
      <c r="L389" s="13" t="n">
        <f aca="false">IF(379&gt;$H$4,"",MATCH(379,'Price List'!$M$2:$M$1352,0))</f>
        <v>379</v>
      </c>
    </row>
    <row r="390" customFormat="false" ht="15" hidden="false" customHeight="false" outlineLevel="0" collapsed="false">
      <c r="A390" s="9" t="n">
        <v>380</v>
      </c>
      <c r="B390" s="10" t="str">
        <f aca="false">IF($L390="","",INDEX('Price List'!$B$2:$B$1352,$L390)&amp;"")</f>
        <v>NAPPCO (April list - latest)</v>
      </c>
      <c r="C390" s="10" t="str">
        <f aca="false">IF($L390="","",INDEX('Price List'!$C$2:$C$1352,$L390)&amp;"")</f>
        <v>Greaseproof Paper</v>
      </c>
      <c r="D390" s="11" t="str">
        <f aca="false">IF($L390="","",INDEX('Price List'!$D$2:$D$1352,$L390)&amp;"")</f>
        <v>Greaseproof</v>
      </c>
      <c r="E390" s="11" t="str">
        <f aca="false">IF($L390="","",INDEX('Price List'!$E$2:$E$1352,$L390)&amp;"")</f>
        <v/>
      </c>
      <c r="F390" s="10" t="str">
        <f aca="false">IF($L390="","",INDEX('Price List'!$F$2:$F$1352,$L390)&amp;"")</f>
        <v>38gsm (TD/TI)</v>
      </c>
      <c r="G390" s="10" t="str">
        <f aca="false">IF($L390="","",INDEX('Price List'!$G$2:$G$1352,$L390)&amp;"")</f>
        <v>24 x 36</v>
      </c>
      <c r="H390" s="10" t="str">
        <f aca="false">IF($L390="","",INDEX('Price List'!$H$2:$H$1352,$L390)&amp;"")</f>
        <v>ream</v>
      </c>
      <c r="I390" s="12" t="n">
        <f aca="false">IF($L390="","",IF(INDEX('Price List'!$I$2:$I$1352,$L390)="","",INDEX('Price List'!$I$2:$I$1352,$L390)))</f>
        <v>1420</v>
      </c>
      <c r="J390" s="11" t="str">
        <f aca="false">IF($L390="","",INDEX('Price List'!$J$2:$J$1352,$L390)&amp;"")</f>
        <v/>
      </c>
      <c r="K390" s="10" t="str">
        <f aca="false">IF($L390="","",INDEX('Price List'!$K$2:$K$1352,$L390)&amp;"")</f>
        <v>April (year not shown)</v>
      </c>
      <c r="L390" s="13" t="n">
        <f aca="false">IF(380&gt;$H$4,"",MATCH(380,'Price List'!$M$2:$M$1352,0))</f>
        <v>380</v>
      </c>
    </row>
    <row r="391" customFormat="false" ht="15" hidden="false" customHeight="false" outlineLevel="0" collapsed="false">
      <c r="A391" s="9" t="n">
        <v>381</v>
      </c>
      <c r="B391" s="10" t="str">
        <f aca="false">IF($L391="","",INDEX('Price List'!$B$2:$B$1352,$L391)&amp;"")</f>
        <v>NAPPCO (April list - latest)</v>
      </c>
      <c r="C391" s="10" t="str">
        <f aca="false">IF($L391="","",INDEX('Price List'!$C$2:$C$1352,$L391)&amp;"")</f>
        <v>Greaseproof Paper</v>
      </c>
      <c r="D391" s="11" t="str">
        <f aca="false">IF($L391="","",INDEX('Price List'!$D$2:$D$1352,$L391)&amp;"")</f>
        <v>Greaseproof</v>
      </c>
      <c r="E391" s="11" t="str">
        <f aca="false">IF($L391="","",INDEX('Price List'!$E$2:$E$1352,$L391)&amp;"")</f>
        <v/>
      </c>
      <c r="F391" s="10" t="str">
        <f aca="false">IF($L391="","",INDEX('Price List'!$F$2:$F$1352,$L391)&amp;"")</f>
        <v>60gsm</v>
      </c>
      <c r="G391" s="10" t="str">
        <f aca="false">IF($L391="","",INDEX('Price List'!$G$2:$G$1352,$L391)&amp;"")</f>
        <v>24 x 36</v>
      </c>
      <c r="H391" s="10" t="str">
        <f aca="false">IF($L391="","",INDEX('Price List'!$H$2:$H$1352,$L391)&amp;"")</f>
        <v>ream</v>
      </c>
      <c r="I391" s="12" t="n">
        <f aca="false">IF($L391="","",IF(INDEX('Price List'!$I$2:$I$1352,$L391)="","",INDEX('Price List'!$I$2:$I$1352,$L391)))</f>
        <v>2410</v>
      </c>
      <c r="J391" s="11" t="str">
        <f aca="false">IF($L391="","",INDEX('Price List'!$J$2:$J$1352,$L391)&amp;"")</f>
        <v/>
      </c>
      <c r="K391" s="10" t="str">
        <f aca="false">IF($L391="","",INDEX('Price List'!$K$2:$K$1352,$L391)&amp;"")</f>
        <v>April (year not shown)</v>
      </c>
      <c r="L391" s="13" t="n">
        <f aca="false">IF(381&gt;$H$4,"",MATCH(381,'Price List'!$M$2:$M$1352,0))</f>
        <v>381</v>
      </c>
    </row>
    <row r="392" customFormat="false" ht="15" hidden="false" customHeight="false" outlineLevel="0" collapsed="false">
      <c r="A392" s="9" t="n">
        <v>382</v>
      </c>
      <c r="B392" s="10" t="str">
        <f aca="false">IF($L392="","",INDEX('Price List'!$B$2:$B$1352,$L392)&amp;"")</f>
        <v>Star Paper Corp. (Luzon)</v>
      </c>
      <c r="C392" s="10" t="str">
        <f aca="false">IF($L392="","",INDEX('Price List'!$C$2:$C$1352,$L392)&amp;"")</f>
        <v>Coated Paper (C1S)</v>
      </c>
      <c r="D392" s="11" t="str">
        <f aca="false">IF($L392="","",INDEX('Price List'!$D$2:$D$1352,$L392)&amp;"")</f>
        <v>C1S</v>
      </c>
      <c r="E392" s="11" t="str">
        <f aca="false">IF($L392="","",INDEX('Price List'!$E$2:$E$1352,$L392)&amp;"")</f>
        <v/>
      </c>
      <c r="F392" s="10" t="str">
        <f aca="false">IF($L392="","",INDEX('Price List'!$F$2:$F$1352,$L392)&amp;"")</f>
        <v>60#</v>
      </c>
      <c r="G392" s="10" t="str">
        <f aca="false">IF($L392="","",INDEX('Price List'!$G$2:$G$1352,$L392)&amp;"")</f>
        <v>25 x 38</v>
      </c>
      <c r="H392" s="10" t="str">
        <f aca="false">IF($L392="","",INDEX('Price List'!$H$2:$H$1352,$L392)&amp;"")</f>
        <v>ream</v>
      </c>
      <c r="I392" s="12" t="n">
        <f aca="false">IF($L392="","",IF(INDEX('Price List'!$I$2:$I$1352,$L392)="","",INDEX('Price List'!$I$2:$I$1352,$L392)))</f>
        <v>2203.2</v>
      </c>
      <c r="J392" s="11" t="str">
        <f aca="false">IF($L392="","",INDEX('Price List'!$J$2:$J$1352,$L392)&amp;"")</f>
        <v/>
      </c>
      <c r="K392" s="10" t="str">
        <f aca="false">IF($L392="","",INDEX('Price List'!$K$2:$K$1352,$L392)&amp;"")</f>
        <v>May 26, 2026</v>
      </c>
      <c r="L392" s="13" t="n">
        <f aca="false">IF(382&gt;$H$4,"",MATCH(382,'Price List'!$M$2:$M$1352,0))</f>
        <v>382</v>
      </c>
    </row>
    <row r="393" customFormat="false" ht="15" hidden="false" customHeight="false" outlineLevel="0" collapsed="false">
      <c r="A393" s="9" t="n">
        <v>383</v>
      </c>
      <c r="B393" s="10" t="str">
        <f aca="false">IF($L393="","",INDEX('Price List'!$B$2:$B$1352,$L393)&amp;"")</f>
        <v>Star Paper Corp. (Luzon)</v>
      </c>
      <c r="C393" s="10" t="str">
        <f aca="false">IF($L393="","",INDEX('Price List'!$C$2:$C$1352,$L393)&amp;"")</f>
        <v>Coated Paper (C1S)</v>
      </c>
      <c r="D393" s="11" t="str">
        <f aca="false">IF($L393="","",INDEX('Price List'!$D$2:$D$1352,$L393)&amp;"")</f>
        <v>C1S</v>
      </c>
      <c r="E393" s="11" t="str">
        <f aca="false">IF($L393="","",INDEX('Price List'!$E$2:$E$1352,$L393)&amp;"")</f>
        <v/>
      </c>
      <c r="F393" s="10" t="str">
        <f aca="false">IF($L393="","",INDEX('Price List'!$F$2:$F$1352,$L393)&amp;"")</f>
        <v>60#</v>
      </c>
      <c r="G393" s="10" t="str">
        <f aca="false">IF($L393="","",INDEX('Price List'!$G$2:$G$1352,$L393)&amp;"")</f>
        <v>25 x 38</v>
      </c>
      <c r="H393" s="10" t="str">
        <f aca="false">IF($L393="","",INDEX('Price List'!$H$2:$H$1352,$L393)&amp;"")</f>
        <v>per lb</v>
      </c>
      <c r="I393" s="12" t="n">
        <f aca="false">IF($L393="","",IF(INDEX('Price List'!$I$2:$I$1352,$L393)="","",INDEX('Price List'!$I$2:$I$1352,$L393)))</f>
        <v>36.72</v>
      </c>
      <c r="J393" s="11" t="str">
        <f aca="false">IF($L393="","",INDEX('Price List'!$J$2:$J$1352,$L393)&amp;"")</f>
        <v/>
      </c>
      <c r="K393" s="10" t="str">
        <f aca="false">IF($L393="","",INDEX('Price List'!$K$2:$K$1352,$L393)&amp;"")</f>
        <v>May 26, 2026</v>
      </c>
      <c r="L393" s="13" t="n">
        <f aca="false">IF(383&gt;$H$4,"",MATCH(383,'Price List'!$M$2:$M$1352,0))</f>
        <v>383</v>
      </c>
    </row>
    <row r="394" customFormat="false" ht="15" hidden="false" customHeight="false" outlineLevel="0" collapsed="false">
      <c r="A394" s="9" t="n">
        <v>384</v>
      </c>
      <c r="B394" s="10" t="str">
        <f aca="false">IF($L394="","",INDEX('Price List'!$B$2:$B$1352,$L394)&amp;"")</f>
        <v>Star Paper Corp. (Luzon)</v>
      </c>
      <c r="C394" s="10" t="str">
        <f aca="false">IF($L394="","",INDEX('Price List'!$C$2:$C$1352,$L394)&amp;"")</f>
        <v>Coated Paper (C2S/Matte)</v>
      </c>
      <c r="D394" s="11" t="str">
        <f aca="false">IF($L394="","",INDEX('Price List'!$D$2:$D$1352,$L394)&amp;"")</f>
        <v>C2S</v>
      </c>
      <c r="E394" s="11" t="str">
        <f aca="false">IF($L394="","",INDEX('Price List'!$E$2:$E$1352,$L394)&amp;"")</f>
        <v/>
      </c>
      <c r="F394" s="10" t="str">
        <f aca="false">IF($L394="","",INDEX('Price List'!$F$2:$F$1352,$L394)&amp;"")</f>
        <v>60#</v>
      </c>
      <c r="G394" s="10" t="str">
        <f aca="false">IF($L394="","",INDEX('Price List'!$G$2:$G$1352,$L394)&amp;"")</f>
        <v>25 x 38</v>
      </c>
      <c r="H394" s="10" t="str">
        <f aca="false">IF($L394="","",INDEX('Price List'!$H$2:$H$1352,$L394)&amp;"")</f>
        <v>ream</v>
      </c>
      <c r="I394" s="12" t="n">
        <f aca="false">IF($L394="","",IF(INDEX('Price List'!$I$2:$I$1352,$L394)="","",INDEX('Price List'!$I$2:$I$1352,$L394)))</f>
        <v>1802.4</v>
      </c>
      <c r="J394" s="11" t="str">
        <f aca="false">IF($L394="","",INDEX('Price List'!$J$2:$J$1352,$L394)&amp;"")</f>
        <v/>
      </c>
      <c r="K394" s="10" t="str">
        <f aca="false">IF($L394="","",INDEX('Price List'!$K$2:$K$1352,$L394)&amp;"")</f>
        <v>May 26, 2026</v>
      </c>
      <c r="L394" s="13" t="n">
        <f aca="false">IF(384&gt;$H$4,"",MATCH(384,'Price List'!$M$2:$M$1352,0))</f>
        <v>384</v>
      </c>
    </row>
    <row r="395" customFormat="false" ht="15" hidden="false" customHeight="false" outlineLevel="0" collapsed="false">
      <c r="A395" s="9" t="n">
        <v>385</v>
      </c>
      <c r="B395" s="10" t="str">
        <f aca="false">IF($L395="","",INDEX('Price List'!$B$2:$B$1352,$L395)&amp;"")</f>
        <v>Star Paper Corp. (Luzon)</v>
      </c>
      <c r="C395" s="10" t="str">
        <f aca="false">IF($L395="","",INDEX('Price List'!$C$2:$C$1352,$L395)&amp;"")</f>
        <v>Coated Paper (C2S/Matte)</v>
      </c>
      <c r="D395" s="11" t="str">
        <f aca="false">IF($L395="","",INDEX('Price List'!$D$2:$D$1352,$L395)&amp;"")</f>
        <v>C2S</v>
      </c>
      <c r="E395" s="11" t="str">
        <f aca="false">IF($L395="","",INDEX('Price List'!$E$2:$E$1352,$L395)&amp;"")</f>
        <v/>
      </c>
      <c r="F395" s="10" t="str">
        <f aca="false">IF($L395="","",INDEX('Price List'!$F$2:$F$1352,$L395)&amp;"")</f>
        <v>60#</v>
      </c>
      <c r="G395" s="10" t="str">
        <f aca="false">IF($L395="","",INDEX('Price List'!$G$2:$G$1352,$L395)&amp;"")</f>
        <v>25 x 38</v>
      </c>
      <c r="H395" s="10" t="str">
        <f aca="false">IF($L395="","",INDEX('Price List'!$H$2:$H$1352,$L395)&amp;"")</f>
        <v>per lb</v>
      </c>
      <c r="I395" s="12" t="n">
        <f aca="false">IF($L395="","",IF(INDEX('Price List'!$I$2:$I$1352,$L395)="","",INDEX('Price List'!$I$2:$I$1352,$L395)))</f>
        <v>30.04</v>
      </c>
      <c r="J395" s="11" t="str">
        <f aca="false">IF($L395="","",INDEX('Price List'!$J$2:$J$1352,$L395)&amp;"")</f>
        <v/>
      </c>
      <c r="K395" s="10" t="str">
        <f aca="false">IF($L395="","",INDEX('Price List'!$K$2:$K$1352,$L395)&amp;"")</f>
        <v>May 26, 2026</v>
      </c>
      <c r="L395" s="13" t="n">
        <f aca="false">IF(385&gt;$H$4,"",MATCH(385,'Price List'!$M$2:$M$1352,0))</f>
        <v>385</v>
      </c>
    </row>
    <row r="396" customFormat="false" ht="15" hidden="false" customHeight="false" outlineLevel="0" collapsed="false">
      <c r="A396" s="9" t="n">
        <v>386</v>
      </c>
      <c r="B396" s="10" t="str">
        <f aca="false">IF($L396="","",INDEX('Price List'!$B$2:$B$1352,$L396)&amp;"")</f>
        <v>Star Paper Corp. (Luzon)</v>
      </c>
      <c r="C396" s="10" t="str">
        <f aca="false">IF($L396="","",INDEX('Price List'!$C$2:$C$1352,$L396)&amp;"")</f>
        <v>Coated Paper (C2S/Matte)</v>
      </c>
      <c r="D396" s="11" t="str">
        <f aca="false">IF($L396="","",INDEX('Price List'!$D$2:$D$1352,$L396)&amp;"")</f>
        <v>C2S</v>
      </c>
      <c r="E396" s="11" t="str">
        <f aca="false">IF($L396="","",INDEX('Price List'!$E$2:$E$1352,$L396)&amp;"")</f>
        <v/>
      </c>
      <c r="F396" s="10" t="str">
        <f aca="false">IF($L396="","",INDEX('Price List'!$F$2:$F$1352,$L396)&amp;"")</f>
        <v>70#</v>
      </c>
      <c r="G396" s="10" t="str">
        <f aca="false">IF($L396="","",INDEX('Price List'!$G$2:$G$1352,$L396)&amp;"")</f>
        <v>25 x 38</v>
      </c>
      <c r="H396" s="10" t="str">
        <f aca="false">IF($L396="","",INDEX('Price List'!$H$2:$H$1352,$L396)&amp;"")</f>
        <v>ream</v>
      </c>
      <c r="I396" s="12" t="n">
        <f aca="false">IF($L396="","",IF(INDEX('Price List'!$I$2:$I$1352,$L396)="","",INDEX('Price List'!$I$2:$I$1352,$L396)))</f>
        <v>1892.1</v>
      </c>
      <c r="J396" s="11" t="str">
        <f aca="false">IF($L396="","",INDEX('Price List'!$J$2:$J$1352,$L396)&amp;"")</f>
        <v/>
      </c>
      <c r="K396" s="10" t="str">
        <f aca="false">IF($L396="","",INDEX('Price List'!$K$2:$K$1352,$L396)&amp;"")</f>
        <v>May 26, 2026</v>
      </c>
      <c r="L396" s="13" t="n">
        <f aca="false">IF(386&gt;$H$4,"",MATCH(386,'Price List'!$M$2:$M$1352,0))</f>
        <v>386</v>
      </c>
    </row>
    <row r="397" customFormat="false" ht="15" hidden="false" customHeight="false" outlineLevel="0" collapsed="false">
      <c r="A397" s="9" t="n">
        <v>387</v>
      </c>
      <c r="B397" s="10" t="str">
        <f aca="false">IF($L397="","",INDEX('Price List'!$B$2:$B$1352,$L397)&amp;"")</f>
        <v>Star Paper Corp. (Luzon)</v>
      </c>
      <c r="C397" s="10" t="str">
        <f aca="false">IF($L397="","",INDEX('Price List'!$C$2:$C$1352,$L397)&amp;"")</f>
        <v>Coated Paper (C2S/Matte)</v>
      </c>
      <c r="D397" s="11" t="str">
        <f aca="false">IF($L397="","",INDEX('Price List'!$D$2:$D$1352,$L397)&amp;"")</f>
        <v>C2S</v>
      </c>
      <c r="E397" s="11" t="str">
        <f aca="false">IF($L397="","",INDEX('Price List'!$E$2:$E$1352,$L397)&amp;"")</f>
        <v/>
      </c>
      <c r="F397" s="10" t="str">
        <f aca="false">IF($L397="","",INDEX('Price List'!$F$2:$F$1352,$L397)&amp;"")</f>
        <v>70#</v>
      </c>
      <c r="G397" s="10" t="str">
        <f aca="false">IF($L397="","",INDEX('Price List'!$G$2:$G$1352,$L397)&amp;"")</f>
        <v>25 x 38</v>
      </c>
      <c r="H397" s="10" t="str">
        <f aca="false">IF($L397="","",INDEX('Price List'!$H$2:$H$1352,$L397)&amp;"")</f>
        <v>per lb</v>
      </c>
      <c r="I397" s="12" t="n">
        <f aca="false">IF($L397="","",IF(INDEX('Price List'!$I$2:$I$1352,$L397)="","",INDEX('Price List'!$I$2:$I$1352,$L397)))</f>
        <v>27.03</v>
      </c>
      <c r="J397" s="11" t="str">
        <f aca="false">IF($L397="","",INDEX('Price List'!$J$2:$J$1352,$L397)&amp;"")</f>
        <v/>
      </c>
      <c r="K397" s="10" t="str">
        <f aca="false">IF($L397="","",INDEX('Price List'!$K$2:$K$1352,$L397)&amp;"")</f>
        <v>May 26, 2026</v>
      </c>
      <c r="L397" s="13" t="n">
        <f aca="false">IF(387&gt;$H$4,"",MATCH(387,'Price List'!$M$2:$M$1352,0))</f>
        <v>387</v>
      </c>
    </row>
    <row r="398" customFormat="false" ht="15" hidden="false" customHeight="false" outlineLevel="0" collapsed="false">
      <c r="A398" s="9" t="n">
        <v>388</v>
      </c>
      <c r="B398" s="10" t="str">
        <f aca="false">IF($L398="","",INDEX('Price List'!$B$2:$B$1352,$L398)&amp;"")</f>
        <v>Star Paper Corp. (Luzon)</v>
      </c>
      <c r="C398" s="10" t="str">
        <f aca="false">IF($L398="","",INDEX('Price List'!$C$2:$C$1352,$L398)&amp;"")</f>
        <v>Coated Paper (C2S/Matte)</v>
      </c>
      <c r="D398" s="11" t="str">
        <f aca="false">IF($L398="","",INDEX('Price List'!$D$2:$D$1352,$L398)&amp;"")</f>
        <v>C2S</v>
      </c>
      <c r="E398" s="11" t="str">
        <f aca="false">IF($L398="","",INDEX('Price List'!$E$2:$E$1352,$L398)&amp;"")</f>
        <v/>
      </c>
      <c r="F398" s="10" t="str">
        <f aca="false">IF($L398="","",INDEX('Price List'!$F$2:$F$1352,$L398)&amp;"")</f>
        <v>80#</v>
      </c>
      <c r="G398" s="10" t="str">
        <f aca="false">IF($L398="","",INDEX('Price List'!$G$2:$G$1352,$L398)&amp;"")</f>
        <v>25 x 38</v>
      </c>
      <c r="H398" s="10" t="str">
        <f aca="false">IF($L398="","",INDEX('Price List'!$H$2:$H$1352,$L398)&amp;"")</f>
        <v>ream</v>
      </c>
      <c r="I398" s="12" t="n">
        <f aca="false">IF($L398="","",IF(INDEX('Price List'!$I$2:$I$1352,$L398)="","",INDEX('Price List'!$I$2:$I$1352,$L398)))</f>
        <v>2264.8</v>
      </c>
      <c r="J398" s="11" t="str">
        <f aca="false">IF($L398="","",INDEX('Price List'!$J$2:$J$1352,$L398)&amp;"")</f>
        <v/>
      </c>
      <c r="K398" s="10" t="str">
        <f aca="false">IF($L398="","",INDEX('Price List'!$K$2:$K$1352,$L398)&amp;"")</f>
        <v>May 26, 2026</v>
      </c>
      <c r="L398" s="13" t="n">
        <f aca="false">IF(388&gt;$H$4,"",MATCH(388,'Price List'!$M$2:$M$1352,0))</f>
        <v>388</v>
      </c>
    </row>
    <row r="399" customFormat="false" ht="15" hidden="false" customHeight="false" outlineLevel="0" collapsed="false">
      <c r="A399" s="9" t="n">
        <v>389</v>
      </c>
      <c r="B399" s="10" t="str">
        <f aca="false">IF($L399="","",INDEX('Price List'!$B$2:$B$1352,$L399)&amp;"")</f>
        <v>Star Paper Corp. (Luzon)</v>
      </c>
      <c r="C399" s="10" t="str">
        <f aca="false">IF($L399="","",INDEX('Price List'!$C$2:$C$1352,$L399)&amp;"")</f>
        <v>Coated Paper (C2S/Matte)</v>
      </c>
      <c r="D399" s="11" t="str">
        <f aca="false">IF($L399="","",INDEX('Price List'!$D$2:$D$1352,$L399)&amp;"")</f>
        <v>C2S</v>
      </c>
      <c r="E399" s="11" t="str">
        <f aca="false">IF($L399="","",INDEX('Price List'!$E$2:$E$1352,$L399)&amp;"")</f>
        <v/>
      </c>
      <c r="F399" s="10" t="str">
        <f aca="false">IF($L399="","",INDEX('Price List'!$F$2:$F$1352,$L399)&amp;"")</f>
        <v>80#</v>
      </c>
      <c r="G399" s="10" t="str">
        <f aca="false">IF($L399="","",INDEX('Price List'!$G$2:$G$1352,$L399)&amp;"")</f>
        <v>25 x 38</v>
      </c>
      <c r="H399" s="10" t="str">
        <f aca="false">IF($L399="","",INDEX('Price List'!$H$2:$H$1352,$L399)&amp;"")</f>
        <v>per lb</v>
      </c>
      <c r="I399" s="12" t="n">
        <f aca="false">IF($L399="","",IF(INDEX('Price List'!$I$2:$I$1352,$L399)="","",INDEX('Price List'!$I$2:$I$1352,$L399)))</f>
        <v>28.31</v>
      </c>
      <c r="J399" s="11" t="str">
        <f aca="false">IF($L399="","",INDEX('Price List'!$J$2:$J$1352,$L399)&amp;"")</f>
        <v/>
      </c>
      <c r="K399" s="10" t="str">
        <f aca="false">IF($L399="","",INDEX('Price List'!$K$2:$K$1352,$L399)&amp;"")</f>
        <v>May 26, 2026</v>
      </c>
      <c r="L399" s="13" t="n">
        <f aca="false">IF(389&gt;$H$4,"",MATCH(389,'Price List'!$M$2:$M$1352,0))</f>
        <v>389</v>
      </c>
    </row>
    <row r="400" customFormat="false" ht="15" hidden="false" customHeight="false" outlineLevel="0" collapsed="false">
      <c r="A400" s="9" t="n">
        <v>390</v>
      </c>
      <c r="B400" s="10" t="str">
        <f aca="false">IF($L400="","",INDEX('Price List'!$B$2:$B$1352,$L400)&amp;"")</f>
        <v>Star Paper Corp. (Luzon)</v>
      </c>
      <c r="C400" s="10" t="str">
        <f aca="false">IF($L400="","",INDEX('Price List'!$C$2:$C$1352,$L400)&amp;"")</f>
        <v>Coated Paper (C2S/Matte)</v>
      </c>
      <c r="D400" s="11" t="str">
        <f aca="false">IF($L400="","",INDEX('Price List'!$D$2:$D$1352,$L400)&amp;"")</f>
        <v>C2S</v>
      </c>
      <c r="E400" s="11" t="str">
        <f aca="false">IF($L400="","",INDEX('Price List'!$E$2:$E$1352,$L400)&amp;"")</f>
        <v/>
      </c>
      <c r="F400" s="10" t="str">
        <f aca="false">IF($L400="","",INDEX('Price List'!$F$2:$F$1352,$L400)&amp;"")</f>
        <v>100#</v>
      </c>
      <c r="G400" s="10" t="str">
        <f aca="false">IF($L400="","",INDEX('Price List'!$G$2:$G$1352,$L400)&amp;"")</f>
        <v>25 x 38</v>
      </c>
      <c r="H400" s="10" t="str">
        <f aca="false">IF($L400="","",INDEX('Price List'!$H$2:$H$1352,$L400)&amp;"")</f>
        <v>ream</v>
      </c>
      <c r="I400" s="12" t="n">
        <f aca="false">IF($L400="","",IF(INDEX('Price List'!$I$2:$I$1352,$L400)="","",INDEX('Price List'!$I$2:$I$1352,$L400)))</f>
        <v>2576</v>
      </c>
      <c r="J400" s="11" t="str">
        <f aca="false">IF($L400="","",INDEX('Price List'!$J$2:$J$1352,$L400)&amp;"")</f>
        <v/>
      </c>
      <c r="K400" s="10" t="str">
        <f aca="false">IF($L400="","",INDEX('Price List'!$K$2:$K$1352,$L400)&amp;"")</f>
        <v>May 26, 2026</v>
      </c>
      <c r="L400" s="13" t="n">
        <f aca="false">IF(390&gt;$H$4,"",MATCH(390,'Price List'!$M$2:$M$1352,0))</f>
        <v>390</v>
      </c>
    </row>
    <row r="401" customFormat="false" ht="15" hidden="false" customHeight="false" outlineLevel="0" collapsed="false">
      <c r="A401" s="9" t="n">
        <v>391</v>
      </c>
      <c r="B401" s="10" t="str">
        <f aca="false">IF($L401="","",INDEX('Price List'!$B$2:$B$1352,$L401)&amp;"")</f>
        <v>Star Paper Corp. (Luzon)</v>
      </c>
      <c r="C401" s="10" t="str">
        <f aca="false">IF($L401="","",INDEX('Price List'!$C$2:$C$1352,$L401)&amp;"")</f>
        <v>Coated Paper (C2S/Matte)</v>
      </c>
      <c r="D401" s="11" t="str">
        <f aca="false">IF($L401="","",INDEX('Price List'!$D$2:$D$1352,$L401)&amp;"")</f>
        <v>C2S</v>
      </c>
      <c r="E401" s="11" t="str">
        <f aca="false">IF($L401="","",INDEX('Price List'!$E$2:$E$1352,$L401)&amp;"")</f>
        <v/>
      </c>
      <c r="F401" s="10" t="str">
        <f aca="false">IF($L401="","",INDEX('Price List'!$F$2:$F$1352,$L401)&amp;"")</f>
        <v>100#</v>
      </c>
      <c r="G401" s="10" t="str">
        <f aca="false">IF($L401="","",INDEX('Price List'!$G$2:$G$1352,$L401)&amp;"")</f>
        <v>25 x 38</v>
      </c>
      <c r="H401" s="10" t="str">
        <f aca="false">IF($L401="","",INDEX('Price List'!$H$2:$H$1352,$L401)&amp;"")</f>
        <v>per lb</v>
      </c>
      <c r="I401" s="12" t="n">
        <f aca="false">IF($L401="","",IF(INDEX('Price List'!$I$2:$I$1352,$L401)="","",INDEX('Price List'!$I$2:$I$1352,$L401)))</f>
        <v>25.76</v>
      </c>
      <c r="J401" s="11" t="str">
        <f aca="false">IF($L401="","",INDEX('Price List'!$J$2:$J$1352,$L401)&amp;"")</f>
        <v/>
      </c>
      <c r="K401" s="10" t="str">
        <f aca="false">IF($L401="","",INDEX('Price List'!$K$2:$K$1352,$L401)&amp;"")</f>
        <v>May 26, 2026</v>
      </c>
      <c r="L401" s="13" t="n">
        <f aca="false">IF(391&gt;$H$4,"",MATCH(391,'Price List'!$M$2:$M$1352,0))</f>
        <v>391</v>
      </c>
    </row>
    <row r="402" customFormat="false" ht="15" hidden="false" customHeight="false" outlineLevel="0" collapsed="false">
      <c r="A402" s="9" t="n">
        <v>392</v>
      </c>
      <c r="B402" s="10" t="str">
        <f aca="false">IF($L402="","",INDEX('Price List'!$B$2:$B$1352,$L402)&amp;"")</f>
        <v>Star Paper Corp. (Luzon)</v>
      </c>
      <c r="C402" s="10" t="str">
        <f aca="false">IF($L402="","",INDEX('Price List'!$C$2:$C$1352,$L402)&amp;"")</f>
        <v>Coated Paper (C2S/Matte)</v>
      </c>
      <c r="D402" s="11" t="str">
        <f aca="false">IF($L402="","",INDEX('Price List'!$D$2:$D$1352,$L402)&amp;"")</f>
        <v>C2S</v>
      </c>
      <c r="E402" s="11" t="str">
        <f aca="false">IF($L402="","",INDEX('Price List'!$E$2:$E$1352,$L402)&amp;"")</f>
        <v/>
      </c>
      <c r="F402" s="10" t="str">
        <f aca="false">IF($L402="","",INDEX('Price List'!$F$2:$F$1352,$L402)&amp;"")</f>
        <v>120#</v>
      </c>
      <c r="G402" s="10" t="str">
        <f aca="false">IF($L402="","",INDEX('Price List'!$G$2:$G$1352,$L402)&amp;"")</f>
        <v>25 x 38</v>
      </c>
      <c r="H402" s="10" t="str">
        <f aca="false">IF($L402="","",INDEX('Price List'!$H$2:$H$1352,$L402)&amp;"")</f>
        <v>ream</v>
      </c>
      <c r="I402" s="12" t="n">
        <f aca="false">IF($L402="","",IF(INDEX('Price List'!$I$2:$I$1352,$L402)="","",INDEX('Price List'!$I$2:$I$1352,$L402)))</f>
        <v>3133.2</v>
      </c>
      <c r="J402" s="11" t="str">
        <f aca="false">IF($L402="","",INDEX('Price List'!$J$2:$J$1352,$L402)&amp;"")</f>
        <v/>
      </c>
      <c r="K402" s="10" t="str">
        <f aca="false">IF($L402="","",INDEX('Price List'!$K$2:$K$1352,$L402)&amp;"")</f>
        <v>May 26, 2026</v>
      </c>
      <c r="L402" s="13" t="n">
        <f aca="false">IF(392&gt;$H$4,"",MATCH(392,'Price List'!$M$2:$M$1352,0))</f>
        <v>392</v>
      </c>
    </row>
    <row r="403" customFormat="false" ht="15" hidden="false" customHeight="false" outlineLevel="0" collapsed="false">
      <c r="A403" s="9" t="n">
        <v>393</v>
      </c>
      <c r="B403" s="10" t="str">
        <f aca="false">IF($L403="","",INDEX('Price List'!$B$2:$B$1352,$L403)&amp;"")</f>
        <v>Star Paper Corp. (Luzon)</v>
      </c>
      <c r="C403" s="10" t="str">
        <f aca="false">IF($L403="","",INDEX('Price List'!$C$2:$C$1352,$L403)&amp;"")</f>
        <v>Coated Paper (C2S/Matte)</v>
      </c>
      <c r="D403" s="11" t="str">
        <f aca="false">IF($L403="","",INDEX('Price List'!$D$2:$D$1352,$L403)&amp;"")</f>
        <v>C2S</v>
      </c>
      <c r="E403" s="11" t="str">
        <f aca="false">IF($L403="","",INDEX('Price List'!$E$2:$E$1352,$L403)&amp;"")</f>
        <v/>
      </c>
      <c r="F403" s="10" t="str">
        <f aca="false">IF($L403="","",INDEX('Price List'!$F$2:$F$1352,$L403)&amp;"")</f>
        <v>120#</v>
      </c>
      <c r="G403" s="10" t="str">
        <f aca="false">IF($L403="","",INDEX('Price List'!$G$2:$G$1352,$L403)&amp;"")</f>
        <v>25 x 38</v>
      </c>
      <c r="H403" s="10" t="str">
        <f aca="false">IF($L403="","",INDEX('Price List'!$H$2:$H$1352,$L403)&amp;"")</f>
        <v>per lb</v>
      </c>
      <c r="I403" s="12" t="n">
        <f aca="false">IF($L403="","",IF(INDEX('Price List'!$I$2:$I$1352,$L403)="","",INDEX('Price List'!$I$2:$I$1352,$L403)))</f>
        <v>26.11</v>
      </c>
      <c r="J403" s="11" t="str">
        <f aca="false">IF($L403="","",INDEX('Price List'!$J$2:$J$1352,$L403)&amp;"")</f>
        <v/>
      </c>
      <c r="K403" s="10" t="str">
        <f aca="false">IF($L403="","",INDEX('Price List'!$K$2:$K$1352,$L403)&amp;"")</f>
        <v>May 26, 2026</v>
      </c>
      <c r="L403" s="13" t="n">
        <f aca="false">IF(393&gt;$H$4,"",MATCH(393,'Price List'!$M$2:$M$1352,0))</f>
        <v>393</v>
      </c>
    </row>
    <row r="404" customFormat="false" ht="15" hidden="false" customHeight="false" outlineLevel="0" collapsed="false">
      <c r="A404" s="9" t="n">
        <v>394</v>
      </c>
      <c r="B404" s="10" t="str">
        <f aca="false">IF($L404="","",INDEX('Price List'!$B$2:$B$1352,$L404)&amp;"")</f>
        <v>Star Paper Corp. (Luzon)</v>
      </c>
      <c r="C404" s="10" t="str">
        <f aca="false">IF($L404="","",INDEX('Price List'!$C$2:$C$1352,$L404)&amp;"")</f>
        <v>Coated Paper (C2S/Matte)</v>
      </c>
      <c r="D404" s="11" t="str">
        <f aca="false">IF($L404="","",INDEX('Price List'!$D$2:$D$1352,$L404)&amp;"")</f>
        <v>C2S Board - GCC/BC/IPS/AJC</v>
      </c>
      <c r="E404" s="11" t="str">
        <f aca="false">IF($L404="","",INDEX('Price List'!$E$2:$E$1352,$L404)&amp;"")</f>
        <v/>
      </c>
      <c r="F404" s="10" t="str">
        <f aca="false">IF($L404="","",INDEX('Price List'!$F$2:$F$1352,$L404)&amp;"")</f>
        <v>140#</v>
      </c>
      <c r="G404" s="10" t="str">
        <f aca="false">IF($L404="","",INDEX('Price List'!$G$2:$G$1352,$L404)&amp;"")</f>
        <v>25 x 38</v>
      </c>
      <c r="H404" s="10" t="str">
        <f aca="false">IF($L404="","",INDEX('Price List'!$H$2:$H$1352,$L404)&amp;"")</f>
        <v>100 sheets</v>
      </c>
      <c r="I404" s="12" t="n">
        <f aca="false">IF($L404="","",IF(INDEX('Price List'!$I$2:$I$1352,$L404)="","",INDEX('Price List'!$I$2:$I$1352,$L404)))</f>
        <v>816</v>
      </c>
      <c r="J404" s="11" t="str">
        <f aca="false">IF($L404="","",INDEX('Price List'!$J$2:$J$1352,$L404)&amp;"")</f>
        <v/>
      </c>
      <c r="K404" s="10" t="str">
        <f aca="false">IF($L404="","",INDEX('Price List'!$K$2:$K$1352,$L404)&amp;"")</f>
        <v>May 26, 2026</v>
      </c>
      <c r="L404" s="13" t="n">
        <f aca="false">IF(394&gt;$H$4,"",MATCH(394,'Price List'!$M$2:$M$1352,0))</f>
        <v>394</v>
      </c>
    </row>
    <row r="405" customFormat="false" ht="15" hidden="false" customHeight="false" outlineLevel="0" collapsed="false">
      <c r="A405" s="9" t="n">
        <v>395</v>
      </c>
      <c r="B405" s="10" t="str">
        <f aca="false">IF($L405="","",INDEX('Price List'!$B$2:$B$1352,$L405)&amp;"")</f>
        <v>Star Paper Corp. (Luzon)</v>
      </c>
      <c r="C405" s="10" t="str">
        <f aca="false">IF($L405="","",INDEX('Price List'!$C$2:$C$1352,$L405)&amp;"")</f>
        <v>Coated Paper (C2S/Matte)</v>
      </c>
      <c r="D405" s="11" t="str">
        <f aca="false">IF($L405="","",INDEX('Price List'!$D$2:$D$1352,$L405)&amp;"")</f>
        <v>C2S Board - GCC/BC/IPS/AJC</v>
      </c>
      <c r="E405" s="11" t="str">
        <f aca="false">IF($L405="","",INDEX('Price List'!$E$2:$E$1352,$L405)&amp;"")</f>
        <v/>
      </c>
      <c r="F405" s="10" t="str">
        <f aca="false">IF($L405="","",INDEX('Price List'!$F$2:$F$1352,$L405)&amp;"")</f>
        <v>160#</v>
      </c>
      <c r="G405" s="10" t="str">
        <f aca="false">IF($L405="","",INDEX('Price List'!$G$2:$G$1352,$L405)&amp;"")</f>
        <v>25 x 38</v>
      </c>
      <c r="H405" s="10" t="str">
        <f aca="false">IF($L405="","",INDEX('Price List'!$H$2:$H$1352,$L405)&amp;"")</f>
        <v>100 sheets</v>
      </c>
      <c r="I405" s="12" t="n">
        <f aca="false">IF($L405="","",IF(INDEX('Price List'!$I$2:$I$1352,$L405)="","",INDEX('Price List'!$I$2:$I$1352,$L405)))</f>
        <v>841.5</v>
      </c>
      <c r="J405" s="11" t="str">
        <f aca="false">IF($L405="","",INDEX('Price List'!$J$2:$J$1352,$L405)&amp;"")</f>
        <v>Price decreased</v>
      </c>
      <c r="K405" s="10" t="str">
        <f aca="false">IF($L405="","",INDEX('Price List'!$K$2:$K$1352,$L405)&amp;"")</f>
        <v>May 26, 2026</v>
      </c>
      <c r="L405" s="13" t="n">
        <f aca="false">IF(395&gt;$H$4,"",MATCH(395,'Price List'!$M$2:$M$1352,0))</f>
        <v>395</v>
      </c>
    </row>
    <row r="406" customFormat="false" ht="15" hidden="false" customHeight="false" outlineLevel="0" collapsed="false">
      <c r="A406" s="9" t="n">
        <v>396</v>
      </c>
      <c r="B406" s="10" t="str">
        <f aca="false">IF($L406="","",INDEX('Price List'!$B$2:$B$1352,$L406)&amp;"")</f>
        <v>Star Paper Corp. (Luzon)</v>
      </c>
      <c r="C406" s="10" t="str">
        <f aca="false">IF($L406="","",INDEX('Price List'!$C$2:$C$1352,$L406)&amp;"")</f>
        <v>Coated Paper (C2S/Matte)</v>
      </c>
      <c r="D406" s="11" t="str">
        <f aca="false">IF($L406="","",INDEX('Price List'!$D$2:$D$1352,$L406)&amp;"")</f>
        <v>C2S Board - NSC</v>
      </c>
      <c r="E406" s="11" t="str">
        <f aca="false">IF($L406="","",INDEX('Price List'!$E$2:$E$1352,$L406)&amp;"")</f>
        <v/>
      </c>
      <c r="F406" s="10" t="str">
        <f aca="false">IF($L406="","",INDEX('Price List'!$F$2:$F$1352,$L406)&amp;"")</f>
        <v>160#</v>
      </c>
      <c r="G406" s="10" t="str">
        <f aca="false">IF($L406="","",INDEX('Price List'!$G$2:$G$1352,$L406)&amp;"")</f>
        <v>25 x 38</v>
      </c>
      <c r="H406" s="10" t="str">
        <f aca="false">IF($L406="","",INDEX('Price List'!$H$2:$H$1352,$L406)&amp;"")</f>
        <v>sheet</v>
      </c>
      <c r="I406" s="12" t="n">
        <f aca="false">IF($L406="","",IF(INDEX('Price List'!$I$2:$I$1352,$L406)="","",INDEX('Price List'!$I$2:$I$1352,$L406)))</f>
        <v>8.87</v>
      </c>
      <c r="J406" s="11" t="str">
        <f aca="false">IF($L406="","",INDEX('Price List'!$J$2:$J$1352,$L406)&amp;"")</f>
        <v>Scanned list - verify column alignment</v>
      </c>
      <c r="K406" s="10" t="str">
        <f aca="false">IF($L406="","",INDEX('Price List'!$K$2:$K$1352,$L406)&amp;"")</f>
        <v>May 26, 2026</v>
      </c>
      <c r="L406" s="13" t="n">
        <f aca="false">IF(396&gt;$H$4,"",MATCH(396,'Price List'!$M$2:$M$1352,0))</f>
        <v>396</v>
      </c>
    </row>
    <row r="407" customFormat="false" ht="15" hidden="false" customHeight="false" outlineLevel="0" collapsed="false">
      <c r="A407" s="9" t="n">
        <v>397</v>
      </c>
      <c r="B407" s="10" t="str">
        <f aca="false">IF($L407="","",INDEX('Price List'!$B$2:$B$1352,$L407)&amp;"")</f>
        <v>Star Paper Corp. (Luzon)</v>
      </c>
      <c r="C407" s="10" t="str">
        <f aca="false">IF($L407="","",INDEX('Price List'!$C$2:$C$1352,$L407)&amp;"")</f>
        <v>Coated Paper (C2S/Matte)</v>
      </c>
      <c r="D407" s="11" t="str">
        <f aca="false">IF($L407="","",INDEX('Price List'!$D$2:$D$1352,$L407)&amp;"")</f>
        <v>C2S Board - GCC/BC/IPS/AJC</v>
      </c>
      <c r="E407" s="11" t="str">
        <f aca="false">IF($L407="","",INDEX('Price List'!$E$2:$E$1352,$L407)&amp;"")</f>
        <v/>
      </c>
      <c r="F407" s="10" t="str">
        <f aca="false">IF($L407="","",INDEX('Price List'!$F$2:$F$1352,$L407)&amp;"")</f>
        <v>170#</v>
      </c>
      <c r="G407" s="10" t="str">
        <f aca="false">IF($L407="","",INDEX('Price List'!$G$2:$G$1352,$L407)&amp;"")</f>
        <v>25 x 38</v>
      </c>
      <c r="H407" s="10" t="str">
        <f aca="false">IF($L407="","",INDEX('Price List'!$H$2:$H$1352,$L407)&amp;"")</f>
        <v>100 sheets</v>
      </c>
      <c r="I407" s="12" t="n">
        <f aca="false">IF($L407="","",IF(INDEX('Price List'!$I$2:$I$1352,$L407)="","",INDEX('Price List'!$I$2:$I$1352,$L407)))</f>
        <v>979.2</v>
      </c>
      <c r="J407" s="11" t="str">
        <f aca="false">IF($L407="","",INDEX('Price List'!$J$2:$J$1352,$L407)&amp;"")</f>
        <v/>
      </c>
      <c r="K407" s="10" t="str">
        <f aca="false">IF($L407="","",INDEX('Price List'!$K$2:$K$1352,$L407)&amp;"")</f>
        <v>May 26, 2026</v>
      </c>
      <c r="L407" s="13" t="n">
        <f aca="false">IF(397&gt;$H$4,"",MATCH(397,'Price List'!$M$2:$M$1352,0))</f>
        <v>397</v>
      </c>
    </row>
    <row r="408" customFormat="false" ht="15" hidden="false" customHeight="false" outlineLevel="0" collapsed="false">
      <c r="A408" s="9" t="n">
        <v>398</v>
      </c>
      <c r="B408" s="10" t="str">
        <f aca="false">IF($L408="","",INDEX('Price List'!$B$2:$B$1352,$L408)&amp;"")</f>
        <v>Star Paper Corp. (Luzon)</v>
      </c>
      <c r="C408" s="10" t="str">
        <f aca="false">IF($L408="","",INDEX('Price List'!$C$2:$C$1352,$L408)&amp;"")</f>
        <v>Coated Paper (C2S/Matte)</v>
      </c>
      <c r="D408" s="11" t="str">
        <f aca="false">IF($L408="","",INDEX('Price List'!$D$2:$D$1352,$L408)&amp;"")</f>
        <v>C2S Board - NSC</v>
      </c>
      <c r="E408" s="11" t="str">
        <f aca="false">IF($L408="","",INDEX('Price List'!$E$2:$E$1352,$L408)&amp;"")</f>
        <v/>
      </c>
      <c r="F408" s="10" t="str">
        <f aca="false">IF($L408="","",INDEX('Price List'!$F$2:$F$1352,$L408)&amp;"")</f>
        <v>170#</v>
      </c>
      <c r="G408" s="10" t="str">
        <f aca="false">IF($L408="","",INDEX('Price List'!$G$2:$G$1352,$L408)&amp;"")</f>
        <v>25 x 38</v>
      </c>
      <c r="H408" s="10" t="str">
        <f aca="false">IF($L408="","",INDEX('Price List'!$H$2:$H$1352,$L408)&amp;"")</f>
        <v>sheet</v>
      </c>
      <c r="I408" s="12" t="n">
        <f aca="false">IF($L408="","",IF(INDEX('Price List'!$I$2:$I$1352,$L408)="","",INDEX('Price List'!$I$2:$I$1352,$L408)))</f>
        <v>10.1</v>
      </c>
      <c r="J408" s="11" t="str">
        <f aca="false">IF($L408="","",INDEX('Price List'!$J$2:$J$1352,$L408)&amp;"")</f>
        <v>Scanned list - verify column alignment</v>
      </c>
      <c r="K408" s="10" t="str">
        <f aca="false">IF($L408="","",INDEX('Price List'!$K$2:$K$1352,$L408)&amp;"")</f>
        <v>May 26, 2026</v>
      </c>
      <c r="L408" s="13" t="n">
        <f aca="false">IF(398&gt;$H$4,"",MATCH(398,'Price List'!$M$2:$M$1352,0))</f>
        <v>398</v>
      </c>
    </row>
    <row r="409" customFormat="false" ht="15" hidden="false" customHeight="false" outlineLevel="0" collapsed="false">
      <c r="A409" s="9" t="n">
        <v>399</v>
      </c>
      <c r="B409" s="10" t="str">
        <f aca="false">IF($L409="","",INDEX('Price List'!$B$2:$B$1352,$L409)&amp;"")</f>
        <v>Star Paper Corp. (Luzon)</v>
      </c>
      <c r="C409" s="10" t="str">
        <f aca="false">IF($L409="","",INDEX('Price List'!$C$2:$C$1352,$L409)&amp;"")</f>
        <v>Coated Paper (C2S/Matte)</v>
      </c>
      <c r="D409" s="11" t="str">
        <f aca="false">IF($L409="","",INDEX('Price List'!$D$2:$D$1352,$L409)&amp;"")</f>
        <v>C2S Board - GCC/BC/IPS/AJC</v>
      </c>
      <c r="E409" s="11" t="str">
        <f aca="false">IF($L409="","",INDEX('Price List'!$E$2:$E$1352,$L409)&amp;"")</f>
        <v/>
      </c>
      <c r="F409" s="10" t="str">
        <f aca="false">IF($L409="","",INDEX('Price List'!$F$2:$F$1352,$L409)&amp;"")</f>
        <v>180#</v>
      </c>
      <c r="G409" s="10" t="str">
        <f aca="false">IF($L409="","",INDEX('Price List'!$G$2:$G$1352,$L409)&amp;"")</f>
        <v>25 x 38</v>
      </c>
      <c r="H409" s="10" t="str">
        <f aca="false">IF($L409="","",INDEX('Price List'!$H$2:$H$1352,$L409)&amp;"")</f>
        <v>100 sheets</v>
      </c>
      <c r="I409" s="12" t="n">
        <f aca="false">IF($L409="","",IF(INDEX('Price List'!$I$2:$I$1352,$L409)="","",INDEX('Price List'!$I$2:$I$1352,$L409)))</f>
        <v>974.1</v>
      </c>
      <c r="J409" s="11" t="str">
        <f aca="false">IF($L409="","",INDEX('Price List'!$J$2:$J$1352,$L409)&amp;"")</f>
        <v>Price decreased</v>
      </c>
      <c r="K409" s="10" t="str">
        <f aca="false">IF($L409="","",INDEX('Price List'!$K$2:$K$1352,$L409)&amp;"")</f>
        <v>May 26, 2026</v>
      </c>
      <c r="L409" s="13" t="n">
        <f aca="false">IF(399&gt;$H$4,"",MATCH(399,'Price List'!$M$2:$M$1352,0))</f>
        <v>399</v>
      </c>
    </row>
    <row r="410" customFormat="false" ht="15" hidden="false" customHeight="false" outlineLevel="0" collapsed="false">
      <c r="A410" s="9" t="n">
        <v>400</v>
      </c>
      <c r="B410" s="10" t="str">
        <f aca="false">IF($L410="","",INDEX('Price List'!$B$2:$B$1352,$L410)&amp;"")</f>
        <v>Star Paper Corp. (Luzon)</v>
      </c>
      <c r="C410" s="10" t="str">
        <f aca="false">IF($L410="","",INDEX('Price List'!$C$2:$C$1352,$L410)&amp;"")</f>
        <v>Coated Paper (C2S/Matte)</v>
      </c>
      <c r="D410" s="11" t="str">
        <f aca="false">IF($L410="","",INDEX('Price List'!$D$2:$D$1352,$L410)&amp;"")</f>
        <v>C2S Board - NSC</v>
      </c>
      <c r="E410" s="11" t="str">
        <f aca="false">IF($L410="","",INDEX('Price List'!$E$2:$E$1352,$L410)&amp;"")</f>
        <v/>
      </c>
      <c r="F410" s="10" t="str">
        <f aca="false">IF($L410="","",INDEX('Price List'!$F$2:$F$1352,$L410)&amp;"")</f>
        <v>180#</v>
      </c>
      <c r="G410" s="10" t="str">
        <f aca="false">IF($L410="","",INDEX('Price List'!$G$2:$G$1352,$L410)&amp;"")</f>
        <v>25 x 38</v>
      </c>
      <c r="H410" s="10" t="str">
        <f aca="false">IF($L410="","",INDEX('Price List'!$H$2:$H$1352,$L410)&amp;"")</f>
        <v>sheet</v>
      </c>
      <c r="I410" s="12" t="n">
        <f aca="false">IF($L410="","",IF(INDEX('Price List'!$I$2:$I$1352,$L410)="","",INDEX('Price List'!$I$2:$I$1352,$L410)))</f>
        <v>10.46</v>
      </c>
      <c r="J410" s="11" t="str">
        <f aca="false">IF($L410="","",INDEX('Price List'!$J$2:$J$1352,$L410)&amp;"")</f>
        <v>Scanned list - verify column alignment</v>
      </c>
      <c r="K410" s="10" t="str">
        <f aca="false">IF($L410="","",INDEX('Price List'!$K$2:$K$1352,$L410)&amp;"")</f>
        <v>May 26, 2026</v>
      </c>
      <c r="L410" s="13" t="n">
        <f aca="false">IF(400&gt;$H$4,"",MATCH(400,'Price List'!$M$2:$M$1352,0))</f>
        <v>400</v>
      </c>
    </row>
  </sheetData>
  <mergeCells count="5">
    <mergeCell ref="C4:E4"/>
    <mergeCell ref="C5:E5"/>
    <mergeCell ref="C6:E6"/>
    <mergeCell ref="C7:E7"/>
    <mergeCell ref="C8:E8"/>
  </mergeCells>
  <conditionalFormatting sqref="A11:K410">
    <cfRule type="expression" priority="2" aboveAverage="0" equalAverage="0" bottom="0" percent="0" rank="0" text="" dxfId="0">
      <formula>AND($L11&lt;&gt;"",MOD($A11,2)=0)</formula>
    </cfRule>
    <cfRule type="expression" priority="3" aboveAverage="0" equalAverage="0" bottom="0" percent="0" rank="0" text="" dxfId="1">
      <formula>$L11&lt;&gt;""</formula>
    </cfRule>
  </conditionalFormatting>
  <dataValidations count="3">
    <dataValidation allowBlank="true" errorStyle="stop" operator="between" showDropDown="false" showErrorMessage="false" showInputMessage="false" sqref="C4" type="list">
      <formula1>SupplierList</formula1>
      <formula2>0</formula2>
    </dataValidation>
    <dataValidation allowBlank="true" errorStyle="stop" operator="between" showDropDown="false" showErrorMessage="false" showInputMessage="false" sqref="C5" type="list">
      <formula1>CategoryList</formula1>
      <formula2>0</formula2>
    </dataValidation>
    <dataValidation allowBlank="true" errorStyle="stop" operator="between" showDropDown="false" showErrorMessage="false" showInputMessage="false" sqref="C6" type="list">
      <formula1>ItemList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1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44"/>
    <col collapsed="false" customWidth="true" hidden="false" outlineLevel="0" max="11" min="11" style="0" width="20"/>
    <col collapsed="false" customWidth="true" hidden="true" outlineLevel="0" max="12" min="12" style="0" width="7"/>
    <col collapsed="false" customWidth="true" hidden="true" outlineLevel="0" max="13" min="13" style="0" width="8"/>
  </cols>
  <sheetData>
    <row r="1" customFormat="false" ht="23.85" hidden="false" customHeight="false" outlineLevel="0" collapsed="false">
      <c r="A1" s="8" t="s">
        <v>21</v>
      </c>
      <c r="B1" s="8" t="s">
        <v>2</v>
      </c>
      <c r="C1" s="8" t="s">
        <v>5</v>
      </c>
      <c r="D1" s="8" t="s">
        <v>7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22</v>
      </c>
      <c r="M1" s="8" t="s">
        <v>23</v>
      </c>
    </row>
    <row r="2" customFormat="false" ht="15" hidden="false" customHeight="false" outlineLevel="0" collapsed="false">
      <c r="A2" s="14" t="n">
        <v>1</v>
      </c>
      <c r="B2" s="15" t="s">
        <v>24</v>
      </c>
      <c r="C2" s="15" t="s">
        <v>25</v>
      </c>
      <c r="D2" s="16" t="s">
        <v>26</v>
      </c>
      <c r="E2" s="16"/>
      <c r="F2" s="15"/>
      <c r="G2" s="15"/>
      <c r="H2" s="15" t="s">
        <v>27</v>
      </c>
      <c r="I2" s="17" t="n">
        <v>0.018</v>
      </c>
      <c r="J2" s="16" t="s">
        <v>28</v>
      </c>
      <c r="K2" s="15" t="s">
        <v>29</v>
      </c>
      <c r="L2" s="15" t="n">
        <f aca="false">IF(AND(OR(Search!$C$4="",Search!$C$4="All",B2=Search!$C$4),OR(Search!$C$5="",Search!$C$5="All",C2=Search!$C$5),OR(Search!$C$6="",Search!$C$6="All",D2=Search!$C$6),OR(Search!$C$7="",ISNUMBER(SEARCH(Search!$C$7,D2&amp;" "&amp;E2&amp;" "&amp;F2&amp;" "&amp;G2&amp;" "&amp;H2&amp;" "&amp;J2))),OR(Search!$C$8="",ISNUMBER(SEARCH(Search!$C$8,G2)))),1,0)</f>
        <v>1</v>
      </c>
      <c r="M2" s="15" t="n">
        <f aca="false">L2</f>
        <v>1</v>
      </c>
    </row>
    <row r="3" customFormat="false" ht="15" hidden="false" customHeight="false" outlineLevel="0" collapsed="false">
      <c r="A3" s="14" t="n">
        <v>2</v>
      </c>
      <c r="B3" s="15" t="s">
        <v>24</v>
      </c>
      <c r="C3" s="15" t="s">
        <v>25</v>
      </c>
      <c r="D3" s="16" t="s">
        <v>30</v>
      </c>
      <c r="E3" s="16"/>
      <c r="F3" s="15"/>
      <c r="G3" s="15"/>
      <c r="H3" s="15" t="s">
        <v>27</v>
      </c>
      <c r="I3" s="17" t="n">
        <v>0.008</v>
      </c>
      <c r="J3" s="16" t="s">
        <v>31</v>
      </c>
      <c r="K3" s="15" t="s">
        <v>29</v>
      </c>
      <c r="L3" s="15" t="n">
        <f aca="false">IF(AND(OR(Search!$C$4="",Search!$C$4="All",B3=Search!$C$4),OR(Search!$C$5="",Search!$C$5="All",C3=Search!$C$5),OR(Search!$C$6="",Search!$C$6="All",D3=Search!$C$6),OR(Search!$C$7="",ISNUMBER(SEARCH(Search!$C$7,D3&amp;" "&amp;E3&amp;" "&amp;F3&amp;" "&amp;G3&amp;" "&amp;H3&amp;" "&amp;J3))),OR(Search!$C$8="",ISNUMBER(SEARCH(Search!$C$8,G3)))),1,0)</f>
        <v>1</v>
      </c>
      <c r="M3" s="15" t="n">
        <f aca="false">M2+L3</f>
        <v>2</v>
      </c>
    </row>
    <row r="4" customFormat="false" ht="15" hidden="false" customHeight="false" outlineLevel="0" collapsed="false">
      <c r="A4" s="14" t="n">
        <v>3</v>
      </c>
      <c r="B4" s="15" t="s">
        <v>24</v>
      </c>
      <c r="C4" s="15" t="s">
        <v>25</v>
      </c>
      <c r="D4" s="16" t="s">
        <v>32</v>
      </c>
      <c r="E4" s="16"/>
      <c r="F4" s="15"/>
      <c r="G4" s="15"/>
      <c r="H4" s="15" t="s">
        <v>27</v>
      </c>
      <c r="I4" s="17" t="n">
        <v>0.006</v>
      </c>
      <c r="J4" s="16" t="s">
        <v>31</v>
      </c>
      <c r="K4" s="15" t="s">
        <v>29</v>
      </c>
      <c r="L4" s="15" t="n">
        <f aca="false">IF(AND(OR(Search!$C$4="",Search!$C$4="All",B4=Search!$C$4),OR(Search!$C$5="",Search!$C$5="All",C4=Search!$C$5),OR(Search!$C$6="",Search!$C$6="All",D4=Search!$C$6),OR(Search!$C$7="",ISNUMBER(SEARCH(Search!$C$7,D4&amp;" "&amp;E4&amp;" "&amp;F4&amp;" "&amp;G4&amp;" "&amp;H4&amp;" "&amp;J4))),OR(Search!$C$8="",ISNUMBER(SEARCH(Search!$C$8,G4)))),1,0)</f>
        <v>1</v>
      </c>
      <c r="M4" s="15" t="n">
        <f aca="false">M3+L4</f>
        <v>3</v>
      </c>
    </row>
    <row r="5" customFormat="false" ht="15" hidden="false" customHeight="false" outlineLevel="0" collapsed="false">
      <c r="A5" s="14" t="n">
        <v>4</v>
      </c>
      <c r="B5" s="15" t="s">
        <v>24</v>
      </c>
      <c r="C5" s="15" t="s">
        <v>25</v>
      </c>
      <c r="D5" s="16" t="s">
        <v>33</v>
      </c>
      <c r="E5" s="16"/>
      <c r="F5" s="15"/>
      <c r="G5" s="15"/>
      <c r="H5" s="15" t="s">
        <v>27</v>
      </c>
      <c r="I5" s="17" t="n">
        <v>0.009</v>
      </c>
      <c r="J5" s="16" t="s">
        <v>31</v>
      </c>
      <c r="K5" s="15" t="s">
        <v>29</v>
      </c>
      <c r="L5" s="15" t="n">
        <f aca="false">IF(AND(OR(Search!$C$4="",Search!$C$4="All",B5=Search!$C$4),OR(Search!$C$5="",Search!$C$5="All",C5=Search!$C$5),OR(Search!$C$6="",Search!$C$6="All",D5=Search!$C$6),OR(Search!$C$7="",ISNUMBER(SEARCH(Search!$C$7,D5&amp;" "&amp;E5&amp;" "&amp;F5&amp;" "&amp;G5&amp;" "&amp;H5&amp;" "&amp;J5))),OR(Search!$C$8="",ISNUMBER(SEARCH(Search!$C$8,G5)))),1,0)</f>
        <v>1</v>
      </c>
      <c r="M5" s="15" t="n">
        <f aca="false">M4+L5</f>
        <v>4</v>
      </c>
    </row>
    <row r="6" customFormat="false" ht="15" hidden="false" customHeight="false" outlineLevel="0" collapsed="false">
      <c r="A6" s="14" t="n">
        <v>5</v>
      </c>
      <c r="B6" s="15" t="s">
        <v>24</v>
      </c>
      <c r="C6" s="15" t="s">
        <v>25</v>
      </c>
      <c r="D6" s="16" t="s">
        <v>34</v>
      </c>
      <c r="E6" s="16"/>
      <c r="F6" s="15"/>
      <c r="G6" s="15"/>
      <c r="H6" s="15" t="s">
        <v>27</v>
      </c>
      <c r="I6" s="17" t="n">
        <v>0.009</v>
      </c>
      <c r="J6" s="16" t="s">
        <v>31</v>
      </c>
      <c r="K6" s="15" t="s">
        <v>29</v>
      </c>
      <c r="L6" s="15" t="n">
        <f aca="false">IF(AND(OR(Search!$C$4="",Search!$C$4="All",B6=Search!$C$4),OR(Search!$C$5="",Search!$C$5="All",C6=Search!$C$5),OR(Search!$C$6="",Search!$C$6="All",D6=Search!$C$6),OR(Search!$C$7="",ISNUMBER(SEARCH(Search!$C$7,D6&amp;" "&amp;E6&amp;" "&amp;F6&amp;" "&amp;G6&amp;" "&amp;H6&amp;" "&amp;J6))),OR(Search!$C$8="",ISNUMBER(SEARCH(Search!$C$8,G6)))),1,0)</f>
        <v>1</v>
      </c>
      <c r="M6" s="15" t="n">
        <f aca="false">M5+L6</f>
        <v>5</v>
      </c>
    </row>
    <row r="7" customFormat="false" ht="15" hidden="false" customHeight="false" outlineLevel="0" collapsed="false">
      <c r="A7" s="14" t="n">
        <v>6</v>
      </c>
      <c r="B7" s="15" t="s">
        <v>24</v>
      </c>
      <c r="C7" s="15" t="s">
        <v>25</v>
      </c>
      <c r="D7" s="16" t="s">
        <v>35</v>
      </c>
      <c r="E7" s="16"/>
      <c r="F7" s="15"/>
      <c r="G7" s="15"/>
      <c r="H7" s="15" t="s">
        <v>27</v>
      </c>
      <c r="I7" s="17" t="n">
        <v>0.006</v>
      </c>
      <c r="J7" s="16" t="s">
        <v>31</v>
      </c>
      <c r="K7" s="15" t="s">
        <v>29</v>
      </c>
      <c r="L7" s="15" t="n">
        <f aca="false">IF(AND(OR(Search!$C$4="",Search!$C$4="All",B7=Search!$C$4),OR(Search!$C$5="",Search!$C$5="All",C7=Search!$C$5),OR(Search!$C$6="",Search!$C$6="All",D7=Search!$C$6),OR(Search!$C$7="",ISNUMBER(SEARCH(Search!$C$7,D7&amp;" "&amp;E7&amp;" "&amp;F7&amp;" "&amp;G7&amp;" "&amp;H7&amp;" "&amp;J7))),OR(Search!$C$8="",ISNUMBER(SEARCH(Search!$C$8,G7)))),1,0)</f>
        <v>1</v>
      </c>
      <c r="M7" s="15" t="n">
        <f aca="false">M6+L7</f>
        <v>6</v>
      </c>
    </row>
    <row r="8" customFormat="false" ht="15" hidden="false" customHeight="false" outlineLevel="0" collapsed="false">
      <c r="A8" s="14" t="n">
        <v>7</v>
      </c>
      <c r="B8" s="15" t="s">
        <v>24</v>
      </c>
      <c r="C8" s="15" t="s">
        <v>25</v>
      </c>
      <c r="D8" s="16" t="s">
        <v>36</v>
      </c>
      <c r="E8" s="16"/>
      <c r="F8" s="15"/>
      <c r="G8" s="15"/>
      <c r="H8" s="15" t="s">
        <v>27</v>
      </c>
      <c r="I8" s="17" t="n">
        <v>0.009</v>
      </c>
      <c r="J8" s="16" t="s">
        <v>31</v>
      </c>
      <c r="K8" s="15" t="s">
        <v>29</v>
      </c>
      <c r="L8" s="15" t="n">
        <f aca="false">IF(AND(OR(Search!$C$4="",Search!$C$4="All",B8=Search!$C$4),OR(Search!$C$5="",Search!$C$5="All",C8=Search!$C$5),OR(Search!$C$6="",Search!$C$6="All",D8=Search!$C$6),OR(Search!$C$7="",ISNUMBER(SEARCH(Search!$C$7,D8&amp;" "&amp;E8&amp;" "&amp;F8&amp;" "&amp;G8&amp;" "&amp;H8&amp;" "&amp;J8))),OR(Search!$C$8="",ISNUMBER(SEARCH(Search!$C$8,G8)))),1,0)</f>
        <v>1</v>
      </c>
      <c r="M8" s="15" t="n">
        <f aca="false">M7+L8</f>
        <v>7</v>
      </c>
    </row>
    <row r="9" customFormat="false" ht="15" hidden="false" customHeight="false" outlineLevel="0" collapsed="false">
      <c r="A9" s="14" t="n">
        <v>8</v>
      </c>
      <c r="B9" s="15" t="s">
        <v>24</v>
      </c>
      <c r="C9" s="15" t="s">
        <v>25</v>
      </c>
      <c r="D9" s="16" t="s">
        <v>37</v>
      </c>
      <c r="E9" s="16"/>
      <c r="F9" s="15"/>
      <c r="G9" s="15"/>
      <c r="H9" s="15" t="s">
        <v>27</v>
      </c>
      <c r="I9" s="17" t="n">
        <v>0.003</v>
      </c>
      <c r="J9" s="16" t="s">
        <v>38</v>
      </c>
      <c r="K9" s="15" t="s">
        <v>29</v>
      </c>
      <c r="L9" s="15" t="n">
        <f aca="false">IF(AND(OR(Search!$C$4="",Search!$C$4="All",B9=Search!$C$4),OR(Search!$C$5="",Search!$C$5="All",C9=Search!$C$5),OR(Search!$C$6="",Search!$C$6="All",D9=Search!$C$6),OR(Search!$C$7="",ISNUMBER(SEARCH(Search!$C$7,D9&amp;" "&amp;E9&amp;" "&amp;F9&amp;" "&amp;G9&amp;" "&amp;H9&amp;" "&amp;J9))),OR(Search!$C$8="",ISNUMBER(SEARCH(Search!$C$8,G9)))),1,0)</f>
        <v>1</v>
      </c>
      <c r="M9" s="15" t="n">
        <f aca="false">M8+L9</f>
        <v>8</v>
      </c>
    </row>
    <row r="10" customFormat="false" ht="15" hidden="false" customHeight="false" outlineLevel="0" collapsed="false">
      <c r="A10" s="14" t="n">
        <v>9</v>
      </c>
      <c r="B10" s="15" t="s">
        <v>24</v>
      </c>
      <c r="C10" s="15" t="s">
        <v>25</v>
      </c>
      <c r="D10" s="16" t="s">
        <v>39</v>
      </c>
      <c r="E10" s="16"/>
      <c r="F10" s="15"/>
      <c r="G10" s="15"/>
      <c r="H10" s="15" t="s">
        <v>27</v>
      </c>
      <c r="I10" s="17" t="n">
        <v>0.0025</v>
      </c>
      <c r="J10" s="16" t="s">
        <v>40</v>
      </c>
      <c r="K10" s="15" t="s">
        <v>29</v>
      </c>
      <c r="L10" s="15" t="n">
        <f aca="false">IF(AND(OR(Search!$C$4="",Search!$C$4="All",B10=Search!$C$4),OR(Search!$C$5="",Search!$C$5="All",C10=Search!$C$5),OR(Search!$C$6="",Search!$C$6="All",D10=Search!$C$6),OR(Search!$C$7="",ISNUMBER(SEARCH(Search!$C$7,D10&amp;" "&amp;E10&amp;" "&amp;F10&amp;" "&amp;G10&amp;" "&amp;H10&amp;" "&amp;J10))),OR(Search!$C$8="",ISNUMBER(SEARCH(Search!$C$8,G10)))),1,0)</f>
        <v>1</v>
      </c>
      <c r="M10" s="15" t="n">
        <f aca="false">M9+L10</f>
        <v>9</v>
      </c>
    </row>
    <row r="11" customFormat="false" ht="15" hidden="false" customHeight="false" outlineLevel="0" collapsed="false">
      <c r="A11" s="14" t="n">
        <v>10</v>
      </c>
      <c r="B11" s="15" t="s">
        <v>24</v>
      </c>
      <c r="C11" s="15" t="s">
        <v>25</v>
      </c>
      <c r="D11" s="16" t="s">
        <v>41</v>
      </c>
      <c r="E11" s="16"/>
      <c r="F11" s="15"/>
      <c r="G11" s="15"/>
      <c r="H11" s="15" t="s">
        <v>27</v>
      </c>
      <c r="I11" s="17" t="n">
        <v>0.007</v>
      </c>
      <c r="J11" s="16" t="s">
        <v>42</v>
      </c>
      <c r="K11" s="15" t="s">
        <v>29</v>
      </c>
      <c r="L11" s="15" t="n">
        <f aca="false">IF(AND(OR(Search!$C$4="",Search!$C$4="All",B11=Search!$C$4),OR(Search!$C$5="",Search!$C$5="All",C11=Search!$C$5),OR(Search!$C$6="",Search!$C$6="All",D11=Search!$C$6),OR(Search!$C$7="",ISNUMBER(SEARCH(Search!$C$7,D11&amp;" "&amp;E11&amp;" "&amp;F11&amp;" "&amp;G11&amp;" "&amp;H11&amp;" "&amp;J11))),OR(Search!$C$8="",ISNUMBER(SEARCH(Search!$C$8,G11)))),1,0)</f>
        <v>1</v>
      </c>
      <c r="M11" s="15" t="n">
        <f aca="false">M10+L11</f>
        <v>10</v>
      </c>
    </row>
    <row r="12" customFormat="false" ht="15" hidden="false" customHeight="false" outlineLevel="0" collapsed="false">
      <c r="A12" s="14" t="n">
        <v>11</v>
      </c>
      <c r="B12" s="15" t="s">
        <v>24</v>
      </c>
      <c r="C12" s="15" t="s">
        <v>25</v>
      </c>
      <c r="D12" s="16" t="s">
        <v>43</v>
      </c>
      <c r="E12" s="16"/>
      <c r="F12" s="15"/>
      <c r="G12" s="15"/>
      <c r="H12" s="15" t="s">
        <v>27</v>
      </c>
      <c r="I12" s="17" t="n">
        <v>0.009</v>
      </c>
      <c r="J12" s="16" t="s">
        <v>44</v>
      </c>
      <c r="K12" s="15" t="s">
        <v>29</v>
      </c>
      <c r="L12" s="15" t="n">
        <f aca="false">IF(AND(OR(Search!$C$4="",Search!$C$4="All",B12=Search!$C$4),OR(Search!$C$5="",Search!$C$5="All",C12=Search!$C$5),OR(Search!$C$6="",Search!$C$6="All",D12=Search!$C$6),OR(Search!$C$7="",ISNUMBER(SEARCH(Search!$C$7,D12&amp;" "&amp;E12&amp;" "&amp;F12&amp;" "&amp;G12&amp;" "&amp;H12&amp;" "&amp;J12))),OR(Search!$C$8="",ISNUMBER(SEARCH(Search!$C$8,G12)))),1,0)</f>
        <v>1</v>
      </c>
      <c r="M12" s="15" t="n">
        <f aca="false">M11+L12</f>
        <v>11</v>
      </c>
    </row>
    <row r="13" customFormat="false" ht="15" hidden="false" customHeight="false" outlineLevel="0" collapsed="false">
      <c r="A13" s="14" t="n">
        <v>12</v>
      </c>
      <c r="B13" s="15" t="s">
        <v>24</v>
      </c>
      <c r="C13" s="15" t="s">
        <v>25</v>
      </c>
      <c r="D13" s="16" t="s">
        <v>45</v>
      </c>
      <c r="E13" s="16"/>
      <c r="F13" s="15"/>
      <c r="G13" s="15"/>
      <c r="H13" s="15" t="s">
        <v>27</v>
      </c>
      <c r="I13" s="17" t="n">
        <v>0.007</v>
      </c>
      <c r="J13" s="16" t="s">
        <v>42</v>
      </c>
      <c r="K13" s="15" t="s">
        <v>29</v>
      </c>
      <c r="L13" s="15" t="n">
        <f aca="false">IF(AND(OR(Search!$C$4="",Search!$C$4="All",B13=Search!$C$4),OR(Search!$C$5="",Search!$C$5="All",C13=Search!$C$5),OR(Search!$C$6="",Search!$C$6="All",D13=Search!$C$6),OR(Search!$C$7="",ISNUMBER(SEARCH(Search!$C$7,D13&amp;" "&amp;E13&amp;" "&amp;F13&amp;" "&amp;G13&amp;" "&amp;H13&amp;" "&amp;J13))),OR(Search!$C$8="",ISNUMBER(SEARCH(Search!$C$8,G13)))),1,0)</f>
        <v>1</v>
      </c>
      <c r="M13" s="15" t="n">
        <f aca="false">M12+L13</f>
        <v>12</v>
      </c>
    </row>
    <row r="14" customFormat="false" ht="15" hidden="false" customHeight="false" outlineLevel="0" collapsed="false">
      <c r="A14" s="14" t="n">
        <v>13</v>
      </c>
      <c r="B14" s="15" t="s">
        <v>24</v>
      </c>
      <c r="C14" s="15" t="s">
        <v>25</v>
      </c>
      <c r="D14" s="16" t="s">
        <v>46</v>
      </c>
      <c r="E14" s="16"/>
      <c r="F14" s="15"/>
      <c r="G14" s="15"/>
      <c r="H14" s="15" t="s">
        <v>27</v>
      </c>
      <c r="I14" s="17" t="n">
        <v>0.008</v>
      </c>
      <c r="J14" s="16" t="s">
        <v>47</v>
      </c>
      <c r="K14" s="15" t="s">
        <v>29</v>
      </c>
      <c r="L14" s="15" t="n">
        <f aca="false">IF(AND(OR(Search!$C$4="",Search!$C$4="All",B14=Search!$C$4),OR(Search!$C$5="",Search!$C$5="All",C14=Search!$C$5),OR(Search!$C$6="",Search!$C$6="All",D14=Search!$C$6),OR(Search!$C$7="",ISNUMBER(SEARCH(Search!$C$7,D14&amp;" "&amp;E14&amp;" "&amp;F14&amp;" "&amp;G14&amp;" "&amp;H14&amp;" "&amp;J14))),OR(Search!$C$8="",ISNUMBER(SEARCH(Search!$C$8,G14)))),1,0)</f>
        <v>1</v>
      </c>
      <c r="M14" s="15" t="n">
        <f aca="false">M13+L14</f>
        <v>13</v>
      </c>
    </row>
    <row r="15" customFormat="false" ht="15" hidden="false" customHeight="false" outlineLevel="0" collapsed="false">
      <c r="A15" s="14" t="n">
        <v>14</v>
      </c>
      <c r="B15" s="15" t="s">
        <v>24</v>
      </c>
      <c r="C15" s="15" t="s">
        <v>25</v>
      </c>
      <c r="D15" s="16" t="s">
        <v>48</v>
      </c>
      <c r="E15" s="16"/>
      <c r="F15" s="15"/>
      <c r="G15" s="15" t="s">
        <v>49</v>
      </c>
      <c r="H15" s="15" t="s">
        <v>27</v>
      </c>
      <c r="I15" s="17" t="n">
        <v>0.025</v>
      </c>
      <c r="J15" s="16" t="s">
        <v>50</v>
      </c>
      <c r="K15" s="15" t="s">
        <v>29</v>
      </c>
      <c r="L15" s="15" t="n">
        <f aca="false">IF(AND(OR(Search!$C$4="",Search!$C$4="All",B15=Search!$C$4),OR(Search!$C$5="",Search!$C$5="All",C15=Search!$C$5),OR(Search!$C$6="",Search!$C$6="All",D15=Search!$C$6),OR(Search!$C$7="",ISNUMBER(SEARCH(Search!$C$7,D15&amp;" "&amp;E15&amp;" "&amp;F15&amp;" "&amp;G15&amp;" "&amp;H15&amp;" "&amp;J15))),OR(Search!$C$8="",ISNUMBER(SEARCH(Search!$C$8,G15)))),1,0)</f>
        <v>1</v>
      </c>
      <c r="M15" s="15" t="n">
        <f aca="false">M14+L15</f>
        <v>14</v>
      </c>
    </row>
    <row r="16" customFormat="false" ht="15" hidden="false" customHeight="false" outlineLevel="0" collapsed="false">
      <c r="A16" s="14" t="n">
        <v>15</v>
      </c>
      <c r="B16" s="15" t="s">
        <v>24</v>
      </c>
      <c r="C16" s="15" t="s">
        <v>25</v>
      </c>
      <c r="D16" s="16" t="s">
        <v>51</v>
      </c>
      <c r="E16" s="16"/>
      <c r="F16" s="15"/>
      <c r="G16" s="15"/>
      <c r="H16" s="15" t="s">
        <v>27</v>
      </c>
      <c r="I16" s="17" t="n">
        <v>0.0035</v>
      </c>
      <c r="J16" s="16" t="s">
        <v>31</v>
      </c>
      <c r="K16" s="15" t="s">
        <v>29</v>
      </c>
      <c r="L16" s="15" t="n">
        <f aca="false">IF(AND(OR(Search!$C$4="",Search!$C$4="All",B16=Search!$C$4),OR(Search!$C$5="",Search!$C$5="All",C16=Search!$C$5),OR(Search!$C$6="",Search!$C$6="All",D16=Search!$C$6),OR(Search!$C$7="",ISNUMBER(SEARCH(Search!$C$7,D16&amp;" "&amp;E16&amp;" "&amp;F16&amp;" "&amp;G16&amp;" "&amp;H16&amp;" "&amp;J16))),OR(Search!$C$8="",ISNUMBER(SEARCH(Search!$C$8,G16)))),1,0)</f>
        <v>1</v>
      </c>
      <c r="M16" s="15" t="n">
        <f aca="false">M15+L16</f>
        <v>15</v>
      </c>
    </row>
    <row r="17" customFormat="false" ht="15" hidden="false" customHeight="false" outlineLevel="0" collapsed="false">
      <c r="A17" s="14" t="n">
        <v>16</v>
      </c>
      <c r="B17" s="15" t="s">
        <v>24</v>
      </c>
      <c r="C17" s="15" t="s">
        <v>25</v>
      </c>
      <c r="D17" s="16" t="s">
        <v>52</v>
      </c>
      <c r="E17" s="16"/>
      <c r="F17" s="15"/>
      <c r="G17" s="15" t="s">
        <v>53</v>
      </c>
      <c r="H17" s="15" t="s">
        <v>27</v>
      </c>
      <c r="I17" s="17" t="n">
        <v>0.035</v>
      </c>
      <c r="J17" s="16" t="s">
        <v>28</v>
      </c>
      <c r="K17" s="15" t="s">
        <v>29</v>
      </c>
      <c r="L17" s="15" t="n">
        <f aca="false">IF(AND(OR(Search!$C$4="",Search!$C$4="All",B17=Search!$C$4),OR(Search!$C$5="",Search!$C$5="All",C17=Search!$C$5),OR(Search!$C$6="",Search!$C$6="All",D17=Search!$C$6),OR(Search!$C$7="",ISNUMBER(SEARCH(Search!$C$7,D17&amp;" "&amp;E17&amp;" "&amp;F17&amp;" "&amp;G17&amp;" "&amp;H17&amp;" "&amp;J17))),OR(Search!$C$8="",ISNUMBER(SEARCH(Search!$C$8,G17)))),1,0)</f>
        <v>1</v>
      </c>
      <c r="M17" s="15" t="n">
        <f aca="false">M16+L17</f>
        <v>16</v>
      </c>
    </row>
    <row r="18" customFormat="false" ht="15" hidden="false" customHeight="false" outlineLevel="0" collapsed="false">
      <c r="A18" s="14" t="n">
        <v>17</v>
      </c>
      <c r="B18" s="15" t="s">
        <v>24</v>
      </c>
      <c r="C18" s="15" t="s">
        <v>25</v>
      </c>
      <c r="D18" s="16" t="s">
        <v>54</v>
      </c>
      <c r="E18" s="16" t="s">
        <v>55</v>
      </c>
      <c r="F18" s="15"/>
      <c r="G18" s="15" t="s">
        <v>56</v>
      </c>
      <c r="H18" s="15" t="s">
        <v>27</v>
      </c>
      <c r="I18" s="17" t="n">
        <v>0.016</v>
      </c>
      <c r="J18" s="16" t="s">
        <v>57</v>
      </c>
      <c r="K18" s="15" t="s">
        <v>29</v>
      </c>
      <c r="L18" s="15" t="n">
        <f aca="false">IF(AND(OR(Search!$C$4="",Search!$C$4="All",B18=Search!$C$4),OR(Search!$C$5="",Search!$C$5="All",C18=Search!$C$5),OR(Search!$C$6="",Search!$C$6="All",D18=Search!$C$6),OR(Search!$C$7="",ISNUMBER(SEARCH(Search!$C$7,D18&amp;" "&amp;E18&amp;" "&amp;F18&amp;" "&amp;G18&amp;" "&amp;H18&amp;" "&amp;J18))),OR(Search!$C$8="",ISNUMBER(SEARCH(Search!$C$8,G18)))),1,0)</f>
        <v>1</v>
      </c>
      <c r="M18" s="15" t="n">
        <f aca="false">M17+L18</f>
        <v>17</v>
      </c>
    </row>
    <row r="19" customFormat="false" ht="15" hidden="false" customHeight="false" outlineLevel="0" collapsed="false">
      <c r="A19" s="14" t="n">
        <v>18</v>
      </c>
      <c r="B19" s="15" t="s">
        <v>24</v>
      </c>
      <c r="C19" s="15" t="s">
        <v>25</v>
      </c>
      <c r="D19" s="16" t="s">
        <v>54</v>
      </c>
      <c r="E19" s="16" t="s">
        <v>58</v>
      </c>
      <c r="F19" s="15"/>
      <c r="G19" s="15" t="s">
        <v>56</v>
      </c>
      <c r="H19" s="15" t="s">
        <v>27</v>
      </c>
      <c r="I19" s="17" t="n">
        <v>0.024</v>
      </c>
      <c r="J19" s="16" t="s">
        <v>57</v>
      </c>
      <c r="K19" s="15" t="s">
        <v>29</v>
      </c>
      <c r="L19" s="15" t="n">
        <f aca="false">IF(AND(OR(Search!$C$4="",Search!$C$4="All",B19=Search!$C$4),OR(Search!$C$5="",Search!$C$5="All",C19=Search!$C$5),OR(Search!$C$6="",Search!$C$6="All",D19=Search!$C$6),OR(Search!$C$7="",ISNUMBER(SEARCH(Search!$C$7,D19&amp;" "&amp;E19&amp;" "&amp;F19&amp;" "&amp;G19&amp;" "&amp;H19&amp;" "&amp;J19))),OR(Search!$C$8="",ISNUMBER(SEARCH(Search!$C$8,G19)))),1,0)</f>
        <v>1</v>
      </c>
      <c r="M19" s="15" t="n">
        <f aca="false">M18+L19</f>
        <v>18</v>
      </c>
    </row>
    <row r="20" customFormat="false" ht="15" hidden="false" customHeight="false" outlineLevel="0" collapsed="false">
      <c r="A20" s="14" t="n">
        <v>19</v>
      </c>
      <c r="B20" s="15" t="s">
        <v>24</v>
      </c>
      <c r="C20" s="15" t="s">
        <v>25</v>
      </c>
      <c r="D20" s="16" t="s">
        <v>54</v>
      </c>
      <c r="E20" s="16" t="s">
        <v>59</v>
      </c>
      <c r="F20" s="15"/>
      <c r="G20" s="15" t="s">
        <v>60</v>
      </c>
      <c r="H20" s="15" t="s">
        <v>27</v>
      </c>
      <c r="I20" s="17" t="n">
        <v>0.024</v>
      </c>
      <c r="J20" s="16" t="s">
        <v>57</v>
      </c>
      <c r="K20" s="15" t="s">
        <v>29</v>
      </c>
      <c r="L20" s="15" t="n">
        <f aca="false">IF(AND(OR(Search!$C$4="",Search!$C$4="All",B20=Search!$C$4),OR(Search!$C$5="",Search!$C$5="All",C20=Search!$C$5),OR(Search!$C$6="",Search!$C$6="All",D20=Search!$C$6),OR(Search!$C$7="",ISNUMBER(SEARCH(Search!$C$7,D20&amp;" "&amp;E20&amp;" "&amp;F20&amp;" "&amp;G20&amp;" "&amp;H20&amp;" "&amp;J20))),OR(Search!$C$8="",ISNUMBER(SEARCH(Search!$C$8,G20)))),1,0)</f>
        <v>1</v>
      </c>
      <c r="M20" s="15" t="n">
        <f aca="false">M19+L20</f>
        <v>19</v>
      </c>
    </row>
    <row r="21" customFormat="false" ht="23.85" hidden="false" customHeight="false" outlineLevel="0" collapsed="false">
      <c r="A21" s="14" t="n">
        <v>20</v>
      </c>
      <c r="B21" s="15" t="s">
        <v>24</v>
      </c>
      <c r="C21" s="15" t="s">
        <v>25</v>
      </c>
      <c r="D21" s="16" t="s">
        <v>61</v>
      </c>
      <c r="E21" s="16" t="s">
        <v>62</v>
      </c>
      <c r="F21" s="15"/>
      <c r="G21" s="15" t="s">
        <v>63</v>
      </c>
      <c r="H21" s="15" t="s">
        <v>64</v>
      </c>
      <c r="I21" s="17" t="n">
        <v>1500</v>
      </c>
      <c r="J21" s="16"/>
      <c r="K21" s="15" t="s">
        <v>29</v>
      </c>
      <c r="L21" s="15" t="n">
        <f aca="false">IF(AND(OR(Search!$C$4="",Search!$C$4="All",B21=Search!$C$4),OR(Search!$C$5="",Search!$C$5="All",C21=Search!$C$5),OR(Search!$C$6="",Search!$C$6="All",D21=Search!$C$6),OR(Search!$C$7="",ISNUMBER(SEARCH(Search!$C$7,D21&amp;" "&amp;E21&amp;" "&amp;F21&amp;" "&amp;G21&amp;" "&amp;H21&amp;" "&amp;J21))),OR(Search!$C$8="",ISNUMBER(SEARCH(Search!$C$8,G21)))),1,0)</f>
        <v>1</v>
      </c>
      <c r="M21" s="15" t="n">
        <f aca="false">M20+L21</f>
        <v>20</v>
      </c>
    </row>
    <row r="22" customFormat="false" ht="23.85" hidden="false" customHeight="false" outlineLevel="0" collapsed="false">
      <c r="A22" s="14" t="n">
        <v>21</v>
      </c>
      <c r="B22" s="15" t="s">
        <v>24</v>
      </c>
      <c r="C22" s="15" t="s">
        <v>25</v>
      </c>
      <c r="D22" s="16" t="s">
        <v>61</v>
      </c>
      <c r="E22" s="16" t="s">
        <v>65</v>
      </c>
      <c r="F22" s="15"/>
      <c r="G22" s="15" t="s">
        <v>66</v>
      </c>
      <c r="H22" s="15" t="s">
        <v>64</v>
      </c>
      <c r="I22" s="17" t="n">
        <v>2000</v>
      </c>
      <c r="J22" s="16"/>
      <c r="K22" s="15" t="s">
        <v>29</v>
      </c>
      <c r="L22" s="15" t="n">
        <f aca="false">IF(AND(OR(Search!$C$4="",Search!$C$4="All",B22=Search!$C$4),OR(Search!$C$5="",Search!$C$5="All",C22=Search!$C$5),OR(Search!$C$6="",Search!$C$6="All",D22=Search!$C$6),OR(Search!$C$7="",ISNUMBER(SEARCH(Search!$C$7,D22&amp;" "&amp;E22&amp;" "&amp;F22&amp;" "&amp;G22&amp;" "&amp;H22&amp;" "&amp;J22))),OR(Search!$C$8="",ISNUMBER(SEARCH(Search!$C$8,G22)))),1,0)</f>
        <v>1</v>
      </c>
      <c r="M22" s="15" t="n">
        <f aca="false">M21+L22</f>
        <v>21</v>
      </c>
    </row>
    <row r="23" customFormat="false" ht="15" hidden="false" customHeight="false" outlineLevel="0" collapsed="false">
      <c r="A23" s="14" t="n">
        <v>22</v>
      </c>
      <c r="B23" s="15" t="s">
        <v>24</v>
      </c>
      <c r="C23" s="15" t="s">
        <v>25</v>
      </c>
      <c r="D23" s="16" t="s">
        <v>67</v>
      </c>
      <c r="E23" s="16" t="s">
        <v>68</v>
      </c>
      <c r="F23" s="15"/>
      <c r="G23" s="15" t="s">
        <v>69</v>
      </c>
      <c r="H23" s="15" t="s">
        <v>70</v>
      </c>
      <c r="I23" s="17" t="n">
        <v>800</v>
      </c>
      <c r="J23" s="16" t="s">
        <v>71</v>
      </c>
      <c r="K23" s="15" t="s">
        <v>29</v>
      </c>
      <c r="L23" s="15" t="n">
        <f aca="false">IF(AND(OR(Search!$C$4="",Search!$C$4="All",B23=Search!$C$4),OR(Search!$C$5="",Search!$C$5="All",C23=Search!$C$5),OR(Search!$C$6="",Search!$C$6="All",D23=Search!$C$6),OR(Search!$C$7="",ISNUMBER(SEARCH(Search!$C$7,D23&amp;" "&amp;E23&amp;" "&amp;F23&amp;" "&amp;G23&amp;" "&amp;H23&amp;" "&amp;J23))),OR(Search!$C$8="",ISNUMBER(SEARCH(Search!$C$8,G23)))),1,0)</f>
        <v>1</v>
      </c>
      <c r="M23" s="15" t="n">
        <f aca="false">M22+L23</f>
        <v>22</v>
      </c>
    </row>
    <row r="24" customFormat="false" ht="15" hidden="false" customHeight="false" outlineLevel="0" collapsed="false">
      <c r="A24" s="14" t="n">
        <v>23</v>
      </c>
      <c r="B24" s="15" t="s">
        <v>24</v>
      </c>
      <c r="C24" s="15" t="s">
        <v>25</v>
      </c>
      <c r="D24" s="16" t="s">
        <v>67</v>
      </c>
      <c r="E24" s="16" t="s">
        <v>72</v>
      </c>
      <c r="F24" s="15"/>
      <c r="G24" s="15" t="s">
        <v>73</v>
      </c>
      <c r="H24" s="15" t="s">
        <v>70</v>
      </c>
      <c r="I24" s="17" t="n">
        <v>1200</v>
      </c>
      <c r="J24" s="16" t="s">
        <v>71</v>
      </c>
      <c r="K24" s="15" t="s">
        <v>29</v>
      </c>
      <c r="L24" s="15" t="n">
        <f aca="false">IF(AND(OR(Search!$C$4="",Search!$C$4="All",B24=Search!$C$4),OR(Search!$C$5="",Search!$C$5="All",C24=Search!$C$5),OR(Search!$C$6="",Search!$C$6="All",D24=Search!$C$6),OR(Search!$C$7="",ISNUMBER(SEARCH(Search!$C$7,D24&amp;" "&amp;E24&amp;" "&amp;F24&amp;" "&amp;G24&amp;" "&amp;H24&amp;" "&amp;J24))),OR(Search!$C$8="",ISNUMBER(SEARCH(Search!$C$8,G24)))),1,0)</f>
        <v>1</v>
      </c>
      <c r="M24" s="15" t="n">
        <f aca="false">M23+L24</f>
        <v>23</v>
      </c>
    </row>
    <row r="25" customFormat="false" ht="15" hidden="false" customHeight="false" outlineLevel="0" collapsed="false">
      <c r="A25" s="14" t="n">
        <v>24</v>
      </c>
      <c r="B25" s="15" t="s">
        <v>24</v>
      </c>
      <c r="C25" s="15" t="s">
        <v>25</v>
      </c>
      <c r="D25" s="16" t="s">
        <v>74</v>
      </c>
      <c r="E25" s="16" t="s">
        <v>75</v>
      </c>
      <c r="F25" s="15"/>
      <c r="G25" s="15"/>
      <c r="H25" s="15" t="s">
        <v>64</v>
      </c>
      <c r="I25" s="17" t="n">
        <v>1500</v>
      </c>
      <c r="J25" s="16"/>
      <c r="K25" s="15" t="s">
        <v>29</v>
      </c>
      <c r="L25" s="15" t="n">
        <f aca="false">IF(AND(OR(Search!$C$4="",Search!$C$4="All",B25=Search!$C$4),OR(Search!$C$5="",Search!$C$5="All",C25=Search!$C$5),OR(Search!$C$6="",Search!$C$6="All",D25=Search!$C$6),OR(Search!$C$7="",ISNUMBER(SEARCH(Search!$C$7,D25&amp;" "&amp;E25&amp;" "&amp;F25&amp;" "&amp;G25&amp;" "&amp;H25&amp;" "&amp;J25))),OR(Search!$C$8="",ISNUMBER(SEARCH(Search!$C$8,G25)))),1,0)</f>
        <v>1</v>
      </c>
      <c r="M25" s="15" t="n">
        <f aca="false">M24+L25</f>
        <v>24</v>
      </c>
    </row>
    <row r="26" customFormat="false" ht="15" hidden="false" customHeight="false" outlineLevel="0" collapsed="false">
      <c r="A26" s="14" t="n">
        <v>25</v>
      </c>
      <c r="B26" s="15" t="s">
        <v>76</v>
      </c>
      <c r="C26" s="15" t="s">
        <v>77</v>
      </c>
      <c r="D26" s="16" t="s">
        <v>78</v>
      </c>
      <c r="E26" s="16" t="s">
        <v>79</v>
      </c>
      <c r="F26" s="15" t="s">
        <v>80</v>
      </c>
      <c r="G26" s="15" t="s">
        <v>81</v>
      </c>
      <c r="H26" s="15" t="s">
        <v>82</v>
      </c>
      <c r="I26" s="17" t="n">
        <v>2716</v>
      </c>
      <c r="J26" s="16" t="s">
        <v>83</v>
      </c>
      <c r="K26" s="15" t="s">
        <v>84</v>
      </c>
      <c r="L26" s="15" t="n">
        <f aca="false">IF(AND(OR(Search!$C$4="",Search!$C$4="All",B26=Search!$C$4),OR(Search!$C$5="",Search!$C$5="All",C26=Search!$C$5),OR(Search!$C$6="",Search!$C$6="All",D26=Search!$C$6),OR(Search!$C$7="",ISNUMBER(SEARCH(Search!$C$7,D26&amp;" "&amp;E26&amp;" "&amp;F26&amp;" "&amp;G26&amp;" "&amp;H26&amp;" "&amp;J26))),OR(Search!$C$8="",ISNUMBER(SEARCH(Search!$C$8,G26)))),1,0)</f>
        <v>1</v>
      </c>
      <c r="M26" s="15" t="n">
        <f aca="false">M25+L26</f>
        <v>25</v>
      </c>
    </row>
    <row r="27" customFormat="false" ht="15" hidden="false" customHeight="false" outlineLevel="0" collapsed="false">
      <c r="A27" s="14" t="n">
        <v>26</v>
      </c>
      <c r="B27" s="15" t="s">
        <v>76</v>
      </c>
      <c r="C27" s="15" t="s">
        <v>77</v>
      </c>
      <c r="D27" s="16" t="s">
        <v>78</v>
      </c>
      <c r="E27" s="16" t="s">
        <v>79</v>
      </c>
      <c r="F27" s="15" t="s">
        <v>85</v>
      </c>
      <c r="G27" s="15" t="s">
        <v>86</v>
      </c>
      <c r="H27" s="15" t="s">
        <v>82</v>
      </c>
      <c r="I27" s="17" t="n">
        <v>2861.6</v>
      </c>
      <c r="J27" s="16" t="s">
        <v>87</v>
      </c>
      <c r="K27" s="15" t="s">
        <v>84</v>
      </c>
      <c r="L27" s="15" t="n">
        <f aca="false">IF(AND(OR(Search!$C$4="",Search!$C$4="All",B27=Search!$C$4),OR(Search!$C$5="",Search!$C$5="All",C27=Search!$C$5),OR(Search!$C$6="",Search!$C$6="All",D27=Search!$C$6),OR(Search!$C$7="",ISNUMBER(SEARCH(Search!$C$7,D27&amp;" "&amp;E27&amp;" "&amp;F27&amp;" "&amp;G27&amp;" "&amp;H27&amp;" "&amp;J27))),OR(Search!$C$8="",ISNUMBER(SEARCH(Search!$C$8,G27)))),1,0)</f>
        <v>1</v>
      </c>
      <c r="M27" s="15" t="n">
        <f aca="false">M26+L27</f>
        <v>26</v>
      </c>
    </row>
    <row r="28" customFormat="false" ht="15" hidden="false" customHeight="false" outlineLevel="0" collapsed="false">
      <c r="A28" s="14" t="n">
        <v>27</v>
      </c>
      <c r="B28" s="15" t="s">
        <v>76</v>
      </c>
      <c r="C28" s="15" t="s">
        <v>77</v>
      </c>
      <c r="D28" s="16" t="s">
        <v>78</v>
      </c>
      <c r="E28" s="16" t="s">
        <v>79</v>
      </c>
      <c r="F28" s="15" t="s">
        <v>88</v>
      </c>
      <c r="G28" s="15" t="s">
        <v>89</v>
      </c>
      <c r="H28" s="15" t="s">
        <v>82</v>
      </c>
      <c r="I28" s="17" t="n">
        <v>2940</v>
      </c>
      <c r="J28" s="16" t="s">
        <v>90</v>
      </c>
      <c r="K28" s="15" t="s">
        <v>84</v>
      </c>
      <c r="L28" s="15" t="n">
        <f aca="false">IF(AND(OR(Search!$C$4="",Search!$C$4="All",B28=Search!$C$4),OR(Search!$C$5="",Search!$C$5="All",C28=Search!$C$5),OR(Search!$C$6="",Search!$C$6="All",D28=Search!$C$6),OR(Search!$C$7="",ISNUMBER(SEARCH(Search!$C$7,D28&amp;" "&amp;E28&amp;" "&amp;F28&amp;" "&amp;G28&amp;" "&amp;H28&amp;" "&amp;J28))),OR(Search!$C$8="",ISNUMBER(SEARCH(Search!$C$8,G28)))),1,0)</f>
        <v>1</v>
      </c>
      <c r="M28" s="15" t="n">
        <f aca="false">M27+L28</f>
        <v>27</v>
      </c>
    </row>
    <row r="29" customFormat="false" ht="15" hidden="false" customHeight="false" outlineLevel="0" collapsed="false">
      <c r="A29" s="14" t="n">
        <v>28</v>
      </c>
      <c r="B29" s="15" t="s">
        <v>76</v>
      </c>
      <c r="C29" s="15" t="s">
        <v>77</v>
      </c>
      <c r="D29" s="16" t="s">
        <v>78</v>
      </c>
      <c r="E29" s="16" t="s">
        <v>79</v>
      </c>
      <c r="F29" s="15" t="s">
        <v>91</v>
      </c>
      <c r="G29" s="15" t="s">
        <v>92</v>
      </c>
      <c r="H29" s="15" t="s">
        <v>82</v>
      </c>
      <c r="I29" s="17" t="n">
        <v>3203.2</v>
      </c>
      <c r="J29" s="16" t="s">
        <v>93</v>
      </c>
      <c r="K29" s="15" t="s">
        <v>84</v>
      </c>
      <c r="L29" s="15" t="n">
        <f aca="false">IF(AND(OR(Search!$C$4="",Search!$C$4="All",B29=Search!$C$4),OR(Search!$C$5="",Search!$C$5="All",C29=Search!$C$5),OR(Search!$C$6="",Search!$C$6="All",D29=Search!$C$6),OR(Search!$C$7="",ISNUMBER(SEARCH(Search!$C$7,D29&amp;" "&amp;E29&amp;" "&amp;F29&amp;" "&amp;G29&amp;" "&amp;H29&amp;" "&amp;J29))),OR(Search!$C$8="",ISNUMBER(SEARCH(Search!$C$8,G29)))),1,0)</f>
        <v>1</v>
      </c>
      <c r="M29" s="15" t="n">
        <f aca="false">M28+L29</f>
        <v>28</v>
      </c>
    </row>
    <row r="30" customFormat="false" ht="15" hidden="false" customHeight="false" outlineLevel="0" collapsed="false">
      <c r="A30" s="14" t="n">
        <v>29</v>
      </c>
      <c r="B30" s="15" t="s">
        <v>76</v>
      </c>
      <c r="C30" s="15" t="s">
        <v>77</v>
      </c>
      <c r="D30" s="16" t="s">
        <v>78</v>
      </c>
      <c r="E30" s="16" t="s">
        <v>79</v>
      </c>
      <c r="F30" s="15" t="s">
        <v>94</v>
      </c>
      <c r="G30" s="15" t="s">
        <v>95</v>
      </c>
      <c r="H30" s="15" t="s">
        <v>82</v>
      </c>
      <c r="I30" s="17" t="n">
        <v>3444</v>
      </c>
      <c r="J30" s="16" t="s">
        <v>96</v>
      </c>
      <c r="K30" s="15" t="s">
        <v>84</v>
      </c>
      <c r="L30" s="15" t="n">
        <f aca="false">IF(AND(OR(Search!$C$4="",Search!$C$4="All",B30=Search!$C$4),OR(Search!$C$5="",Search!$C$5="All",C30=Search!$C$5),OR(Search!$C$6="",Search!$C$6="All",D30=Search!$C$6),OR(Search!$C$7="",ISNUMBER(SEARCH(Search!$C$7,D30&amp;" "&amp;E30&amp;" "&amp;F30&amp;" "&amp;G30&amp;" "&amp;H30&amp;" "&amp;J30))),OR(Search!$C$8="",ISNUMBER(SEARCH(Search!$C$8,G30)))),1,0)</f>
        <v>1</v>
      </c>
      <c r="M30" s="15" t="n">
        <f aca="false">M29+L30</f>
        <v>29</v>
      </c>
    </row>
    <row r="31" customFormat="false" ht="15" hidden="false" customHeight="false" outlineLevel="0" collapsed="false">
      <c r="A31" s="14" t="n">
        <v>30</v>
      </c>
      <c r="B31" s="15" t="s">
        <v>76</v>
      </c>
      <c r="C31" s="15" t="s">
        <v>77</v>
      </c>
      <c r="D31" s="16" t="s">
        <v>78</v>
      </c>
      <c r="E31" s="16" t="s">
        <v>79</v>
      </c>
      <c r="F31" s="15" t="s">
        <v>97</v>
      </c>
      <c r="G31" s="15" t="s">
        <v>98</v>
      </c>
      <c r="H31" s="15" t="s">
        <v>82</v>
      </c>
      <c r="I31" s="17" t="n">
        <v>3651.2</v>
      </c>
      <c r="J31" s="16" t="s">
        <v>99</v>
      </c>
      <c r="K31" s="15" t="s">
        <v>84</v>
      </c>
      <c r="L31" s="15" t="n">
        <f aca="false">IF(AND(OR(Search!$C$4="",Search!$C$4="All",B31=Search!$C$4),OR(Search!$C$5="",Search!$C$5="All",C31=Search!$C$5),OR(Search!$C$6="",Search!$C$6="All",D31=Search!$C$6),OR(Search!$C$7="",ISNUMBER(SEARCH(Search!$C$7,D31&amp;" "&amp;E31&amp;" "&amp;F31&amp;" "&amp;G31&amp;" "&amp;H31&amp;" "&amp;J31))),OR(Search!$C$8="",ISNUMBER(SEARCH(Search!$C$8,G31)))),1,0)</f>
        <v>1</v>
      </c>
      <c r="M31" s="15" t="n">
        <f aca="false">M30+L31</f>
        <v>30</v>
      </c>
    </row>
    <row r="32" customFormat="false" ht="15" hidden="false" customHeight="false" outlineLevel="0" collapsed="false">
      <c r="A32" s="14" t="n">
        <v>31</v>
      </c>
      <c r="B32" s="15" t="s">
        <v>76</v>
      </c>
      <c r="C32" s="15" t="s">
        <v>77</v>
      </c>
      <c r="D32" s="16" t="s">
        <v>78</v>
      </c>
      <c r="E32" s="16" t="s">
        <v>79</v>
      </c>
      <c r="F32" s="15" t="s">
        <v>100</v>
      </c>
      <c r="G32" s="15" t="s">
        <v>101</v>
      </c>
      <c r="H32" s="15" t="s">
        <v>82</v>
      </c>
      <c r="I32" s="17" t="n">
        <v>3864</v>
      </c>
      <c r="J32" s="16" t="s">
        <v>102</v>
      </c>
      <c r="K32" s="15" t="s">
        <v>84</v>
      </c>
      <c r="L32" s="15" t="n">
        <f aca="false">IF(AND(OR(Search!$C$4="",Search!$C$4="All",B32=Search!$C$4),OR(Search!$C$5="",Search!$C$5="All",C32=Search!$C$5),OR(Search!$C$6="",Search!$C$6="All",D32=Search!$C$6),OR(Search!$C$7="",ISNUMBER(SEARCH(Search!$C$7,D32&amp;" "&amp;E32&amp;" "&amp;F32&amp;" "&amp;G32&amp;" "&amp;H32&amp;" "&amp;J32))),OR(Search!$C$8="",ISNUMBER(SEARCH(Search!$C$8,G32)))),1,0)</f>
        <v>1</v>
      </c>
      <c r="M32" s="15" t="n">
        <f aca="false">M31+L32</f>
        <v>31</v>
      </c>
    </row>
    <row r="33" customFormat="false" ht="15" hidden="false" customHeight="false" outlineLevel="0" collapsed="false">
      <c r="A33" s="14" t="n">
        <v>32</v>
      </c>
      <c r="B33" s="15" t="s">
        <v>76</v>
      </c>
      <c r="C33" s="15" t="s">
        <v>77</v>
      </c>
      <c r="D33" s="16" t="s">
        <v>78</v>
      </c>
      <c r="E33" s="16" t="s">
        <v>79</v>
      </c>
      <c r="F33" s="15" t="s">
        <v>103</v>
      </c>
      <c r="G33" s="15" t="s">
        <v>104</v>
      </c>
      <c r="H33" s="15" t="s">
        <v>82</v>
      </c>
      <c r="I33" s="17" t="n">
        <v>4088</v>
      </c>
      <c r="J33" s="16" t="s">
        <v>105</v>
      </c>
      <c r="K33" s="15" t="s">
        <v>84</v>
      </c>
      <c r="L33" s="15" t="n">
        <f aca="false">IF(AND(OR(Search!$C$4="",Search!$C$4="All",B33=Search!$C$4),OR(Search!$C$5="",Search!$C$5="All",C33=Search!$C$5),OR(Search!$C$6="",Search!$C$6="All",D33=Search!$C$6),OR(Search!$C$7="",ISNUMBER(SEARCH(Search!$C$7,D33&amp;" "&amp;E33&amp;" "&amp;F33&amp;" "&amp;G33&amp;" "&amp;H33&amp;" "&amp;J33))),OR(Search!$C$8="",ISNUMBER(SEARCH(Search!$C$8,G33)))),1,0)</f>
        <v>1</v>
      </c>
      <c r="M33" s="15" t="n">
        <f aca="false">M32+L33</f>
        <v>32</v>
      </c>
    </row>
    <row r="34" customFormat="false" ht="15" hidden="false" customHeight="false" outlineLevel="0" collapsed="false">
      <c r="A34" s="14" t="n">
        <v>33</v>
      </c>
      <c r="B34" s="15" t="s">
        <v>76</v>
      </c>
      <c r="C34" s="15" t="s">
        <v>77</v>
      </c>
      <c r="D34" s="16" t="s">
        <v>78</v>
      </c>
      <c r="E34" s="16" t="s">
        <v>79</v>
      </c>
      <c r="F34" s="15" t="s">
        <v>106</v>
      </c>
      <c r="G34" s="15" t="s">
        <v>107</v>
      </c>
      <c r="H34" s="15" t="s">
        <v>82</v>
      </c>
      <c r="I34" s="17" t="n">
        <v>4340</v>
      </c>
      <c r="J34" s="16" t="s">
        <v>108</v>
      </c>
      <c r="K34" s="15" t="s">
        <v>84</v>
      </c>
      <c r="L34" s="15" t="n">
        <f aca="false">IF(AND(OR(Search!$C$4="",Search!$C$4="All",B34=Search!$C$4),OR(Search!$C$5="",Search!$C$5="All",C34=Search!$C$5),OR(Search!$C$6="",Search!$C$6="All",D34=Search!$C$6),OR(Search!$C$7="",ISNUMBER(SEARCH(Search!$C$7,D34&amp;" "&amp;E34&amp;" "&amp;F34&amp;" "&amp;G34&amp;" "&amp;H34&amp;" "&amp;J34))),OR(Search!$C$8="",ISNUMBER(SEARCH(Search!$C$8,G34)))),1,0)</f>
        <v>1</v>
      </c>
      <c r="M34" s="15" t="n">
        <f aca="false">M33+L34</f>
        <v>33</v>
      </c>
    </row>
    <row r="35" customFormat="false" ht="15" hidden="false" customHeight="false" outlineLevel="0" collapsed="false">
      <c r="A35" s="14" t="n">
        <v>34</v>
      </c>
      <c r="B35" s="15" t="s">
        <v>76</v>
      </c>
      <c r="C35" s="15" t="s">
        <v>77</v>
      </c>
      <c r="D35" s="16" t="s">
        <v>78</v>
      </c>
      <c r="E35" s="16" t="s">
        <v>79</v>
      </c>
      <c r="F35" s="15" t="s">
        <v>109</v>
      </c>
      <c r="G35" s="15" t="s">
        <v>110</v>
      </c>
      <c r="H35" s="15" t="s">
        <v>82</v>
      </c>
      <c r="I35" s="17" t="n">
        <v>5656</v>
      </c>
      <c r="J35" s="16" t="s">
        <v>111</v>
      </c>
      <c r="K35" s="15" t="s">
        <v>84</v>
      </c>
      <c r="L35" s="15" t="n">
        <f aca="false">IF(AND(OR(Search!$C$4="",Search!$C$4="All",B35=Search!$C$4),OR(Search!$C$5="",Search!$C$5="All",C35=Search!$C$5),OR(Search!$C$6="",Search!$C$6="All",D35=Search!$C$6),OR(Search!$C$7="",ISNUMBER(SEARCH(Search!$C$7,D35&amp;" "&amp;E35&amp;" "&amp;F35&amp;" "&amp;G35&amp;" "&amp;H35&amp;" "&amp;J35))),OR(Search!$C$8="",ISNUMBER(SEARCH(Search!$C$8,G35)))),1,0)</f>
        <v>1</v>
      </c>
      <c r="M35" s="15" t="n">
        <f aca="false">M34+L35</f>
        <v>34</v>
      </c>
    </row>
    <row r="36" customFormat="false" ht="15" hidden="false" customHeight="false" outlineLevel="0" collapsed="false">
      <c r="A36" s="14" t="n">
        <v>35</v>
      </c>
      <c r="B36" s="15" t="s">
        <v>76</v>
      </c>
      <c r="C36" s="15" t="s">
        <v>77</v>
      </c>
      <c r="D36" s="16" t="s">
        <v>78</v>
      </c>
      <c r="E36" s="16" t="s">
        <v>112</v>
      </c>
      <c r="F36" s="15" t="s">
        <v>113</v>
      </c>
      <c r="G36" s="15" t="s">
        <v>81</v>
      </c>
      <c r="H36" s="15" t="s">
        <v>82</v>
      </c>
      <c r="I36" s="17" t="n">
        <v>3528</v>
      </c>
      <c r="J36" s="16" t="s">
        <v>114</v>
      </c>
      <c r="K36" s="15" t="s">
        <v>84</v>
      </c>
      <c r="L36" s="15" t="n">
        <f aca="false">IF(AND(OR(Search!$C$4="",Search!$C$4="All",B36=Search!$C$4),OR(Search!$C$5="",Search!$C$5="All",C36=Search!$C$5),OR(Search!$C$6="",Search!$C$6="All",D36=Search!$C$6),OR(Search!$C$7="",ISNUMBER(SEARCH(Search!$C$7,D36&amp;" "&amp;E36&amp;" "&amp;F36&amp;" "&amp;G36&amp;" "&amp;H36&amp;" "&amp;J36))),OR(Search!$C$8="",ISNUMBER(SEARCH(Search!$C$8,G36)))),1,0)</f>
        <v>1</v>
      </c>
      <c r="M36" s="15" t="n">
        <f aca="false">M35+L36</f>
        <v>35</v>
      </c>
    </row>
    <row r="37" customFormat="false" ht="15" hidden="false" customHeight="false" outlineLevel="0" collapsed="false">
      <c r="A37" s="14" t="n">
        <v>36</v>
      </c>
      <c r="B37" s="15" t="s">
        <v>76</v>
      </c>
      <c r="C37" s="15" t="s">
        <v>77</v>
      </c>
      <c r="D37" s="16" t="s">
        <v>78</v>
      </c>
      <c r="E37" s="16" t="s">
        <v>112</v>
      </c>
      <c r="F37" s="15" t="s">
        <v>115</v>
      </c>
      <c r="G37" s="15" t="s">
        <v>86</v>
      </c>
      <c r="H37" s="15" t="s">
        <v>82</v>
      </c>
      <c r="I37" s="17" t="n">
        <v>3690.4</v>
      </c>
      <c r="J37" s="16" t="s">
        <v>116</v>
      </c>
      <c r="K37" s="15" t="s">
        <v>84</v>
      </c>
      <c r="L37" s="15" t="n">
        <f aca="false">IF(AND(OR(Search!$C$4="",Search!$C$4="All",B37=Search!$C$4),OR(Search!$C$5="",Search!$C$5="All",C37=Search!$C$5),OR(Search!$C$6="",Search!$C$6="All",D37=Search!$C$6),OR(Search!$C$7="",ISNUMBER(SEARCH(Search!$C$7,D37&amp;" "&amp;E37&amp;" "&amp;F37&amp;" "&amp;G37&amp;" "&amp;H37&amp;" "&amp;J37))),OR(Search!$C$8="",ISNUMBER(SEARCH(Search!$C$8,G37)))),1,0)</f>
        <v>1</v>
      </c>
      <c r="M37" s="15" t="n">
        <f aca="false">M36+L37</f>
        <v>36</v>
      </c>
    </row>
    <row r="38" customFormat="false" ht="15" hidden="false" customHeight="false" outlineLevel="0" collapsed="false">
      <c r="A38" s="14" t="n">
        <v>37</v>
      </c>
      <c r="B38" s="15" t="s">
        <v>76</v>
      </c>
      <c r="C38" s="15" t="s">
        <v>77</v>
      </c>
      <c r="D38" s="16" t="s">
        <v>78</v>
      </c>
      <c r="E38" s="16" t="s">
        <v>112</v>
      </c>
      <c r="F38" s="15" t="s">
        <v>117</v>
      </c>
      <c r="G38" s="15" t="s">
        <v>89</v>
      </c>
      <c r="H38" s="15" t="s">
        <v>82</v>
      </c>
      <c r="I38" s="17" t="n">
        <v>3780</v>
      </c>
      <c r="J38" s="16" t="s">
        <v>118</v>
      </c>
      <c r="K38" s="15" t="s">
        <v>84</v>
      </c>
      <c r="L38" s="15" t="n">
        <f aca="false">IF(AND(OR(Search!$C$4="",Search!$C$4="All",B38=Search!$C$4),OR(Search!$C$5="",Search!$C$5="All",C38=Search!$C$5),OR(Search!$C$6="",Search!$C$6="All",D38=Search!$C$6),OR(Search!$C$7="",ISNUMBER(SEARCH(Search!$C$7,D38&amp;" "&amp;E38&amp;" "&amp;F38&amp;" "&amp;G38&amp;" "&amp;H38&amp;" "&amp;J38))),OR(Search!$C$8="",ISNUMBER(SEARCH(Search!$C$8,G38)))),1,0)</f>
        <v>1</v>
      </c>
      <c r="M38" s="15" t="n">
        <f aca="false">M37+L38</f>
        <v>37</v>
      </c>
    </row>
    <row r="39" customFormat="false" ht="15" hidden="false" customHeight="false" outlineLevel="0" collapsed="false">
      <c r="A39" s="14" t="n">
        <v>38</v>
      </c>
      <c r="B39" s="15" t="s">
        <v>76</v>
      </c>
      <c r="C39" s="15" t="s">
        <v>77</v>
      </c>
      <c r="D39" s="16" t="s">
        <v>78</v>
      </c>
      <c r="E39" s="16" t="s">
        <v>112</v>
      </c>
      <c r="F39" s="15" t="s">
        <v>119</v>
      </c>
      <c r="G39" s="15" t="s">
        <v>95</v>
      </c>
      <c r="H39" s="15" t="s">
        <v>82</v>
      </c>
      <c r="I39" s="17" t="n">
        <v>4452</v>
      </c>
      <c r="J39" s="16" t="s">
        <v>120</v>
      </c>
      <c r="K39" s="15" t="s">
        <v>84</v>
      </c>
      <c r="L39" s="15" t="n">
        <f aca="false">IF(AND(OR(Search!$C$4="",Search!$C$4="All",B39=Search!$C$4),OR(Search!$C$5="",Search!$C$5="All",C39=Search!$C$5),OR(Search!$C$6="",Search!$C$6="All",D39=Search!$C$6),OR(Search!$C$7="",ISNUMBER(SEARCH(Search!$C$7,D39&amp;" "&amp;E39&amp;" "&amp;F39&amp;" "&amp;G39&amp;" "&amp;H39&amp;" "&amp;J39))),OR(Search!$C$8="",ISNUMBER(SEARCH(Search!$C$8,G39)))),1,0)</f>
        <v>1</v>
      </c>
      <c r="M39" s="15" t="n">
        <f aca="false">M38+L39</f>
        <v>38</v>
      </c>
    </row>
    <row r="40" customFormat="false" ht="15" hidden="false" customHeight="false" outlineLevel="0" collapsed="false">
      <c r="A40" s="14" t="n">
        <v>39</v>
      </c>
      <c r="B40" s="15" t="s">
        <v>76</v>
      </c>
      <c r="C40" s="15" t="s">
        <v>77</v>
      </c>
      <c r="D40" s="16" t="s">
        <v>78</v>
      </c>
      <c r="E40" s="16" t="s">
        <v>112</v>
      </c>
      <c r="F40" s="15" t="s">
        <v>121</v>
      </c>
      <c r="G40" s="15" t="s">
        <v>104</v>
      </c>
      <c r="H40" s="15" t="s">
        <v>82</v>
      </c>
      <c r="I40" s="17" t="n">
        <v>5320</v>
      </c>
      <c r="J40" s="16" t="s">
        <v>122</v>
      </c>
      <c r="K40" s="15" t="s">
        <v>84</v>
      </c>
      <c r="L40" s="15" t="n">
        <f aca="false">IF(AND(OR(Search!$C$4="",Search!$C$4="All",B40=Search!$C$4),OR(Search!$C$5="",Search!$C$5="All",C40=Search!$C$5),OR(Search!$C$6="",Search!$C$6="All",D40=Search!$C$6),OR(Search!$C$7="",ISNUMBER(SEARCH(Search!$C$7,D40&amp;" "&amp;E40&amp;" "&amp;F40&amp;" "&amp;G40&amp;" "&amp;H40&amp;" "&amp;J40))),OR(Search!$C$8="",ISNUMBER(SEARCH(Search!$C$8,G40)))),1,0)</f>
        <v>1</v>
      </c>
      <c r="M40" s="15" t="n">
        <f aca="false">M39+L40</f>
        <v>39</v>
      </c>
    </row>
    <row r="41" customFormat="false" ht="15" hidden="false" customHeight="false" outlineLevel="0" collapsed="false">
      <c r="A41" s="14" t="n">
        <v>40</v>
      </c>
      <c r="B41" s="15" t="s">
        <v>76</v>
      </c>
      <c r="C41" s="15" t="s">
        <v>77</v>
      </c>
      <c r="D41" s="16" t="s">
        <v>78</v>
      </c>
      <c r="E41" s="16" t="s">
        <v>112</v>
      </c>
      <c r="F41" s="15" t="s">
        <v>123</v>
      </c>
      <c r="G41" s="15" t="s">
        <v>107</v>
      </c>
      <c r="H41" s="15" t="s">
        <v>82</v>
      </c>
      <c r="I41" s="17" t="n">
        <v>5628</v>
      </c>
      <c r="J41" s="16" t="s">
        <v>124</v>
      </c>
      <c r="K41" s="15" t="s">
        <v>84</v>
      </c>
      <c r="L41" s="15" t="n">
        <f aca="false">IF(AND(OR(Search!$C$4="",Search!$C$4="All",B41=Search!$C$4),OR(Search!$C$5="",Search!$C$5="All",C41=Search!$C$5),OR(Search!$C$6="",Search!$C$6="All",D41=Search!$C$6),OR(Search!$C$7="",ISNUMBER(SEARCH(Search!$C$7,D41&amp;" "&amp;E41&amp;" "&amp;F41&amp;" "&amp;G41&amp;" "&amp;H41&amp;" "&amp;J41))),OR(Search!$C$8="",ISNUMBER(SEARCH(Search!$C$8,G41)))),1,0)</f>
        <v>1</v>
      </c>
      <c r="M41" s="15" t="n">
        <f aca="false">M40+L41</f>
        <v>40</v>
      </c>
    </row>
    <row r="42" customFormat="false" ht="15" hidden="false" customHeight="false" outlineLevel="0" collapsed="false">
      <c r="A42" s="14" t="n">
        <v>41</v>
      </c>
      <c r="B42" s="15" t="s">
        <v>76</v>
      </c>
      <c r="C42" s="15" t="s">
        <v>77</v>
      </c>
      <c r="D42" s="16" t="s">
        <v>78</v>
      </c>
      <c r="E42" s="16" t="s">
        <v>112</v>
      </c>
      <c r="F42" s="15" t="s">
        <v>125</v>
      </c>
      <c r="G42" s="15" t="s">
        <v>110</v>
      </c>
      <c r="H42" s="15" t="s">
        <v>82</v>
      </c>
      <c r="I42" s="17" t="n">
        <v>7280</v>
      </c>
      <c r="J42" s="16" t="s">
        <v>126</v>
      </c>
      <c r="K42" s="15" t="s">
        <v>84</v>
      </c>
      <c r="L42" s="15" t="n">
        <f aca="false">IF(AND(OR(Search!$C$4="",Search!$C$4="All",B42=Search!$C$4),OR(Search!$C$5="",Search!$C$5="All",C42=Search!$C$5),OR(Search!$C$6="",Search!$C$6="All",D42=Search!$C$6),OR(Search!$C$7="",ISNUMBER(SEARCH(Search!$C$7,D42&amp;" "&amp;E42&amp;" "&amp;F42&amp;" "&amp;G42&amp;" "&amp;H42&amp;" "&amp;J42))),OR(Search!$C$8="",ISNUMBER(SEARCH(Search!$C$8,G42)))),1,0)</f>
        <v>1</v>
      </c>
      <c r="M42" s="15" t="n">
        <f aca="false">M41+L42</f>
        <v>41</v>
      </c>
    </row>
    <row r="43" customFormat="false" ht="15" hidden="false" customHeight="false" outlineLevel="0" collapsed="false">
      <c r="A43" s="14" t="n">
        <v>42</v>
      </c>
      <c r="B43" s="15" t="s">
        <v>76</v>
      </c>
      <c r="C43" s="15" t="s">
        <v>77</v>
      </c>
      <c r="D43" s="16" t="s">
        <v>127</v>
      </c>
      <c r="E43" s="16" t="s">
        <v>128</v>
      </c>
      <c r="F43" s="15" t="s">
        <v>129</v>
      </c>
      <c r="G43" s="15" t="s">
        <v>89</v>
      </c>
      <c r="H43" s="15" t="s">
        <v>82</v>
      </c>
      <c r="I43" s="17" t="n">
        <v>10906.93</v>
      </c>
      <c r="J43" s="16" t="s">
        <v>130</v>
      </c>
      <c r="K43" s="15" t="s">
        <v>84</v>
      </c>
      <c r="L43" s="15" t="n">
        <f aca="false">IF(AND(OR(Search!$C$4="",Search!$C$4="All",B43=Search!$C$4),OR(Search!$C$5="",Search!$C$5="All",C43=Search!$C$5),OR(Search!$C$6="",Search!$C$6="All",D43=Search!$C$6),OR(Search!$C$7="",ISNUMBER(SEARCH(Search!$C$7,D43&amp;" "&amp;E43&amp;" "&amp;F43&amp;" "&amp;G43&amp;" "&amp;H43&amp;" "&amp;J43))),OR(Search!$C$8="",ISNUMBER(SEARCH(Search!$C$8,G43)))),1,0)</f>
        <v>1</v>
      </c>
      <c r="M43" s="15" t="n">
        <f aca="false">M42+L43</f>
        <v>42</v>
      </c>
    </row>
    <row r="44" customFormat="false" ht="15" hidden="false" customHeight="false" outlineLevel="0" collapsed="false">
      <c r="A44" s="14" t="n">
        <v>43</v>
      </c>
      <c r="B44" s="15" t="s">
        <v>76</v>
      </c>
      <c r="C44" s="15" t="s">
        <v>77</v>
      </c>
      <c r="D44" s="16" t="s">
        <v>127</v>
      </c>
      <c r="E44" s="16" t="s">
        <v>128</v>
      </c>
      <c r="F44" s="15" t="s">
        <v>131</v>
      </c>
      <c r="G44" s="15" t="s">
        <v>132</v>
      </c>
      <c r="H44" s="15" t="s">
        <v>82</v>
      </c>
      <c r="I44" s="17" t="n">
        <v>14951.72</v>
      </c>
      <c r="J44" s="16" t="s">
        <v>133</v>
      </c>
      <c r="K44" s="15" t="s">
        <v>84</v>
      </c>
      <c r="L44" s="15" t="n">
        <f aca="false">IF(AND(OR(Search!$C$4="",Search!$C$4="All",B44=Search!$C$4),OR(Search!$C$5="",Search!$C$5="All",C44=Search!$C$5),OR(Search!$C$6="",Search!$C$6="All",D44=Search!$C$6),OR(Search!$C$7="",ISNUMBER(SEARCH(Search!$C$7,D44&amp;" "&amp;E44&amp;" "&amp;F44&amp;" "&amp;G44&amp;" "&amp;H44&amp;" "&amp;J44))),OR(Search!$C$8="",ISNUMBER(SEARCH(Search!$C$8,G44)))),1,0)</f>
        <v>1</v>
      </c>
      <c r="M44" s="15" t="n">
        <f aca="false">M43+L44</f>
        <v>43</v>
      </c>
    </row>
    <row r="45" customFormat="false" ht="15" hidden="false" customHeight="false" outlineLevel="0" collapsed="false">
      <c r="A45" s="14" t="n">
        <v>44</v>
      </c>
      <c r="B45" s="15" t="s">
        <v>76</v>
      </c>
      <c r="C45" s="15" t="s">
        <v>77</v>
      </c>
      <c r="D45" s="16" t="s">
        <v>127</v>
      </c>
      <c r="E45" s="16" t="s">
        <v>128</v>
      </c>
      <c r="F45" s="15" t="s">
        <v>134</v>
      </c>
      <c r="G45" s="15" t="s">
        <v>135</v>
      </c>
      <c r="H45" s="15" t="s">
        <v>82</v>
      </c>
      <c r="I45" s="17" t="n">
        <v>15803.96</v>
      </c>
      <c r="J45" s="16" t="s">
        <v>136</v>
      </c>
      <c r="K45" s="15" t="s">
        <v>84</v>
      </c>
      <c r="L45" s="15" t="n">
        <f aca="false">IF(AND(OR(Search!$C$4="",Search!$C$4="All",B45=Search!$C$4),OR(Search!$C$5="",Search!$C$5="All",C45=Search!$C$5),OR(Search!$C$6="",Search!$C$6="All",D45=Search!$C$6),OR(Search!$C$7="",ISNUMBER(SEARCH(Search!$C$7,D45&amp;" "&amp;E45&amp;" "&amp;F45&amp;" "&amp;G45&amp;" "&amp;H45&amp;" "&amp;J45))),OR(Search!$C$8="",ISNUMBER(SEARCH(Search!$C$8,G45)))),1,0)</f>
        <v>1</v>
      </c>
      <c r="M45" s="15" t="n">
        <f aca="false">M44+L45</f>
        <v>44</v>
      </c>
    </row>
    <row r="46" customFormat="false" ht="15" hidden="false" customHeight="false" outlineLevel="0" collapsed="false">
      <c r="A46" s="14" t="n">
        <v>45</v>
      </c>
      <c r="B46" s="15" t="s">
        <v>76</v>
      </c>
      <c r="C46" s="15" t="s">
        <v>77</v>
      </c>
      <c r="D46" s="16" t="s">
        <v>127</v>
      </c>
      <c r="E46" s="16" t="s">
        <v>137</v>
      </c>
      <c r="F46" s="15" t="s">
        <v>138</v>
      </c>
      <c r="G46" s="15" t="s">
        <v>89</v>
      </c>
      <c r="H46" s="15" t="s">
        <v>82</v>
      </c>
      <c r="I46" s="17" t="n">
        <v>12015.11</v>
      </c>
      <c r="J46" s="16" t="s">
        <v>139</v>
      </c>
      <c r="K46" s="15" t="s">
        <v>84</v>
      </c>
      <c r="L46" s="15" t="n">
        <f aca="false">IF(AND(OR(Search!$C$4="",Search!$C$4="All",B46=Search!$C$4),OR(Search!$C$5="",Search!$C$5="All",C46=Search!$C$5),OR(Search!$C$6="",Search!$C$6="All",D46=Search!$C$6),OR(Search!$C$7="",ISNUMBER(SEARCH(Search!$C$7,D46&amp;" "&amp;E46&amp;" "&amp;F46&amp;" "&amp;G46&amp;" "&amp;H46&amp;" "&amp;J46))),OR(Search!$C$8="",ISNUMBER(SEARCH(Search!$C$8,G46)))),1,0)</f>
        <v>1</v>
      </c>
      <c r="M46" s="15" t="n">
        <f aca="false">M45+L46</f>
        <v>45</v>
      </c>
    </row>
    <row r="47" customFormat="false" ht="15" hidden="false" customHeight="false" outlineLevel="0" collapsed="false">
      <c r="A47" s="14" t="n">
        <v>46</v>
      </c>
      <c r="B47" s="15" t="s">
        <v>76</v>
      </c>
      <c r="C47" s="15" t="s">
        <v>77</v>
      </c>
      <c r="D47" s="16" t="s">
        <v>127</v>
      </c>
      <c r="E47" s="16" t="s">
        <v>137</v>
      </c>
      <c r="F47" s="15" t="s">
        <v>140</v>
      </c>
      <c r="G47" s="15" t="s">
        <v>132</v>
      </c>
      <c r="H47" s="15" t="s">
        <v>82</v>
      </c>
      <c r="I47" s="17" t="n">
        <v>16639.45</v>
      </c>
      <c r="J47" s="16" t="s">
        <v>141</v>
      </c>
      <c r="K47" s="15" t="s">
        <v>84</v>
      </c>
      <c r="L47" s="15" t="n">
        <f aca="false">IF(AND(OR(Search!$C$4="",Search!$C$4="All",B47=Search!$C$4),OR(Search!$C$5="",Search!$C$5="All",C47=Search!$C$5),OR(Search!$C$6="",Search!$C$6="All",D47=Search!$C$6),OR(Search!$C$7="",ISNUMBER(SEARCH(Search!$C$7,D47&amp;" "&amp;E47&amp;" "&amp;F47&amp;" "&amp;G47&amp;" "&amp;H47&amp;" "&amp;J47))),OR(Search!$C$8="",ISNUMBER(SEARCH(Search!$C$8,G47)))),1,0)</f>
        <v>1</v>
      </c>
      <c r="M47" s="15" t="n">
        <f aca="false">M46+L47</f>
        <v>46</v>
      </c>
    </row>
    <row r="48" customFormat="false" ht="15" hidden="false" customHeight="false" outlineLevel="0" collapsed="false">
      <c r="A48" s="14" t="n">
        <v>47</v>
      </c>
      <c r="B48" s="15" t="s">
        <v>76</v>
      </c>
      <c r="C48" s="15" t="s">
        <v>77</v>
      </c>
      <c r="D48" s="16" t="s">
        <v>127</v>
      </c>
      <c r="E48" s="16" t="s">
        <v>137</v>
      </c>
      <c r="F48" s="15" t="s">
        <v>142</v>
      </c>
      <c r="G48" s="15" t="s">
        <v>135</v>
      </c>
      <c r="H48" s="15" t="s">
        <v>82</v>
      </c>
      <c r="I48" s="17" t="n">
        <v>17586.16</v>
      </c>
      <c r="J48" s="16" t="s">
        <v>143</v>
      </c>
      <c r="K48" s="15" t="s">
        <v>84</v>
      </c>
      <c r="L48" s="15" t="n">
        <f aca="false">IF(AND(OR(Search!$C$4="",Search!$C$4="All",B48=Search!$C$4),OR(Search!$C$5="",Search!$C$5="All",C48=Search!$C$5),OR(Search!$C$6="",Search!$C$6="All",D48=Search!$C$6),OR(Search!$C$7="",ISNUMBER(SEARCH(Search!$C$7,D48&amp;" "&amp;E48&amp;" "&amp;F48&amp;" "&amp;G48&amp;" "&amp;H48&amp;" "&amp;J48))),OR(Search!$C$8="",ISNUMBER(SEARCH(Search!$C$8,G48)))),1,0)</f>
        <v>1</v>
      </c>
      <c r="M48" s="15" t="n">
        <f aca="false">M47+L48</f>
        <v>47</v>
      </c>
    </row>
    <row r="49" customFormat="false" ht="15" hidden="false" customHeight="false" outlineLevel="0" collapsed="false">
      <c r="A49" s="14" t="n">
        <v>48</v>
      </c>
      <c r="B49" s="15" t="s">
        <v>76</v>
      </c>
      <c r="C49" s="15" t="s">
        <v>77</v>
      </c>
      <c r="D49" s="16" t="s">
        <v>144</v>
      </c>
      <c r="E49" s="16" t="s">
        <v>145</v>
      </c>
      <c r="F49" s="15" t="s">
        <v>146</v>
      </c>
      <c r="G49" s="15" t="s">
        <v>147</v>
      </c>
      <c r="H49" s="15" t="s">
        <v>82</v>
      </c>
      <c r="I49" s="17" t="n">
        <v>1185</v>
      </c>
      <c r="J49" s="16" t="s">
        <v>148</v>
      </c>
      <c r="K49" s="15" t="s">
        <v>84</v>
      </c>
      <c r="L49" s="15" t="n">
        <f aca="false">IF(AND(OR(Search!$C$4="",Search!$C$4="All",B49=Search!$C$4),OR(Search!$C$5="",Search!$C$5="All",C49=Search!$C$5),OR(Search!$C$6="",Search!$C$6="All",D49=Search!$C$6),OR(Search!$C$7="",ISNUMBER(SEARCH(Search!$C$7,D49&amp;" "&amp;E49&amp;" "&amp;F49&amp;" "&amp;G49&amp;" "&amp;H49&amp;" "&amp;J49))),OR(Search!$C$8="",ISNUMBER(SEARCH(Search!$C$8,G49)))),1,0)</f>
        <v>1</v>
      </c>
      <c r="M49" s="15" t="n">
        <f aca="false">M48+L49</f>
        <v>48</v>
      </c>
    </row>
    <row r="50" customFormat="false" ht="15" hidden="false" customHeight="false" outlineLevel="0" collapsed="false">
      <c r="A50" s="14" t="n">
        <v>49</v>
      </c>
      <c r="B50" s="15" t="s">
        <v>76</v>
      </c>
      <c r="C50" s="15" t="s">
        <v>77</v>
      </c>
      <c r="D50" s="16" t="s">
        <v>144</v>
      </c>
      <c r="E50" s="16" t="s">
        <v>145</v>
      </c>
      <c r="F50" s="15" t="s">
        <v>149</v>
      </c>
      <c r="G50" s="15" t="s">
        <v>150</v>
      </c>
      <c r="H50" s="15" t="s">
        <v>82</v>
      </c>
      <c r="I50" s="17" t="n">
        <v>1642.5</v>
      </c>
      <c r="J50" s="16" t="s">
        <v>151</v>
      </c>
      <c r="K50" s="15" t="s">
        <v>84</v>
      </c>
      <c r="L50" s="15" t="n">
        <f aca="false">IF(AND(OR(Search!$C$4="",Search!$C$4="All",B50=Search!$C$4),OR(Search!$C$5="",Search!$C$5="All",C50=Search!$C$5),OR(Search!$C$6="",Search!$C$6="All",D50=Search!$C$6),OR(Search!$C$7="",ISNUMBER(SEARCH(Search!$C$7,D50&amp;" "&amp;E50&amp;" "&amp;F50&amp;" "&amp;G50&amp;" "&amp;H50&amp;" "&amp;J50))),OR(Search!$C$8="",ISNUMBER(SEARCH(Search!$C$8,G50)))),1,0)</f>
        <v>1</v>
      </c>
      <c r="M50" s="15" t="n">
        <f aca="false">M49+L50</f>
        <v>49</v>
      </c>
    </row>
    <row r="51" customFormat="false" ht="15" hidden="false" customHeight="false" outlineLevel="0" collapsed="false">
      <c r="A51" s="14" t="n">
        <v>50</v>
      </c>
      <c r="B51" s="15" t="s">
        <v>76</v>
      </c>
      <c r="C51" s="15" t="s">
        <v>77</v>
      </c>
      <c r="D51" s="16" t="s">
        <v>144</v>
      </c>
      <c r="E51" s="16" t="s">
        <v>152</v>
      </c>
      <c r="F51" s="15" t="s">
        <v>153</v>
      </c>
      <c r="G51" s="15" t="s">
        <v>147</v>
      </c>
      <c r="H51" s="15" t="s">
        <v>82</v>
      </c>
      <c r="I51" s="17" t="n">
        <v>3195</v>
      </c>
      <c r="J51" s="16" t="s">
        <v>154</v>
      </c>
      <c r="K51" s="15" t="s">
        <v>84</v>
      </c>
      <c r="L51" s="15" t="n">
        <f aca="false">IF(AND(OR(Search!$C$4="",Search!$C$4="All",B51=Search!$C$4),OR(Search!$C$5="",Search!$C$5="All",C51=Search!$C$5),OR(Search!$C$6="",Search!$C$6="All",D51=Search!$C$6),OR(Search!$C$7="",ISNUMBER(SEARCH(Search!$C$7,D51&amp;" "&amp;E51&amp;" "&amp;F51&amp;" "&amp;G51&amp;" "&amp;H51&amp;" "&amp;J51))),OR(Search!$C$8="",ISNUMBER(SEARCH(Search!$C$8,G51)))),1,0)</f>
        <v>1</v>
      </c>
      <c r="M51" s="15" t="n">
        <f aca="false">M50+L51</f>
        <v>50</v>
      </c>
    </row>
    <row r="52" customFormat="false" ht="15" hidden="false" customHeight="false" outlineLevel="0" collapsed="false">
      <c r="A52" s="14" t="n">
        <v>51</v>
      </c>
      <c r="B52" s="15" t="s">
        <v>76</v>
      </c>
      <c r="C52" s="15" t="s">
        <v>77</v>
      </c>
      <c r="D52" s="16" t="s">
        <v>144</v>
      </c>
      <c r="E52" s="16" t="s">
        <v>152</v>
      </c>
      <c r="F52" s="15" t="s">
        <v>155</v>
      </c>
      <c r="G52" s="15" t="s">
        <v>150</v>
      </c>
      <c r="H52" s="15" t="s">
        <v>82</v>
      </c>
      <c r="I52" s="17" t="n">
        <v>4425</v>
      </c>
      <c r="J52" s="16" t="s">
        <v>156</v>
      </c>
      <c r="K52" s="15" t="s">
        <v>84</v>
      </c>
      <c r="L52" s="15" t="n">
        <f aca="false">IF(AND(OR(Search!$C$4="",Search!$C$4="All",B52=Search!$C$4),OR(Search!$C$5="",Search!$C$5="All",C52=Search!$C$5),OR(Search!$C$6="",Search!$C$6="All",D52=Search!$C$6),OR(Search!$C$7="",ISNUMBER(SEARCH(Search!$C$7,D52&amp;" "&amp;E52&amp;" "&amp;F52&amp;" "&amp;G52&amp;" "&amp;H52&amp;" "&amp;J52))),OR(Search!$C$8="",ISNUMBER(SEARCH(Search!$C$8,G52)))),1,0)</f>
        <v>1</v>
      </c>
      <c r="M52" s="15" t="n">
        <f aca="false">M51+L52</f>
        <v>51</v>
      </c>
    </row>
    <row r="53" customFormat="false" ht="15" hidden="false" customHeight="false" outlineLevel="0" collapsed="false">
      <c r="A53" s="14" t="n">
        <v>52</v>
      </c>
      <c r="B53" s="15" t="s">
        <v>157</v>
      </c>
      <c r="C53" s="15" t="s">
        <v>158</v>
      </c>
      <c r="D53" s="16" t="s">
        <v>158</v>
      </c>
      <c r="E53" s="16"/>
      <c r="F53" s="15" t="s">
        <v>159</v>
      </c>
      <c r="G53" s="15" t="s">
        <v>160</v>
      </c>
      <c r="H53" s="15" t="s">
        <v>161</v>
      </c>
      <c r="I53" s="17" t="n">
        <v>730</v>
      </c>
      <c r="J53" s="16"/>
      <c r="K53" s="15" t="s">
        <v>162</v>
      </c>
      <c r="L53" s="15" t="n">
        <f aca="false">IF(AND(OR(Search!$C$4="",Search!$C$4="All",B53=Search!$C$4),OR(Search!$C$5="",Search!$C$5="All",C53=Search!$C$5),OR(Search!$C$6="",Search!$C$6="All",D53=Search!$C$6),OR(Search!$C$7="",ISNUMBER(SEARCH(Search!$C$7,D53&amp;" "&amp;E53&amp;" "&amp;F53&amp;" "&amp;G53&amp;" "&amp;H53&amp;" "&amp;J53))),OR(Search!$C$8="",ISNUMBER(SEARCH(Search!$C$8,G53)))),1,0)</f>
        <v>1</v>
      </c>
      <c r="M53" s="15" t="n">
        <f aca="false">M52+L53</f>
        <v>52</v>
      </c>
    </row>
    <row r="54" customFormat="false" ht="15" hidden="false" customHeight="false" outlineLevel="0" collapsed="false">
      <c r="A54" s="14" t="n">
        <v>53</v>
      </c>
      <c r="B54" s="15" t="s">
        <v>157</v>
      </c>
      <c r="C54" s="15" t="s">
        <v>158</v>
      </c>
      <c r="D54" s="16" t="s">
        <v>158</v>
      </c>
      <c r="E54" s="16"/>
      <c r="F54" s="15" t="s">
        <v>159</v>
      </c>
      <c r="G54" s="15" t="s">
        <v>163</v>
      </c>
      <c r="H54" s="15" t="s">
        <v>161</v>
      </c>
      <c r="I54" s="17" t="n">
        <v>804.35</v>
      </c>
      <c r="J54" s="16"/>
      <c r="K54" s="15" t="s">
        <v>162</v>
      </c>
      <c r="L54" s="15" t="n">
        <f aca="false">IF(AND(OR(Search!$C$4="",Search!$C$4="All",B54=Search!$C$4),OR(Search!$C$5="",Search!$C$5="All",C54=Search!$C$5),OR(Search!$C$6="",Search!$C$6="All",D54=Search!$C$6),OR(Search!$C$7="",ISNUMBER(SEARCH(Search!$C$7,D54&amp;" "&amp;E54&amp;" "&amp;F54&amp;" "&amp;G54&amp;" "&amp;H54&amp;" "&amp;J54))),OR(Search!$C$8="",ISNUMBER(SEARCH(Search!$C$8,G54)))),1,0)</f>
        <v>1</v>
      </c>
      <c r="M54" s="15" t="n">
        <f aca="false">M53+L54</f>
        <v>53</v>
      </c>
    </row>
    <row r="55" customFormat="false" ht="15" hidden="false" customHeight="false" outlineLevel="0" collapsed="false">
      <c r="A55" s="14" t="n">
        <v>54</v>
      </c>
      <c r="B55" s="15" t="s">
        <v>157</v>
      </c>
      <c r="C55" s="15" t="s">
        <v>158</v>
      </c>
      <c r="D55" s="16" t="s">
        <v>158</v>
      </c>
      <c r="E55" s="16"/>
      <c r="F55" s="15" t="s">
        <v>159</v>
      </c>
      <c r="G55" s="15" t="s">
        <v>164</v>
      </c>
      <c r="H55" s="15" t="s">
        <v>161</v>
      </c>
      <c r="I55" s="17" t="n">
        <v>632</v>
      </c>
      <c r="J55" s="16"/>
      <c r="K55" s="15" t="s">
        <v>162</v>
      </c>
      <c r="L55" s="15" t="n">
        <f aca="false">IF(AND(OR(Search!$C$4="",Search!$C$4="All",B55=Search!$C$4),OR(Search!$C$5="",Search!$C$5="All",C55=Search!$C$5),OR(Search!$C$6="",Search!$C$6="All",D55=Search!$C$6),OR(Search!$C$7="",ISNUMBER(SEARCH(Search!$C$7,D55&amp;" "&amp;E55&amp;" "&amp;F55&amp;" "&amp;G55&amp;" "&amp;H55&amp;" "&amp;J55))),OR(Search!$C$8="",ISNUMBER(SEARCH(Search!$C$8,G55)))),1,0)</f>
        <v>1</v>
      </c>
      <c r="M55" s="15" t="n">
        <f aca="false">M54+L55</f>
        <v>54</v>
      </c>
    </row>
    <row r="56" customFormat="false" ht="15" hidden="false" customHeight="false" outlineLevel="0" collapsed="false">
      <c r="A56" s="14" t="n">
        <v>55</v>
      </c>
      <c r="B56" s="15" t="s">
        <v>157</v>
      </c>
      <c r="C56" s="15" t="s">
        <v>158</v>
      </c>
      <c r="D56" s="16" t="s">
        <v>158</v>
      </c>
      <c r="E56" s="16"/>
      <c r="F56" s="15" t="s">
        <v>165</v>
      </c>
      <c r="G56" s="15" t="s">
        <v>160</v>
      </c>
      <c r="H56" s="15" t="s">
        <v>161</v>
      </c>
      <c r="I56" s="17" t="n">
        <v>698.83</v>
      </c>
      <c r="J56" s="16"/>
      <c r="K56" s="15" t="s">
        <v>162</v>
      </c>
      <c r="L56" s="15" t="n">
        <f aca="false">IF(AND(OR(Search!$C$4="",Search!$C$4="All",B56=Search!$C$4),OR(Search!$C$5="",Search!$C$5="All",C56=Search!$C$5),OR(Search!$C$6="",Search!$C$6="All",D56=Search!$C$6),OR(Search!$C$7="",ISNUMBER(SEARCH(Search!$C$7,D56&amp;" "&amp;E56&amp;" "&amp;F56&amp;" "&amp;G56&amp;" "&amp;H56&amp;" "&amp;J56))),OR(Search!$C$8="",ISNUMBER(SEARCH(Search!$C$8,G56)))),1,0)</f>
        <v>1</v>
      </c>
      <c r="M56" s="15" t="n">
        <f aca="false">M55+L56</f>
        <v>55</v>
      </c>
    </row>
    <row r="57" customFormat="false" ht="15" hidden="false" customHeight="false" outlineLevel="0" collapsed="false">
      <c r="A57" s="14" t="n">
        <v>56</v>
      </c>
      <c r="B57" s="15" t="s">
        <v>157</v>
      </c>
      <c r="C57" s="15" t="s">
        <v>158</v>
      </c>
      <c r="D57" s="16" t="s">
        <v>158</v>
      </c>
      <c r="E57" s="16"/>
      <c r="F57" s="15" t="s">
        <v>165</v>
      </c>
      <c r="G57" s="15" t="s">
        <v>163</v>
      </c>
      <c r="H57" s="15" t="s">
        <v>161</v>
      </c>
      <c r="I57" s="17" t="n">
        <v>770</v>
      </c>
      <c r="J57" s="16"/>
      <c r="K57" s="15" t="s">
        <v>162</v>
      </c>
      <c r="L57" s="15" t="n">
        <f aca="false">IF(AND(OR(Search!$C$4="",Search!$C$4="All",B57=Search!$C$4),OR(Search!$C$5="",Search!$C$5="All",C57=Search!$C$5),OR(Search!$C$6="",Search!$C$6="All",D57=Search!$C$6),OR(Search!$C$7="",ISNUMBER(SEARCH(Search!$C$7,D57&amp;" "&amp;E57&amp;" "&amp;F57&amp;" "&amp;G57&amp;" "&amp;H57&amp;" "&amp;J57))),OR(Search!$C$8="",ISNUMBER(SEARCH(Search!$C$8,G57)))),1,0)</f>
        <v>1</v>
      </c>
      <c r="M57" s="15" t="n">
        <f aca="false">M56+L57</f>
        <v>56</v>
      </c>
    </row>
    <row r="58" customFormat="false" ht="15" hidden="false" customHeight="false" outlineLevel="0" collapsed="false">
      <c r="A58" s="14" t="n">
        <v>57</v>
      </c>
      <c r="B58" s="15" t="s">
        <v>157</v>
      </c>
      <c r="C58" s="15" t="s">
        <v>158</v>
      </c>
      <c r="D58" s="16" t="s">
        <v>158</v>
      </c>
      <c r="E58" s="16"/>
      <c r="F58" s="15" t="s">
        <v>165</v>
      </c>
      <c r="G58" s="15" t="s">
        <v>164</v>
      </c>
      <c r="H58" s="15" t="s">
        <v>161</v>
      </c>
      <c r="I58" s="17" t="n">
        <v>605</v>
      </c>
      <c r="J58" s="16"/>
      <c r="K58" s="15" t="s">
        <v>162</v>
      </c>
      <c r="L58" s="15" t="n">
        <f aca="false">IF(AND(OR(Search!$C$4="",Search!$C$4="All",B58=Search!$C$4),OR(Search!$C$5="",Search!$C$5="All",C58=Search!$C$5),OR(Search!$C$6="",Search!$C$6="All",D58=Search!$C$6),OR(Search!$C$7="",ISNUMBER(SEARCH(Search!$C$7,D58&amp;" "&amp;E58&amp;" "&amp;F58&amp;" "&amp;G58&amp;" "&amp;H58&amp;" "&amp;J58))),OR(Search!$C$8="",ISNUMBER(SEARCH(Search!$C$8,G58)))),1,0)</f>
        <v>1</v>
      </c>
      <c r="M58" s="15" t="n">
        <f aca="false">M57+L58</f>
        <v>57</v>
      </c>
    </row>
    <row r="59" customFormat="false" ht="15" hidden="false" customHeight="false" outlineLevel="0" collapsed="false">
      <c r="A59" s="14" t="n">
        <v>58</v>
      </c>
      <c r="B59" s="15" t="s">
        <v>157</v>
      </c>
      <c r="C59" s="15" t="s">
        <v>166</v>
      </c>
      <c r="D59" s="16" t="s">
        <v>167</v>
      </c>
      <c r="E59" s="16" t="s">
        <v>168</v>
      </c>
      <c r="F59" s="15" t="s">
        <v>169</v>
      </c>
      <c r="G59" s="15" t="s">
        <v>170</v>
      </c>
      <c r="H59" s="15" t="s">
        <v>161</v>
      </c>
      <c r="I59" s="17" t="n">
        <v>880</v>
      </c>
      <c r="J59" s="16"/>
      <c r="K59" s="15" t="s">
        <v>162</v>
      </c>
      <c r="L59" s="15" t="n">
        <f aca="false">IF(AND(OR(Search!$C$4="",Search!$C$4="All",B59=Search!$C$4),OR(Search!$C$5="",Search!$C$5="All",C59=Search!$C$5),OR(Search!$C$6="",Search!$C$6="All",D59=Search!$C$6),OR(Search!$C$7="",ISNUMBER(SEARCH(Search!$C$7,D59&amp;" "&amp;E59&amp;" "&amp;F59&amp;" "&amp;G59&amp;" "&amp;H59&amp;" "&amp;J59))),OR(Search!$C$8="",ISNUMBER(SEARCH(Search!$C$8,G59)))),1,0)</f>
        <v>1</v>
      </c>
      <c r="M59" s="15" t="n">
        <f aca="false">M58+L59</f>
        <v>58</v>
      </c>
    </row>
    <row r="60" customFormat="false" ht="15" hidden="false" customHeight="false" outlineLevel="0" collapsed="false">
      <c r="A60" s="14" t="n">
        <v>59</v>
      </c>
      <c r="B60" s="15" t="s">
        <v>157</v>
      </c>
      <c r="C60" s="15" t="s">
        <v>166</v>
      </c>
      <c r="D60" s="16" t="s">
        <v>167</v>
      </c>
      <c r="E60" s="16" t="s">
        <v>168</v>
      </c>
      <c r="F60" s="15" t="s">
        <v>169</v>
      </c>
      <c r="G60" s="15" t="s">
        <v>164</v>
      </c>
      <c r="H60" s="15" t="s">
        <v>161</v>
      </c>
      <c r="I60" s="17" t="n">
        <v>880</v>
      </c>
      <c r="J60" s="16"/>
      <c r="K60" s="15" t="s">
        <v>162</v>
      </c>
      <c r="L60" s="15" t="n">
        <f aca="false">IF(AND(OR(Search!$C$4="",Search!$C$4="All",B60=Search!$C$4),OR(Search!$C$5="",Search!$C$5="All",C60=Search!$C$5),OR(Search!$C$6="",Search!$C$6="All",D60=Search!$C$6),OR(Search!$C$7="",ISNUMBER(SEARCH(Search!$C$7,D60&amp;" "&amp;E60&amp;" "&amp;F60&amp;" "&amp;G60&amp;" "&amp;H60&amp;" "&amp;J60))),OR(Search!$C$8="",ISNUMBER(SEARCH(Search!$C$8,G60)))),1,0)</f>
        <v>1</v>
      </c>
      <c r="M60" s="15" t="n">
        <f aca="false">M59+L60</f>
        <v>59</v>
      </c>
    </row>
    <row r="61" customFormat="false" ht="15" hidden="false" customHeight="false" outlineLevel="0" collapsed="false">
      <c r="A61" s="14" t="n">
        <v>60</v>
      </c>
      <c r="B61" s="15" t="s">
        <v>157</v>
      </c>
      <c r="C61" s="15" t="s">
        <v>166</v>
      </c>
      <c r="D61" s="16" t="s">
        <v>167</v>
      </c>
      <c r="E61" s="16" t="s">
        <v>171</v>
      </c>
      <c r="F61" s="15" t="s">
        <v>169</v>
      </c>
      <c r="G61" s="15" t="s">
        <v>163</v>
      </c>
      <c r="H61" s="15" t="s">
        <v>161</v>
      </c>
      <c r="I61" s="17" t="n">
        <v>1127.5</v>
      </c>
      <c r="J61" s="16"/>
      <c r="K61" s="15" t="s">
        <v>162</v>
      </c>
      <c r="L61" s="15" t="n">
        <f aca="false">IF(AND(OR(Search!$C$4="",Search!$C$4="All",B61=Search!$C$4),OR(Search!$C$5="",Search!$C$5="All",C61=Search!$C$5),OR(Search!$C$6="",Search!$C$6="All",D61=Search!$C$6),OR(Search!$C$7="",ISNUMBER(SEARCH(Search!$C$7,D61&amp;" "&amp;E61&amp;" "&amp;F61&amp;" "&amp;G61&amp;" "&amp;H61&amp;" "&amp;J61))),OR(Search!$C$8="",ISNUMBER(SEARCH(Search!$C$8,G61)))),1,0)</f>
        <v>1</v>
      </c>
      <c r="M61" s="15" t="n">
        <f aca="false">M60+L61</f>
        <v>60</v>
      </c>
    </row>
    <row r="62" customFormat="false" ht="15" hidden="false" customHeight="false" outlineLevel="0" collapsed="false">
      <c r="A62" s="14" t="n">
        <v>61</v>
      </c>
      <c r="B62" s="15" t="s">
        <v>157</v>
      </c>
      <c r="C62" s="15" t="s">
        <v>166</v>
      </c>
      <c r="D62" s="16" t="s">
        <v>167</v>
      </c>
      <c r="E62" s="16" t="s">
        <v>172</v>
      </c>
      <c r="F62" s="15" t="s">
        <v>169</v>
      </c>
      <c r="G62" s="15" t="s">
        <v>173</v>
      </c>
      <c r="H62" s="15" t="s">
        <v>161</v>
      </c>
      <c r="I62" s="17" t="n">
        <v>1100</v>
      </c>
      <c r="J62" s="16"/>
      <c r="K62" s="15" t="s">
        <v>162</v>
      </c>
      <c r="L62" s="15" t="n">
        <f aca="false">IF(AND(OR(Search!$C$4="",Search!$C$4="All",B62=Search!$C$4),OR(Search!$C$5="",Search!$C$5="All",C62=Search!$C$5),OR(Search!$C$6="",Search!$C$6="All",D62=Search!$C$6),OR(Search!$C$7="",ISNUMBER(SEARCH(Search!$C$7,D62&amp;" "&amp;E62&amp;" "&amp;F62&amp;" "&amp;G62&amp;" "&amp;H62&amp;" "&amp;J62))),OR(Search!$C$8="",ISNUMBER(SEARCH(Search!$C$8,G62)))),1,0)</f>
        <v>1</v>
      </c>
      <c r="M62" s="15" t="n">
        <f aca="false">M61+L62</f>
        <v>61</v>
      </c>
    </row>
    <row r="63" customFormat="false" ht="15" hidden="false" customHeight="false" outlineLevel="0" collapsed="false">
      <c r="A63" s="14" t="n">
        <v>62</v>
      </c>
      <c r="B63" s="15" t="s">
        <v>157</v>
      </c>
      <c r="C63" s="15" t="s">
        <v>166</v>
      </c>
      <c r="D63" s="16" t="s">
        <v>167</v>
      </c>
      <c r="E63" s="16" t="s">
        <v>172</v>
      </c>
      <c r="F63" s="15" t="s">
        <v>169</v>
      </c>
      <c r="G63" s="15" t="s">
        <v>174</v>
      </c>
      <c r="H63" s="15" t="s">
        <v>161</v>
      </c>
      <c r="I63" s="17" t="n">
        <v>1100</v>
      </c>
      <c r="J63" s="16"/>
      <c r="K63" s="15" t="s">
        <v>162</v>
      </c>
      <c r="L63" s="15" t="n">
        <f aca="false">IF(AND(OR(Search!$C$4="",Search!$C$4="All",B63=Search!$C$4),OR(Search!$C$5="",Search!$C$5="All",C63=Search!$C$5),OR(Search!$C$6="",Search!$C$6="All",D63=Search!$C$6),OR(Search!$C$7="",ISNUMBER(SEARCH(Search!$C$7,D63&amp;" "&amp;E63&amp;" "&amp;F63&amp;" "&amp;G63&amp;" "&amp;H63&amp;" "&amp;J63))),OR(Search!$C$8="",ISNUMBER(SEARCH(Search!$C$8,G63)))),1,0)</f>
        <v>1</v>
      </c>
      <c r="M63" s="15" t="n">
        <f aca="false">M62+L63</f>
        <v>62</v>
      </c>
    </row>
    <row r="64" customFormat="false" ht="15" hidden="false" customHeight="false" outlineLevel="0" collapsed="false">
      <c r="A64" s="14" t="n">
        <v>63</v>
      </c>
      <c r="B64" s="15" t="s">
        <v>157</v>
      </c>
      <c r="C64" s="15" t="s">
        <v>166</v>
      </c>
      <c r="D64" s="16" t="s">
        <v>167</v>
      </c>
      <c r="E64" s="16" t="s">
        <v>172</v>
      </c>
      <c r="F64" s="15" t="s">
        <v>169</v>
      </c>
      <c r="G64" s="15" t="s">
        <v>175</v>
      </c>
      <c r="H64" s="15" t="s">
        <v>161</v>
      </c>
      <c r="I64" s="17" t="n">
        <v>984.21</v>
      </c>
      <c r="J64" s="16"/>
      <c r="K64" s="15" t="s">
        <v>162</v>
      </c>
      <c r="L64" s="15" t="n">
        <f aca="false">IF(AND(OR(Search!$C$4="",Search!$C$4="All",B64=Search!$C$4),OR(Search!$C$5="",Search!$C$5="All",C64=Search!$C$5),OR(Search!$C$6="",Search!$C$6="All",D64=Search!$C$6),OR(Search!$C$7="",ISNUMBER(SEARCH(Search!$C$7,D64&amp;" "&amp;E64&amp;" "&amp;F64&amp;" "&amp;G64&amp;" "&amp;H64&amp;" "&amp;J64))),OR(Search!$C$8="",ISNUMBER(SEARCH(Search!$C$8,G64)))),1,0)</f>
        <v>1</v>
      </c>
      <c r="M64" s="15" t="n">
        <f aca="false">M63+L64</f>
        <v>63</v>
      </c>
    </row>
    <row r="65" customFormat="false" ht="15" hidden="false" customHeight="false" outlineLevel="0" collapsed="false">
      <c r="A65" s="14" t="n">
        <v>64</v>
      </c>
      <c r="B65" s="15" t="s">
        <v>157</v>
      </c>
      <c r="C65" s="15" t="s">
        <v>166</v>
      </c>
      <c r="D65" s="16" t="s">
        <v>176</v>
      </c>
      <c r="E65" s="16" t="s">
        <v>172</v>
      </c>
      <c r="F65" s="15" t="s">
        <v>177</v>
      </c>
      <c r="G65" s="15" t="s">
        <v>164</v>
      </c>
      <c r="H65" s="15" t="s">
        <v>161</v>
      </c>
      <c r="I65" s="17" t="n">
        <v>1040</v>
      </c>
      <c r="J65" s="16"/>
      <c r="K65" s="15" t="s">
        <v>162</v>
      </c>
      <c r="L65" s="15" t="n">
        <f aca="false">IF(AND(OR(Search!$C$4="",Search!$C$4="All",B65=Search!$C$4),OR(Search!$C$5="",Search!$C$5="All",C65=Search!$C$5),OR(Search!$C$6="",Search!$C$6="All",D65=Search!$C$6),OR(Search!$C$7="",ISNUMBER(SEARCH(Search!$C$7,D65&amp;" "&amp;E65&amp;" "&amp;F65&amp;" "&amp;G65&amp;" "&amp;H65&amp;" "&amp;J65))),OR(Search!$C$8="",ISNUMBER(SEARCH(Search!$C$8,G65)))),1,0)</f>
        <v>1</v>
      </c>
      <c r="M65" s="15" t="n">
        <f aca="false">M64+L65</f>
        <v>64</v>
      </c>
    </row>
    <row r="66" customFormat="false" ht="15" hidden="false" customHeight="false" outlineLevel="0" collapsed="false">
      <c r="A66" s="14" t="n">
        <v>65</v>
      </c>
      <c r="B66" s="15" t="s">
        <v>157</v>
      </c>
      <c r="C66" s="15" t="s">
        <v>166</v>
      </c>
      <c r="D66" s="16" t="s">
        <v>176</v>
      </c>
      <c r="E66" s="16" t="s">
        <v>172</v>
      </c>
      <c r="F66" s="15" t="s">
        <v>177</v>
      </c>
      <c r="G66" s="15" t="s">
        <v>170</v>
      </c>
      <c r="H66" s="15" t="s">
        <v>161</v>
      </c>
      <c r="I66" s="17" t="n">
        <v>1040</v>
      </c>
      <c r="J66" s="16"/>
      <c r="K66" s="15" t="s">
        <v>162</v>
      </c>
      <c r="L66" s="15" t="n">
        <f aca="false">IF(AND(OR(Search!$C$4="",Search!$C$4="All",B66=Search!$C$4),OR(Search!$C$5="",Search!$C$5="All",C66=Search!$C$5),OR(Search!$C$6="",Search!$C$6="All",D66=Search!$C$6),OR(Search!$C$7="",ISNUMBER(SEARCH(Search!$C$7,D66&amp;" "&amp;E66&amp;" "&amp;F66&amp;" "&amp;G66&amp;" "&amp;H66&amp;" "&amp;J66))),OR(Search!$C$8="",ISNUMBER(SEARCH(Search!$C$8,G66)))),1,0)</f>
        <v>1</v>
      </c>
      <c r="M66" s="15" t="n">
        <f aca="false">M65+L66</f>
        <v>65</v>
      </c>
    </row>
    <row r="67" customFormat="false" ht="15" hidden="false" customHeight="false" outlineLevel="0" collapsed="false">
      <c r="A67" s="14" t="n">
        <v>66</v>
      </c>
      <c r="B67" s="15" t="s">
        <v>157</v>
      </c>
      <c r="C67" s="15" t="s">
        <v>166</v>
      </c>
      <c r="D67" s="16" t="s">
        <v>176</v>
      </c>
      <c r="E67" s="16" t="s">
        <v>178</v>
      </c>
      <c r="F67" s="15" t="s">
        <v>177</v>
      </c>
      <c r="G67" s="15" t="s">
        <v>163</v>
      </c>
      <c r="H67" s="15" t="s">
        <v>161</v>
      </c>
      <c r="I67" s="17" t="n">
        <v>1326</v>
      </c>
      <c r="J67" s="16"/>
      <c r="K67" s="15" t="s">
        <v>162</v>
      </c>
      <c r="L67" s="15" t="n">
        <f aca="false">IF(AND(OR(Search!$C$4="",Search!$C$4="All",B67=Search!$C$4),OR(Search!$C$5="",Search!$C$5="All",C67=Search!$C$5),OR(Search!$C$6="",Search!$C$6="All",D67=Search!$C$6),OR(Search!$C$7="",ISNUMBER(SEARCH(Search!$C$7,D67&amp;" "&amp;E67&amp;" "&amp;F67&amp;" "&amp;G67&amp;" "&amp;H67&amp;" "&amp;J67))),OR(Search!$C$8="",ISNUMBER(SEARCH(Search!$C$8,G67)))),1,0)</f>
        <v>1</v>
      </c>
      <c r="M67" s="15" t="n">
        <f aca="false">M66+L67</f>
        <v>66</v>
      </c>
    </row>
    <row r="68" customFormat="false" ht="15" hidden="false" customHeight="false" outlineLevel="0" collapsed="false">
      <c r="A68" s="14" t="n">
        <v>67</v>
      </c>
      <c r="B68" s="15" t="s">
        <v>157</v>
      </c>
      <c r="C68" s="15" t="s">
        <v>166</v>
      </c>
      <c r="D68" s="16" t="s">
        <v>176</v>
      </c>
      <c r="E68" s="16" t="s">
        <v>179</v>
      </c>
      <c r="F68" s="15" t="s">
        <v>177</v>
      </c>
      <c r="G68" s="15" t="s">
        <v>173</v>
      </c>
      <c r="H68" s="15" t="s">
        <v>161</v>
      </c>
      <c r="I68" s="17" t="n">
        <v>1300</v>
      </c>
      <c r="J68" s="16"/>
      <c r="K68" s="15" t="s">
        <v>162</v>
      </c>
      <c r="L68" s="15" t="n">
        <f aca="false">IF(AND(OR(Search!$C$4="",Search!$C$4="All",B68=Search!$C$4),OR(Search!$C$5="",Search!$C$5="All",C68=Search!$C$5),OR(Search!$C$6="",Search!$C$6="All",D68=Search!$C$6),OR(Search!$C$7="",ISNUMBER(SEARCH(Search!$C$7,D68&amp;" "&amp;E68&amp;" "&amp;F68&amp;" "&amp;G68&amp;" "&amp;H68&amp;" "&amp;J68))),OR(Search!$C$8="",ISNUMBER(SEARCH(Search!$C$8,G68)))),1,0)</f>
        <v>1</v>
      </c>
      <c r="M68" s="15" t="n">
        <f aca="false">M67+L68</f>
        <v>67</v>
      </c>
    </row>
    <row r="69" customFormat="false" ht="15" hidden="false" customHeight="false" outlineLevel="0" collapsed="false">
      <c r="A69" s="14" t="n">
        <v>68</v>
      </c>
      <c r="B69" s="15" t="s">
        <v>157</v>
      </c>
      <c r="C69" s="15" t="s">
        <v>166</v>
      </c>
      <c r="D69" s="16" t="s">
        <v>176</v>
      </c>
      <c r="E69" s="16" t="s">
        <v>179</v>
      </c>
      <c r="F69" s="15" t="s">
        <v>177</v>
      </c>
      <c r="G69" s="15" t="s">
        <v>174</v>
      </c>
      <c r="H69" s="15" t="s">
        <v>161</v>
      </c>
      <c r="I69" s="17" t="n">
        <v>1300</v>
      </c>
      <c r="J69" s="16"/>
      <c r="K69" s="15" t="s">
        <v>162</v>
      </c>
      <c r="L69" s="15" t="n">
        <f aca="false">IF(AND(OR(Search!$C$4="",Search!$C$4="All",B69=Search!$C$4),OR(Search!$C$5="",Search!$C$5="All",C69=Search!$C$5),OR(Search!$C$6="",Search!$C$6="All",D69=Search!$C$6),OR(Search!$C$7="",ISNUMBER(SEARCH(Search!$C$7,D69&amp;" "&amp;E69&amp;" "&amp;F69&amp;" "&amp;G69&amp;" "&amp;H69&amp;" "&amp;J69))),OR(Search!$C$8="",ISNUMBER(SEARCH(Search!$C$8,G69)))),1,0)</f>
        <v>1</v>
      </c>
      <c r="M69" s="15" t="n">
        <f aca="false">M68+L69</f>
        <v>68</v>
      </c>
    </row>
    <row r="70" customFormat="false" ht="15" hidden="false" customHeight="false" outlineLevel="0" collapsed="false">
      <c r="A70" s="14" t="n">
        <v>69</v>
      </c>
      <c r="B70" s="15" t="s">
        <v>157</v>
      </c>
      <c r="C70" s="15" t="s">
        <v>166</v>
      </c>
      <c r="D70" s="16" t="s">
        <v>180</v>
      </c>
      <c r="E70" s="16" t="s">
        <v>181</v>
      </c>
      <c r="F70" s="15" t="s">
        <v>182</v>
      </c>
      <c r="G70" s="15" t="s">
        <v>164</v>
      </c>
      <c r="H70" s="15" t="s">
        <v>161</v>
      </c>
      <c r="I70" s="17" t="n">
        <v>1224</v>
      </c>
      <c r="J70" s="16"/>
      <c r="K70" s="15" t="s">
        <v>162</v>
      </c>
      <c r="L70" s="15" t="n">
        <f aca="false">IF(AND(OR(Search!$C$4="",Search!$C$4="All",B70=Search!$C$4),OR(Search!$C$5="",Search!$C$5="All",C70=Search!$C$5),OR(Search!$C$6="",Search!$C$6="All",D70=Search!$C$6),OR(Search!$C$7="",ISNUMBER(SEARCH(Search!$C$7,D70&amp;" "&amp;E70&amp;" "&amp;F70&amp;" "&amp;G70&amp;" "&amp;H70&amp;" "&amp;J70))),OR(Search!$C$8="",ISNUMBER(SEARCH(Search!$C$8,G70)))),1,0)</f>
        <v>1</v>
      </c>
      <c r="M70" s="15" t="n">
        <f aca="false">M69+L70</f>
        <v>69</v>
      </c>
    </row>
    <row r="71" customFormat="false" ht="15" hidden="false" customHeight="false" outlineLevel="0" collapsed="false">
      <c r="A71" s="14" t="n">
        <v>70</v>
      </c>
      <c r="B71" s="15" t="s">
        <v>157</v>
      </c>
      <c r="C71" s="15" t="s">
        <v>166</v>
      </c>
      <c r="D71" s="16" t="s">
        <v>180</v>
      </c>
      <c r="E71" s="16" t="s">
        <v>183</v>
      </c>
      <c r="F71" s="15" t="s">
        <v>182</v>
      </c>
      <c r="G71" s="15" t="s">
        <v>163</v>
      </c>
      <c r="H71" s="15" t="s">
        <v>161</v>
      </c>
      <c r="I71" s="17" t="n">
        <v>1555.5</v>
      </c>
      <c r="J71" s="16"/>
      <c r="K71" s="15" t="s">
        <v>162</v>
      </c>
      <c r="L71" s="15" t="n">
        <f aca="false">IF(AND(OR(Search!$C$4="",Search!$C$4="All",B71=Search!$C$4),OR(Search!$C$5="",Search!$C$5="All",C71=Search!$C$5),OR(Search!$C$6="",Search!$C$6="All",D71=Search!$C$6),OR(Search!$C$7="",ISNUMBER(SEARCH(Search!$C$7,D71&amp;" "&amp;E71&amp;" "&amp;F71&amp;" "&amp;G71&amp;" "&amp;H71&amp;" "&amp;J71))),OR(Search!$C$8="",ISNUMBER(SEARCH(Search!$C$8,G71)))),1,0)</f>
        <v>1</v>
      </c>
      <c r="M71" s="15" t="n">
        <f aca="false">M70+L71</f>
        <v>70</v>
      </c>
    </row>
    <row r="72" customFormat="false" ht="15" hidden="false" customHeight="false" outlineLevel="0" collapsed="false">
      <c r="A72" s="14" t="n">
        <v>71</v>
      </c>
      <c r="B72" s="15" t="s">
        <v>157</v>
      </c>
      <c r="C72" s="15" t="s">
        <v>166</v>
      </c>
      <c r="D72" s="16" t="s">
        <v>180</v>
      </c>
      <c r="E72" s="16" t="s">
        <v>184</v>
      </c>
      <c r="F72" s="15" t="s">
        <v>182</v>
      </c>
      <c r="G72" s="15" t="s">
        <v>173</v>
      </c>
      <c r="H72" s="15" t="s">
        <v>161</v>
      </c>
      <c r="I72" s="17" t="n">
        <v>1530</v>
      </c>
      <c r="J72" s="16"/>
      <c r="K72" s="15" t="s">
        <v>162</v>
      </c>
      <c r="L72" s="15" t="n">
        <f aca="false">IF(AND(OR(Search!$C$4="",Search!$C$4="All",B72=Search!$C$4),OR(Search!$C$5="",Search!$C$5="All",C72=Search!$C$5),OR(Search!$C$6="",Search!$C$6="All",D72=Search!$C$6),OR(Search!$C$7="",ISNUMBER(SEARCH(Search!$C$7,D72&amp;" "&amp;E72&amp;" "&amp;F72&amp;" "&amp;G72&amp;" "&amp;H72&amp;" "&amp;J72))),OR(Search!$C$8="",ISNUMBER(SEARCH(Search!$C$8,G72)))),1,0)</f>
        <v>1</v>
      </c>
      <c r="M72" s="15" t="n">
        <f aca="false">M71+L72</f>
        <v>71</v>
      </c>
    </row>
    <row r="73" customFormat="false" ht="15" hidden="false" customHeight="false" outlineLevel="0" collapsed="false">
      <c r="A73" s="14" t="n">
        <v>72</v>
      </c>
      <c r="B73" s="15" t="s">
        <v>157</v>
      </c>
      <c r="C73" s="15" t="s">
        <v>166</v>
      </c>
      <c r="D73" s="16" t="s">
        <v>180</v>
      </c>
      <c r="E73" s="16" t="s">
        <v>184</v>
      </c>
      <c r="F73" s="15" t="s">
        <v>182</v>
      </c>
      <c r="G73" s="15" t="s">
        <v>174</v>
      </c>
      <c r="H73" s="15" t="s">
        <v>161</v>
      </c>
      <c r="I73" s="17" t="n">
        <v>1530</v>
      </c>
      <c r="J73" s="16"/>
      <c r="K73" s="15" t="s">
        <v>162</v>
      </c>
      <c r="L73" s="15" t="n">
        <f aca="false">IF(AND(OR(Search!$C$4="",Search!$C$4="All",B73=Search!$C$4),OR(Search!$C$5="",Search!$C$5="All",C73=Search!$C$5),OR(Search!$C$6="",Search!$C$6="All",D73=Search!$C$6),OR(Search!$C$7="",ISNUMBER(SEARCH(Search!$C$7,D73&amp;" "&amp;E73&amp;" "&amp;F73&amp;" "&amp;G73&amp;" "&amp;H73&amp;" "&amp;J73))),OR(Search!$C$8="",ISNUMBER(SEARCH(Search!$C$8,G73)))),1,0)</f>
        <v>1</v>
      </c>
      <c r="M73" s="15" t="n">
        <f aca="false">M72+L73</f>
        <v>72</v>
      </c>
    </row>
    <row r="74" customFormat="false" ht="15" hidden="false" customHeight="false" outlineLevel="0" collapsed="false">
      <c r="A74" s="14" t="n">
        <v>73</v>
      </c>
      <c r="B74" s="15" t="s">
        <v>157</v>
      </c>
      <c r="C74" s="15" t="s">
        <v>166</v>
      </c>
      <c r="D74" s="16" t="s">
        <v>185</v>
      </c>
      <c r="E74" s="16" t="s">
        <v>186</v>
      </c>
      <c r="F74" s="15" t="s">
        <v>187</v>
      </c>
      <c r="G74" s="15" t="s">
        <v>164</v>
      </c>
      <c r="H74" s="15" t="s">
        <v>161</v>
      </c>
      <c r="I74" s="17" t="n">
        <v>1428</v>
      </c>
      <c r="J74" s="16"/>
      <c r="K74" s="15" t="s">
        <v>162</v>
      </c>
      <c r="L74" s="15" t="n">
        <f aca="false">IF(AND(OR(Search!$C$4="",Search!$C$4="All",B74=Search!$C$4),OR(Search!$C$5="",Search!$C$5="All",C74=Search!$C$5),OR(Search!$C$6="",Search!$C$6="All",D74=Search!$C$6),OR(Search!$C$7="",ISNUMBER(SEARCH(Search!$C$7,D74&amp;" "&amp;E74&amp;" "&amp;F74&amp;" "&amp;G74&amp;" "&amp;H74&amp;" "&amp;J74))),OR(Search!$C$8="",ISNUMBER(SEARCH(Search!$C$8,G74)))),1,0)</f>
        <v>1</v>
      </c>
      <c r="M74" s="15" t="n">
        <f aca="false">M73+L74</f>
        <v>73</v>
      </c>
    </row>
    <row r="75" customFormat="false" ht="15" hidden="false" customHeight="false" outlineLevel="0" collapsed="false">
      <c r="A75" s="14" t="n">
        <v>74</v>
      </c>
      <c r="B75" s="15" t="s">
        <v>157</v>
      </c>
      <c r="C75" s="15" t="s">
        <v>166</v>
      </c>
      <c r="D75" s="16" t="s">
        <v>185</v>
      </c>
      <c r="E75" s="16" t="s">
        <v>188</v>
      </c>
      <c r="F75" s="15" t="s">
        <v>187</v>
      </c>
      <c r="G75" s="15" t="s">
        <v>163</v>
      </c>
      <c r="H75" s="15" t="s">
        <v>161</v>
      </c>
      <c r="I75" s="17" t="n">
        <v>1810.5</v>
      </c>
      <c r="J75" s="16"/>
      <c r="K75" s="15" t="s">
        <v>162</v>
      </c>
      <c r="L75" s="15" t="n">
        <f aca="false">IF(AND(OR(Search!$C$4="",Search!$C$4="All",B75=Search!$C$4),OR(Search!$C$5="",Search!$C$5="All",C75=Search!$C$5),OR(Search!$C$6="",Search!$C$6="All",D75=Search!$C$6),OR(Search!$C$7="",ISNUMBER(SEARCH(Search!$C$7,D75&amp;" "&amp;E75&amp;" "&amp;F75&amp;" "&amp;G75&amp;" "&amp;H75&amp;" "&amp;J75))),OR(Search!$C$8="",ISNUMBER(SEARCH(Search!$C$8,G75)))),1,0)</f>
        <v>1</v>
      </c>
      <c r="M75" s="15" t="n">
        <f aca="false">M74+L75</f>
        <v>74</v>
      </c>
    </row>
    <row r="76" customFormat="false" ht="15" hidden="false" customHeight="false" outlineLevel="0" collapsed="false">
      <c r="A76" s="14" t="n">
        <v>75</v>
      </c>
      <c r="B76" s="15" t="s">
        <v>157</v>
      </c>
      <c r="C76" s="15" t="s">
        <v>166</v>
      </c>
      <c r="D76" s="16" t="s">
        <v>185</v>
      </c>
      <c r="E76" s="16" t="s">
        <v>189</v>
      </c>
      <c r="F76" s="15" t="s">
        <v>187</v>
      </c>
      <c r="G76" s="15" t="s">
        <v>173</v>
      </c>
      <c r="H76" s="15" t="s">
        <v>161</v>
      </c>
      <c r="I76" s="17" t="n">
        <v>1785</v>
      </c>
      <c r="J76" s="16"/>
      <c r="K76" s="15" t="s">
        <v>162</v>
      </c>
      <c r="L76" s="15" t="n">
        <f aca="false">IF(AND(OR(Search!$C$4="",Search!$C$4="All",B76=Search!$C$4),OR(Search!$C$5="",Search!$C$5="All",C76=Search!$C$5),OR(Search!$C$6="",Search!$C$6="All",D76=Search!$C$6),OR(Search!$C$7="",ISNUMBER(SEARCH(Search!$C$7,D76&amp;" "&amp;E76&amp;" "&amp;F76&amp;" "&amp;G76&amp;" "&amp;H76&amp;" "&amp;J76))),OR(Search!$C$8="",ISNUMBER(SEARCH(Search!$C$8,G76)))),1,0)</f>
        <v>1</v>
      </c>
      <c r="M76" s="15" t="n">
        <f aca="false">M75+L76</f>
        <v>75</v>
      </c>
    </row>
    <row r="77" customFormat="false" ht="15" hidden="false" customHeight="false" outlineLevel="0" collapsed="false">
      <c r="A77" s="14" t="n">
        <v>76</v>
      </c>
      <c r="B77" s="15" t="s">
        <v>157</v>
      </c>
      <c r="C77" s="15" t="s">
        <v>166</v>
      </c>
      <c r="D77" s="16" t="s">
        <v>190</v>
      </c>
      <c r="E77" s="16" t="s">
        <v>191</v>
      </c>
      <c r="F77" s="15" t="s">
        <v>192</v>
      </c>
      <c r="G77" s="15" t="s">
        <v>164</v>
      </c>
      <c r="H77" s="15" t="s">
        <v>161</v>
      </c>
      <c r="I77" s="17" t="n">
        <v>1664</v>
      </c>
      <c r="J77" s="16"/>
      <c r="K77" s="15" t="s">
        <v>162</v>
      </c>
      <c r="L77" s="15" t="n">
        <f aca="false">IF(AND(OR(Search!$C$4="",Search!$C$4="All",B77=Search!$C$4),OR(Search!$C$5="",Search!$C$5="All",C77=Search!$C$5),OR(Search!$C$6="",Search!$C$6="All",D77=Search!$C$6),OR(Search!$C$7="",ISNUMBER(SEARCH(Search!$C$7,D77&amp;" "&amp;E77&amp;" "&amp;F77&amp;" "&amp;G77&amp;" "&amp;H77&amp;" "&amp;J77))),OR(Search!$C$8="",ISNUMBER(SEARCH(Search!$C$8,G77)))),1,0)</f>
        <v>1</v>
      </c>
      <c r="M77" s="15" t="n">
        <f aca="false">M76+L77</f>
        <v>76</v>
      </c>
    </row>
    <row r="78" customFormat="false" ht="15" hidden="false" customHeight="false" outlineLevel="0" collapsed="false">
      <c r="A78" s="14" t="n">
        <v>77</v>
      </c>
      <c r="B78" s="15" t="s">
        <v>157</v>
      </c>
      <c r="C78" s="15" t="s">
        <v>166</v>
      </c>
      <c r="D78" s="16" t="s">
        <v>190</v>
      </c>
      <c r="E78" s="16" t="s">
        <v>193</v>
      </c>
      <c r="F78" s="15" t="s">
        <v>192</v>
      </c>
      <c r="G78" s="15" t="s">
        <v>163</v>
      </c>
      <c r="H78" s="15" t="s">
        <v>161</v>
      </c>
      <c r="I78" s="17" t="n">
        <v>2106</v>
      </c>
      <c r="J78" s="16"/>
      <c r="K78" s="15" t="s">
        <v>162</v>
      </c>
      <c r="L78" s="15" t="n">
        <f aca="false">IF(AND(OR(Search!$C$4="",Search!$C$4="All",B78=Search!$C$4),OR(Search!$C$5="",Search!$C$5="All",C78=Search!$C$5),OR(Search!$C$6="",Search!$C$6="All",D78=Search!$C$6),OR(Search!$C$7="",ISNUMBER(SEARCH(Search!$C$7,D78&amp;" "&amp;E78&amp;" "&amp;F78&amp;" "&amp;G78&amp;" "&amp;H78&amp;" "&amp;J78))),OR(Search!$C$8="",ISNUMBER(SEARCH(Search!$C$8,G78)))),1,0)</f>
        <v>1</v>
      </c>
      <c r="M78" s="15" t="n">
        <f aca="false">M77+L78</f>
        <v>77</v>
      </c>
    </row>
    <row r="79" customFormat="false" ht="15" hidden="false" customHeight="false" outlineLevel="0" collapsed="false">
      <c r="A79" s="14" t="n">
        <v>78</v>
      </c>
      <c r="B79" s="15" t="s">
        <v>157</v>
      </c>
      <c r="C79" s="15" t="s">
        <v>166</v>
      </c>
      <c r="D79" s="16" t="s">
        <v>190</v>
      </c>
      <c r="E79" s="16" t="s">
        <v>194</v>
      </c>
      <c r="F79" s="15" t="s">
        <v>192</v>
      </c>
      <c r="G79" s="15" t="s">
        <v>173</v>
      </c>
      <c r="H79" s="15" t="s">
        <v>161</v>
      </c>
      <c r="I79" s="17" t="n">
        <v>2080</v>
      </c>
      <c r="J79" s="16"/>
      <c r="K79" s="15" t="s">
        <v>162</v>
      </c>
      <c r="L79" s="15" t="n">
        <f aca="false">IF(AND(OR(Search!$C$4="",Search!$C$4="All",B79=Search!$C$4),OR(Search!$C$5="",Search!$C$5="All",C79=Search!$C$5),OR(Search!$C$6="",Search!$C$6="All",D79=Search!$C$6),OR(Search!$C$7="",ISNUMBER(SEARCH(Search!$C$7,D79&amp;" "&amp;E79&amp;" "&amp;F79&amp;" "&amp;G79&amp;" "&amp;H79&amp;" "&amp;J79))),OR(Search!$C$8="",ISNUMBER(SEARCH(Search!$C$8,G79)))),1,0)</f>
        <v>1</v>
      </c>
      <c r="M79" s="15" t="n">
        <f aca="false">M78+L79</f>
        <v>78</v>
      </c>
    </row>
    <row r="80" customFormat="false" ht="15" hidden="false" customHeight="false" outlineLevel="0" collapsed="false">
      <c r="A80" s="14" t="n">
        <v>79</v>
      </c>
      <c r="B80" s="15" t="s">
        <v>157</v>
      </c>
      <c r="C80" s="15" t="s">
        <v>166</v>
      </c>
      <c r="D80" s="16" t="s">
        <v>176</v>
      </c>
      <c r="E80" s="16" t="s">
        <v>195</v>
      </c>
      <c r="F80" s="15" t="s">
        <v>196</v>
      </c>
      <c r="G80" s="15"/>
      <c r="H80" s="15" t="s">
        <v>197</v>
      </c>
      <c r="I80" s="17" t="n">
        <v>26</v>
      </c>
      <c r="J80" s="16" t="s">
        <v>198</v>
      </c>
      <c r="K80" s="15" t="s">
        <v>162</v>
      </c>
      <c r="L80" s="15" t="n">
        <f aca="false">IF(AND(OR(Search!$C$4="",Search!$C$4="All",B80=Search!$C$4),OR(Search!$C$5="",Search!$C$5="All",C80=Search!$C$5),OR(Search!$C$6="",Search!$C$6="All",D80=Search!$C$6),OR(Search!$C$7="",ISNUMBER(SEARCH(Search!$C$7,D80&amp;" "&amp;E80&amp;" "&amp;F80&amp;" "&amp;G80&amp;" "&amp;H80&amp;" "&amp;J80))),OR(Search!$C$8="",ISNUMBER(SEARCH(Search!$C$8,G80)))),1,0)</f>
        <v>1</v>
      </c>
      <c r="M80" s="15" t="n">
        <f aca="false">M79+L80</f>
        <v>79</v>
      </c>
    </row>
    <row r="81" customFormat="false" ht="15" hidden="false" customHeight="false" outlineLevel="0" collapsed="false">
      <c r="A81" s="14" t="n">
        <v>80</v>
      </c>
      <c r="B81" s="15" t="s">
        <v>157</v>
      </c>
      <c r="C81" s="15" t="s">
        <v>166</v>
      </c>
      <c r="D81" s="16" t="s">
        <v>185</v>
      </c>
      <c r="E81" s="16" t="s">
        <v>195</v>
      </c>
      <c r="F81" s="15" t="s">
        <v>187</v>
      </c>
      <c r="G81" s="15" t="s">
        <v>170</v>
      </c>
      <c r="H81" s="15" t="s">
        <v>197</v>
      </c>
      <c r="I81" s="17" t="n">
        <v>25.5</v>
      </c>
      <c r="J81" s="16" t="s">
        <v>198</v>
      </c>
      <c r="K81" s="15" t="s">
        <v>162</v>
      </c>
      <c r="L81" s="15" t="n">
        <f aca="false">IF(AND(OR(Search!$C$4="",Search!$C$4="All",B81=Search!$C$4),OR(Search!$C$5="",Search!$C$5="All",C81=Search!$C$5),OR(Search!$C$6="",Search!$C$6="All",D81=Search!$C$6),OR(Search!$C$7="",ISNUMBER(SEARCH(Search!$C$7,D81&amp;" "&amp;E81&amp;" "&amp;F81&amp;" "&amp;G81&amp;" "&amp;H81&amp;" "&amp;J81))),OR(Search!$C$8="",ISNUMBER(SEARCH(Search!$C$8,G81)))),1,0)</f>
        <v>1</v>
      </c>
      <c r="M81" s="15" t="n">
        <f aca="false">M80+L81</f>
        <v>80</v>
      </c>
    </row>
    <row r="82" customFormat="false" ht="15" hidden="false" customHeight="false" outlineLevel="0" collapsed="false">
      <c r="A82" s="14" t="n">
        <v>81</v>
      </c>
      <c r="B82" s="15" t="s">
        <v>157</v>
      </c>
      <c r="C82" s="15" t="s">
        <v>166</v>
      </c>
      <c r="D82" s="16" t="s">
        <v>190</v>
      </c>
      <c r="E82" s="16" t="s">
        <v>195</v>
      </c>
      <c r="F82" s="15" t="s">
        <v>192</v>
      </c>
      <c r="G82" s="15"/>
      <c r="H82" s="15" t="s">
        <v>197</v>
      </c>
      <c r="I82" s="17" t="n">
        <v>26</v>
      </c>
      <c r="J82" s="16" t="s">
        <v>198</v>
      </c>
      <c r="K82" s="15" t="s">
        <v>162</v>
      </c>
      <c r="L82" s="15" t="n">
        <f aca="false">IF(AND(OR(Search!$C$4="",Search!$C$4="All",B82=Search!$C$4),OR(Search!$C$5="",Search!$C$5="All",C82=Search!$C$5),OR(Search!$C$6="",Search!$C$6="All",D82=Search!$C$6),OR(Search!$C$7="",ISNUMBER(SEARCH(Search!$C$7,D82&amp;" "&amp;E82&amp;" "&amp;F82&amp;" "&amp;G82&amp;" "&amp;H82&amp;" "&amp;J82))),OR(Search!$C$8="",ISNUMBER(SEARCH(Search!$C$8,G82)))),1,0)</f>
        <v>1</v>
      </c>
      <c r="M82" s="15" t="n">
        <f aca="false">M81+L82</f>
        <v>81</v>
      </c>
    </row>
    <row r="83" customFormat="false" ht="15" hidden="false" customHeight="false" outlineLevel="0" collapsed="false">
      <c r="A83" s="14" t="n">
        <v>82</v>
      </c>
      <c r="B83" s="15" t="s">
        <v>199</v>
      </c>
      <c r="C83" s="15" t="s">
        <v>200</v>
      </c>
      <c r="D83" s="16" t="s">
        <v>201</v>
      </c>
      <c r="E83" s="16"/>
      <c r="F83" s="15" t="s">
        <v>202</v>
      </c>
      <c r="G83" s="15"/>
      <c r="H83" s="15" t="s">
        <v>203</v>
      </c>
      <c r="I83" s="17" t="n">
        <v>11</v>
      </c>
      <c r="J83" s="16"/>
      <c r="K83" s="15" t="s">
        <v>204</v>
      </c>
      <c r="L83" s="15" t="n">
        <f aca="false">IF(AND(OR(Search!$C$4="",Search!$C$4="All",B83=Search!$C$4),OR(Search!$C$5="",Search!$C$5="All",C83=Search!$C$5),OR(Search!$C$6="",Search!$C$6="All",D83=Search!$C$6),OR(Search!$C$7="",ISNUMBER(SEARCH(Search!$C$7,D83&amp;" "&amp;E83&amp;" "&amp;F83&amp;" "&amp;G83&amp;" "&amp;H83&amp;" "&amp;J83))),OR(Search!$C$8="",ISNUMBER(SEARCH(Search!$C$8,G83)))),1,0)</f>
        <v>1</v>
      </c>
      <c r="M83" s="15" t="n">
        <f aca="false">M82+L83</f>
        <v>82</v>
      </c>
    </row>
    <row r="84" customFormat="false" ht="15" hidden="false" customHeight="false" outlineLevel="0" collapsed="false">
      <c r="A84" s="14" t="n">
        <v>83</v>
      </c>
      <c r="B84" s="15" t="s">
        <v>199</v>
      </c>
      <c r="C84" s="15" t="s">
        <v>200</v>
      </c>
      <c r="D84" s="16" t="s">
        <v>205</v>
      </c>
      <c r="E84" s="16"/>
      <c r="F84" s="15" t="s">
        <v>202</v>
      </c>
      <c r="G84" s="15"/>
      <c r="H84" s="15" t="s">
        <v>203</v>
      </c>
      <c r="I84" s="17" t="n">
        <v>18</v>
      </c>
      <c r="J84" s="16"/>
      <c r="K84" s="15" t="s">
        <v>204</v>
      </c>
      <c r="L84" s="15" t="n">
        <f aca="false">IF(AND(OR(Search!$C$4="",Search!$C$4="All",B84=Search!$C$4),OR(Search!$C$5="",Search!$C$5="All",C84=Search!$C$5),OR(Search!$C$6="",Search!$C$6="All",D84=Search!$C$6),OR(Search!$C$7="",ISNUMBER(SEARCH(Search!$C$7,D84&amp;" "&amp;E84&amp;" "&amp;F84&amp;" "&amp;G84&amp;" "&amp;H84&amp;" "&amp;J84))),OR(Search!$C$8="",ISNUMBER(SEARCH(Search!$C$8,G84)))),1,0)</f>
        <v>1</v>
      </c>
      <c r="M84" s="15" t="n">
        <f aca="false">M83+L84</f>
        <v>83</v>
      </c>
    </row>
    <row r="85" customFormat="false" ht="15" hidden="false" customHeight="false" outlineLevel="0" collapsed="false">
      <c r="A85" s="14" t="n">
        <v>84</v>
      </c>
      <c r="B85" s="15" t="s">
        <v>199</v>
      </c>
      <c r="C85" s="15" t="s">
        <v>200</v>
      </c>
      <c r="D85" s="16" t="s">
        <v>206</v>
      </c>
      <c r="E85" s="16" t="s">
        <v>207</v>
      </c>
      <c r="F85" s="15" t="s">
        <v>202</v>
      </c>
      <c r="G85" s="15"/>
      <c r="H85" s="15" t="s">
        <v>203</v>
      </c>
      <c r="I85" s="17" t="n">
        <v>9.5</v>
      </c>
      <c r="J85" s="16"/>
      <c r="K85" s="15" t="s">
        <v>204</v>
      </c>
      <c r="L85" s="15" t="n">
        <f aca="false">IF(AND(OR(Search!$C$4="",Search!$C$4="All",B85=Search!$C$4),OR(Search!$C$5="",Search!$C$5="All",C85=Search!$C$5),OR(Search!$C$6="",Search!$C$6="All",D85=Search!$C$6),OR(Search!$C$7="",ISNUMBER(SEARCH(Search!$C$7,D85&amp;" "&amp;E85&amp;" "&amp;F85&amp;" "&amp;G85&amp;" "&amp;H85&amp;" "&amp;J85))),OR(Search!$C$8="",ISNUMBER(SEARCH(Search!$C$8,G85)))),1,0)</f>
        <v>1</v>
      </c>
      <c r="M85" s="15" t="n">
        <f aca="false">M84+L85</f>
        <v>84</v>
      </c>
    </row>
    <row r="86" customFormat="false" ht="15" hidden="false" customHeight="false" outlineLevel="0" collapsed="false">
      <c r="A86" s="14" t="n">
        <v>85</v>
      </c>
      <c r="B86" s="15" t="s">
        <v>199</v>
      </c>
      <c r="C86" s="15" t="s">
        <v>200</v>
      </c>
      <c r="D86" s="16" t="s">
        <v>208</v>
      </c>
      <c r="E86" s="16"/>
      <c r="F86" s="15" t="s">
        <v>202</v>
      </c>
      <c r="G86" s="15"/>
      <c r="H86" s="15" t="s">
        <v>203</v>
      </c>
      <c r="I86" s="17" t="n">
        <v>13</v>
      </c>
      <c r="J86" s="16"/>
      <c r="K86" s="15" t="s">
        <v>204</v>
      </c>
      <c r="L86" s="15" t="n">
        <f aca="false">IF(AND(OR(Search!$C$4="",Search!$C$4="All",B86=Search!$C$4),OR(Search!$C$5="",Search!$C$5="All",C86=Search!$C$5),OR(Search!$C$6="",Search!$C$6="All",D86=Search!$C$6),OR(Search!$C$7="",ISNUMBER(SEARCH(Search!$C$7,D86&amp;" "&amp;E86&amp;" "&amp;F86&amp;" "&amp;G86&amp;" "&amp;H86&amp;" "&amp;J86))),OR(Search!$C$8="",ISNUMBER(SEARCH(Search!$C$8,G86)))),1,0)</f>
        <v>1</v>
      </c>
      <c r="M86" s="15" t="n">
        <f aca="false">M85+L86</f>
        <v>85</v>
      </c>
    </row>
    <row r="87" customFormat="false" ht="15" hidden="false" customHeight="false" outlineLevel="0" collapsed="false">
      <c r="A87" s="14" t="n">
        <v>86</v>
      </c>
      <c r="B87" s="15" t="s">
        <v>199</v>
      </c>
      <c r="C87" s="15" t="s">
        <v>200</v>
      </c>
      <c r="D87" s="16" t="s">
        <v>201</v>
      </c>
      <c r="E87" s="16"/>
      <c r="F87" s="15" t="s">
        <v>209</v>
      </c>
      <c r="G87" s="15"/>
      <c r="H87" s="15" t="s">
        <v>203</v>
      </c>
      <c r="I87" s="17" t="n">
        <v>13</v>
      </c>
      <c r="J87" s="16"/>
      <c r="K87" s="15" t="s">
        <v>204</v>
      </c>
      <c r="L87" s="15" t="n">
        <f aca="false">IF(AND(OR(Search!$C$4="",Search!$C$4="All",B87=Search!$C$4),OR(Search!$C$5="",Search!$C$5="All",C87=Search!$C$5),OR(Search!$C$6="",Search!$C$6="All",D87=Search!$C$6),OR(Search!$C$7="",ISNUMBER(SEARCH(Search!$C$7,D87&amp;" "&amp;E87&amp;" "&amp;F87&amp;" "&amp;G87&amp;" "&amp;H87&amp;" "&amp;J87))),OR(Search!$C$8="",ISNUMBER(SEARCH(Search!$C$8,G87)))),1,0)</f>
        <v>1</v>
      </c>
      <c r="M87" s="15" t="n">
        <f aca="false">M86+L87</f>
        <v>86</v>
      </c>
    </row>
    <row r="88" customFormat="false" ht="15" hidden="false" customHeight="false" outlineLevel="0" collapsed="false">
      <c r="A88" s="14" t="n">
        <v>87</v>
      </c>
      <c r="B88" s="15" t="s">
        <v>199</v>
      </c>
      <c r="C88" s="15" t="s">
        <v>200</v>
      </c>
      <c r="D88" s="16" t="s">
        <v>205</v>
      </c>
      <c r="E88" s="16"/>
      <c r="F88" s="15" t="s">
        <v>209</v>
      </c>
      <c r="G88" s="15"/>
      <c r="H88" s="15" t="s">
        <v>203</v>
      </c>
      <c r="I88" s="17" t="n">
        <v>22.5</v>
      </c>
      <c r="J88" s="16"/>
      <c r="K88" s="15" t="s">
        <v>204</v>
      </c>
      <c r="L88" s="15" t="n">
        <f aca="false">IF(AND(OR(Search!$C$4="",Search!$C$4="All",B88=Search!$C$4),OR(Search!$C$5="",Search!$C$5="All",C88=Search!$C$5),OR(Search!$C$6="",Search!$C$6="All",D88=Search!$C$6),OR(Search!$C$7="",ISNUMBER(SEARCH(Search!$C$7,D88&amp;" "&amp;E88&amp;" "&amp;F88&amp;" "&amp;G88&amp;" "&amp;H88&amp;" "&amp;J88))),OR(Search!$C$8="",ISNUMBER(SEARCH(Search!$C$8,G88)))),1,0)</f>
        <v>1</v>
      </c>
      <c r="M88" s="15" t="n">
        <f aca="false">M87+L88</f>
        <v>87</v>
      </c>
    </row>
    <row r="89" customFormat="false" ht="15" hidden="false" customHeight="false" outlineLevel="0" collapsed="false">
      <c r="A89" s="14" t="n">
        <v>88</v>
      </c>
      <c r="B89" s="15" t="s">
        <v>199</v>
      </c>
      <c r="C89" s="15" t="s">
        <v>200</v>
      </c>
      <c r="D89" s="16" t="s">
        <v>206</v>
      </c>
      <c r="E89" s="16" t="s">
        <v>207</v>
      </c>
      <c r="F89" s="15" t="s">
        <v>209</v>
      </c>
      <c r="G89" s="15"/>
      <c r="H89" s="15" t="s">
        <v>203</v>
      </c>
      <c r="I89" s="17" t="n">
        <v>10.5</v>
      </c>
      <c r="J89" s="16"/>
      <c r="K89" s="15" t="s">
        <v>204</v>
      </c>
      <c r="L89" s="15" t="n">
        <f aca="false">IF(AND(OR(Search!$C$4="",Search!$C$4="All",B89=Search!$C$4),OR(Search!$C$5="",Search!$C$5="All",C89=Search!$C$5),OR(Search!$C$6="",Search!$C$6="All",D89=Search!$C$6),OR(Search!$C$7="",ISNUMBER(SEARCH(Search!$C$7,D89&amp;" "&amp;E89&amp;" "&amp;F89&amp;" "&amp;G89&amp;" "&amp;H89&amp;" "&amp;J89))),OR(Search!$C$8="",ISNUMBER(SEARCH(Search!$C$8,G89)))),1,0)</f>
        <v>1</v>
      </c>
      <c r="M89" s="15" t="n">
        <f aca="false">M88+L89</f>
        <v>88</v>
      </c>
    </row>
    <row r="90" customFormat="false" ht="15" hidden="false" customHeight="false" outlineLevel="0" collapsed="false">
      <c r="A90" s="14" t="n">
        <v>89</v>
      </c>
      <c r="B90" s="15" t="s">
        <v>199</v>
      </c>
      <c r="C90" s="15" t="s">
        <v>200</v>
      </c>
      <c r="D90" s="16" t="s">
        <v>208</v>
      </c>
      <c r="E90" s="16"/>
      <c r="F90" s="15" t="s">
        <v>209</v>
      </c>
      <c r="G90" s="15"/>
      <c r="H90" s="15" t="s">
        <v>203</v>
      </c>
      <c r="I90" s="17" t="n">
        <v>14</v>
      </c>
      <c r="J90" s="16"/>
      <c r="K90" s="15" t="s">
        <v>204</v>
      </c>
      <c r="L90" s="15" t="n">
        <f aca="false">IF(AND(OR(Search!$C$4="",Search!$C$4="All",B90=Search!$C$4),OR(Search!$C$5="",Search!$C$5="All",C90=Search!$C$5),OR(Search!$C$6="",Search!$C$6="All",D90=Search!$C$6),OR(Search!$C$7="",ISNUMBER(SEARCH(Search!$C$7,D90&amp;" "&amp;E90&amp;" "&amp;F90&amp;" "&amp;G90&amp;" "&amp;H90&amp;" "&amp;J90))),OR(Search!$C$8="",ISNUMBER(SEARCH(Search!$C$8,G90)))),1,0)</f>
        <v>1</v>
      </c>
      <c r="M90" s="15" t="n">
        <f aca="false">M89+L90</f>
        <v>89</v>
      </c>
    </row>
    <row r="91" customFormat="false" ht="15" hidden="false" customHeight="false" outlineLevel="0" collapsed="false">
      <c r="A91" s="14" t="n">
        <v>90</v>
      </c>
      <c r="B91" s="15" t="s">
        <v>199</v>
      </c>
      <c r="C91" s="15" t="s">
        <v>200</v>
      </c>
      <c r="D91" s="16" t="s">
        <v>201</v>
      </c>
      <c r="E91" s="16"/>
      <c r="F91" s="15" t="s">
        <v>210</v>
      </c>
      <c r="G91" s="15"/>
      <c r="H91" s="15" t="s">
        <v>203</v>
      </c>
      <c r="I91" s="17" t="n">
        <v>15</v>
      </c>
      <c r="J91" s="16"/>
      <c r="K91" s="15" t="s">
        <v>204</v>
      </c>
      <c r="L91" s="15" t="n">
        <f aca="false">IF(AND(OR(Search!$C$4="",Search!$C$4="All",B91=Search!$C$4),OR(Search!$C$5="",Search!$C$5="All",C91=Search!$C$5),OR(Search!$C$6="",Search!$C$6="All",D91=Search!$C$6),OR(Search!$C$7="",ISNUMBER(SEARCH(Search!$C$7,D91&amp;" "&amp;E91&amp;" "&amp;F91&amp;" "&amp;G91&amp;" "&amp;H91&amp;" "&amp;J91))),OR(Search!$C$8="",ISNUMBER(SEARCH(Search!$C$8,G91)))),1,0)</f>
        <v>1</v>
      </c>
      <c r="M91" s="15" t="n">
        <f aca="false">M90+L91</f>
        <v>90</v>
      </c>
    </row>
    <row r="92" customFormat="false" ht="15" hidden="false" customHeight="false" outlineLevel="0" collapsed="false">
      <c r="A92" s="14" t="n">
        <v>91</v>
      </c>
      <c r="B92" s="15" t="s">
        <v>199</v>
      </c>
      <c r="C92" s="15" t="s">
        <v>200</v>
      </c>
      <c r="D92" s="16" t="s">
        <v>205</v>
      </c>
      <c r="E92" s="16"/>
      <c r="F92" s="15" t="s">
        <v>210</v>
      </c>
      <c r="G92" s="15"/>
      <c r="H92" s="15" t="s">
        <v>203</v>
      </c>
      <c r="I92" s="17" t="n">
        <v>27.5</v>
      </c>
      <c r="J92" s="16"/>
      <c r="K92" s="15" t="s">
        <v>204</v>
      </c>
      <c r="L92" s="15" t="n">
        <f aca="false">IF(AND(OR(Search!$C$4="",Search!$C$4="All",B92=Search!$C$4),OR(Search!$C$5="",Search!$C$5="All",C92=Search!$C$5),OR(Search!$C$6="",Search!$C$6="All",D92=Search!$C$6),OR(Search!$C$7="",ISNUMBER(SEARCH(Search!$C$7,D92&amp;" "&amp;E92&amp;" "&amp;F92&amp;" "&amp;G92&amp;" "&amp;H92&amp;" "&amp;J92))),OR(Search!$C$8="",ISNUMBER(SEARCH(Search!$C$8,G92)))),1,0)</f>
        <v>1</v>
      </c>
      <c r="M92" s="15" t="n">
        <f aca="false">M91+L92</f>
        <v>91</v>
      </c>
    </row>
    <row r="93" customFormat="false" ht="15" hidden="false" customHeight="false" outlineLevel="0" collapsed="false">
      <c r="A93" s="14" t="n">
        <v>92</v>
      </c>
      <c r="B93" s="15" t="s">
        <v>199</v>
      </c>
      <c r="C93" s="15" t="s">
        <v>200</v>
      </c>
      <c r="D93" s="16" t="s">
        <v>206</v>
      </c>
      <c r="E93" s="16" t="s">
        <v>207</v>
      </c>
      <c r="F93" s="15" t="s">
        <v>210</v>
      </c>
      <c r="G93" s="15"/>
      <c r="H93" s="15" t="s">
        <v>203</v>
      </c>
      <c r="I93" s="17" t="n">
        <v>12.5</v>
      </c>
      <c r="J93" s="16" t="s">
        <v>211</v>
      </c>
      <c r="K93" s="15" t="s">
        <v>204</v>
      </c>
      <c r="L93" s="15" t="n">
        <f aca="false">IF(AND(OR(Search!$C$4="",Search!$C$4="All",B93=Search!$C$4),OR(Search!$C$5="",Search!$C$5="All",C93=Search!$C$5),OR(Search!$C$6="",Search!$C$6="All",D93=Search!$C$6),OR(Search!$C$7="",ISNUMBER(SEARCH(Search!$C$7,D93&amp;" "&amp;E93&amp;" "&amp;F93&amp;" "&amp;G93&amp;" "&amp;H93&amp;" "&amp;J93))),OR(Search!$C$8="",ISNUMBER(SEARCH(Search!$C$8,G93)))),1,0)</f>
        <v>1</v>
      </c>
      <c r="M93" s="15" t="n">
        <f aca="false">M92+L93</f>
        <v>92</v>
      </c>
    </row>
    <row r="94" customFormat="false" ht="15" hidden="false" customHeight="false" outlineLevel="0" collapsed="false">
      <c r="A94" s="14" t="n">
        <v>93</v>
      </c>
      <c r="B94" s="15" t="s">
        <v>199</v>
      </c>
      <c r="C94" s="15" t="s">
        <v>200</v>
      </c>
      <c r="D94" s="16" t="s">
        <v>208</v>
      </c>
      <c r="E94" s="16"/>
      <c r="F94" s="15" t="s">
        <v>210</v>
      </c>
      <c r="G94" s="15"/>
      <c r="H94" s="15" t="s">
        <v>203</v>
      </c>
      <c r="I94" s="17" t="n">
        <v>16.5</v>
      </c>
      <c r="J94" s="16"/>
      <c r="K94" s="15" t="s">
        <v>204</v>
      </c>
      <c r="L94" s="15" t="n">
        <f aca="false">IF(AND(OR(Search!$C$4="",Search!$C$4="All",B94=Search!$C$4),OR(Search!$C$5="",Search!$C$5="All",C94=Search!$C$5),OR(Search!$C$6="",Search!$C$6="All",D94=Search!$C$6),OR(Search!$C$7="",ISNUMBER(SEARCH(Search!$C$7,D94&amp;" "&amp;E94&amp;" "&amp;F94&amp;" "&amp;G94&amp;" "&amp;H94&amp;" "&amp;J94))),OR(Search!$C$8="",ISNUMBER(SEARCH(Search!$C$8,G94)))),1,0)</f>
        <v>1</v>
      </c>
      <c r="M94" s="15" t="n">
        <f aca="false">M93+L94</f>
        <v>93</v>
      </c>
    </row>
    <row r="95" customFormat="false" ht="15" hidden="false" customHeight="false" outlineLevel="0" collapsed="false">
      <c r="A95" s="14" t="n">
        <v>94</v>
      </c>
      <c r="B95" s="15" t="s">
        <v>199</v>
      </c>
      <c r="C95" s="15" t="s">
        <v>200</v>
      </c>
      <c r="D95" s="16" t="s">
        <v>201</v>
      </c>
      <c r="E95" s="16"/>
      <c r="F95" s="15" t="s">
        <v>212</v>
      </c>
      <c r="G95" s="15"/>
      <c r="H95" s="15" t="s">
        <v>203</v>
      </c>
      <c r="I95" s="17" t="n">
        <v>18</v>
      </c>
      <c r="J95" s="16"/>
      <c r="K95" s="15" t="s">
        <v>204</v>
      </c>
      <c r="L95" s="15" t="n">
        <f aca="false">IF(AND(OR(Search!$C$4="",Search!$C$4="All",B95=Search!$C$4),OR(Search!$C$5="",Search!$C$5="All",C95=Search!$C$5),OR(Search!$C$6="",Search!$C$6="All",D95=Search!$C$6),OR(Search!$C$7="",ISNUMBER(SEARCH(Search!$C$7,D95&amp;" "&amp;E95&amp;" "&amp;F95&amp;" "&amp;G95&amp;" "&amp;H95&amp;" "&amp;J95))),OR(Search!$C$8="",ISNUMBER(SEARCH(Search!$C$8,G95)))),1,0)</f>
        <v>1</v>
      </c>
      <c r="M95" s="15" t="n">
        <f aca="false">M94+L95</f>
        <v>94</v>
      </c>
    </row>
    <row r="96" customFormat="false" ht="15" hidden="false" customHeight="false" outlineLevel="0" collapsed="false">
      <c r="A96" s="14" t="n">
        <v>95</v>
      </c>
      <c r="B96" s="15" t="s">
        <v>199</v>
      </c>
      <c r="C96" s="15" t="s">
        <v>200</v>
      </c>
      <c r="D96" s="16" t="s">
        <v>205</v>
      </c>
      <c r="E96" s="16"/>
      <c r="F96" s="15" t="s">
        <v>212</v>
      </c>
      <c r="G96" s="15"/>
      <c r="H96" s="15" t="s">
        <v>203</v>
      </c>
      <c r="I96" s="17" t="n">
        <v>31.5</v>
      </c>
      <c r="J96" s="16"/>
      <c r="K96" s="15" t="s">
        <v>204</v>
      </c>
      <c r="L96" s="15" t="n">
        <f aca="false">IF(AND(OR(Search!$C$4="",Search!$C$4="All",B96=Search!$C$4),OR(Search!$C$5="",Search!$C$5="All",C96=Search!$C$5),OR(Search!$C$6="",Search!$C$6="All",D96=Search!$C$6),OR(Search!$C$7="",ISNUMBER(SEARCH(Search!$C$7,D96&amp;" "&amp;E96&amp;" "&amp;F96&amp;" "&amp;G96&amp;" "&amp;H96&amp;" "&amp;J96))),OR(Search!$C$8="",ISNUMBER(SEARCH(Search!$C$8,G96)))),1,0)</f>
        <v>1</v>
      </c>
      <c r="M96" s="15" t="n">
        <f aca="false">M95+L96</f>
        <v>95</v>
      </c>
    </row>
    <row r="97" customFormat="false" ht="15" hidden="false" customHeight="false" outlineLevel="0" collapsed="false">
      <c r="A97" s="14" t="n">
        <v>96</v>
      </c>
      <c r="B97" s="15" t="s">
        <v>199</v>
      </c>
      <c r="C97" s="15" t="s">
        <v>200</v>
      </c>
      <c r="D97" s="16" t="s">
        <v>206</v>
      </c>
      <c r="E97" s="16" t="s">
        <v>207</v>
      </c>
      <c r="F97" s="15" t="s">
        <v>212</v>
      </c>
      <c r="G97" s="15"/>
      <c r="H97" s="15" t="s">
        <v>203</v>
      </c>
      <c r="I97" s="17" t="n">
        <v>14</v>
      </c>
      <c r="J97" s="16" t="s">
        <v>213</v>
      </c>
      <c r="K97" s="15" t="s">
        <v>204</v>
      </c>
      <c r="L97" s="15" t="n">
        <f aca="false">IF(AND(OR(Search!$C$4="",Search!$C$4="All",B97=Search!$C$4),OR(Search!$C$5="",Search!$C$5="All",C97=Search!$C$5),OR(Search!$C$6="",Search!$C$6="All",D97=Search!$C$6),OR(Search!$C$7="",ISNUMBER(SEARCH(Search!$C$7,D97&amp;" "&amp;E97&amp;" "&amp;F97&amp;" "&amp;G97&amp;" "&amp;H97&amp;" "&amp;J97))),OR(Search!$C$8="",ISNUMBER(SEARCH(Search!$C$8,G97)))),1,0)</f>
        <v>1</v>
      </c>
      <c r="M97" s="15" t="n">
        <f aca="false">M96+L97</f>
        <v>96</v>
      </c>
    </row>
    <row r="98" customFormat="false" ht="15" hidden="false" customHeight="false" outlineLevel="0" collapsed="false">
      <c r="A98" s="14" t="n">
        <v>97</v>
      </c>
      <c r="B98" s="15" t="s">
        <v>199</v>
      </c>
      <c r="C98" s="15" t="s">
        <v>200</v>
      </c>
      <c r="D98" s="16" t="s">
        <v>208</v>
      </c>
      <c r="E98" s="16"/>
      <c r="F98" s="15" t="s">
        <v>212</v>
      </c>
      <c r="G98" s="15"/>
      <c r="H98" s="15" t="s">
        <v>203</v>
      </c>
      <c r="I98" s="17" t="n">
        <v>18.5</v>
      </c>
      <c r="J98" s="16"/>
      <c r="K98" s="15" t="s">
        <v>204</v>
      </c>
      <c r="L98" s="15" t="n">
        <f aca="false">IF(AND(OR(Search!$C$4="",Search!$C$4="All",B98=Search!$C$4),OR(Search!$C$5="",Search!$C$5="All",C98=Search!$C$5),OR(Search!$C$6="",Search!$C$6="All",D98=Search!$C$6),OR(Search!$C$7="",ISNUMBER(SEARCH(Search!$C$7,D98&amp;" "&amp;E98&amp;" "&amp;F98&amp;" "&amp;G98&amp;" "&amp;H98&amp;" "&amp;J98))),OR(Search!$C$8="",ISNUMBER(SEARCH(Search!$C$8,G98)))),1,0)</f>
        <v>1</v>
      </c>
      <c r="M98" s="15" t="n">
        <f aca="false">M97+L98</f>
        <v>97</v>
      </c>
    </row>
    <row r="99" customFormat="false" ht="15" hidden="false" customHeight="false" outlineLevel="0" collapsed="false">
      <c r="A99" s="14" t="n">
        <v>98</v>
      </c>
      <c r="B99" s="15" t="s">
        <v>199</v>
      </c>
      <c r="C99" s="15" t="s">
        <v>200</v>
      </c>
      <c r="D99" s="16" t="s">
        <v>201</v>
      </c>
      <c r="E99" s="16"/>
      <c r="F99" s="15" t="s">
        <v>214</v>
      </c>
      <c r="G99" s="15"/>
      <c r="H99" s="15" t="s">
        <v>203</v>
      </c>
      <c r="I99" s="17" t="n">
        <v>20.5</v>
      </c>
      <c r="J99" s="16"/>
      <c r="K99" s="15" t="s">
        <v>204</v>
      </c>
      <c r="L99" s="15" t="n">
        <f aca="false">IF(AND(OR(Search!$C$4="",Search!$C$4="All",B99=Search!$C$4),OR(Search!$C$5="",Search!$C$5="All",C99=Search!$C$5),OR(Search!$C$6="",Search!$C$6="All",D99=Search!$C$6),OR(Search!$C$7="",ISNUMBER(SEARCH(Search!$C$7,D99&amp;" "&amp;E99&amp;" "&amp;F99&amp;" "&amp;G99&amp;" "&amp;H99&amp;" "&amp;J99))),OR(Search!$C$8="",ISNUMBER(SEARCH(Search!$C$8,G99)))),1,0)</f>
        <v>1</v>
      </c>
      <c r="M99" s="15" t="n">
        <f aca="false">M98+L99</f>
        <v>98</v>
      </c>
    </row>
    <row r="100" customFormat="false" ht="15" hidden="false" customHeight="false" outlineLevel="0" collapsed="false">
      <c r="A100" s="14" t="n">
        <v>99</v>
      </c>
      <c r="B100" s="15" t="s">
        <v>199</v>
      </c>
      <c r="C100" s="15" t="s">
        <v>200</v>
      </c>
      <c r="D100" s="16" t="s">
        <v>205</v>
      </c>
      <c r="E100" s="16"/>
      <c r="F100" s="15" t="s">
        <v>214</v>
      </c>
      <c r="G100" s="15"/>
      <c r="H100" s="15" t="s">
        <v>203</v>
      </c>
      <c r="I100" s="17" t="n">
        <v>33.5</v>
      </c>
      <c r="J100" s="16"/>
      <c r="K100" s="15" t="s">
        <v>204</v>
      </c>
      <c r="L100" s="15" t="n">
        <f aca="false">IF(AND(OR(Search!$C$4="",Search!$C$4="All",B100=Search!$C$4),OR(Search!$C$5="",Search!$C$5="All",C100=Search!$C$5),OR(Search!$C$6="",Search!$C$6="All",D100=Search!$C$6),OR(Search!$C$7="",ISNUMBER(SEARCH(Search!$C$7,D100&amp;" "&amp;E100&amp;" "&amp;F100&amp;" "&amp;G100&amp;" "&amp;H100&amp;" "&amp;J100))),OR(Search!$C$8="",ISNUMBER(SEARCH(Search!$C$8,G100)))),1,0)</f>
        <v>1</v>
      </c>
      <c r="M100" s="15" t="n">
        <f aca="false">M99+L100</f>
        <v>99</v>
      </c>
    </row>
    <row r="101" customFormat="false" ht="15" hidden="false" customHeight="false" outlineLevel="0" collapsed="false">
      <c r="A101" s="14" t="n">
        <v>100</v>
      </c>
      <c r="B101" s="15" t="s">
        <v>199</v>
      </c>
      <c r="C101" s="15" t="s">
        <v>200</v>
      </c>
      <c r="D101" s="16" t="s">
        <v>206</v>
      </c>
      <c r="E101" s="16" t="s">
        <v>207</v>
      </c>
      <c r="F101" s="15" t="s">
        <v>214</v>
      </c>
      <c r="G101" s="15"/>
      <c r="H101" s="15" t="s">
        <v>203</v>
      </c>
      <c r="I101" s="17" t="n">
        <v>16.5</v>
      </c>
      <c r="J101" s="16" t="s">
        <v>215</v>
      </c>
      <c r="K101" s="15" t="s">
        <v>204</v>
      </c>
      <c r="L101" s="15" t="n">
        <f aca="false">IF(AND(OR(Search!$C$4="",Search!$C$4="All",B101=Search!$C$4),OR(Search!$C$5="",Search!$C$5="All",C101=Search!$C$5),OR(Search!$C$6="",Search!$C$6="All",D101=Search!$C$6),OR(Search!$C$7="",ISNUMBER(SEARCH(Search!$C$7,D101&amp;" "&amp;E101&amp;" "&amp;F101&amp;" "&amp;G101&amp;" "&amp;H101&amp;" "&amp;J101))),OR(Search!$C$8="",ISNUMBER(SEARCH(Search!$C$8,G101)))),1,0)</f>
        <v>1</v>
      </c>
      <c r="M101" s="15" t="n">
        <f aca="false">M100+L101</f>
        <v>100</v>
      </c>
    </row>
    <row r="102" customFormat="false" ht="15" hidden="false" customHeight="false" outlineLevel="0" collapsed="false">
      <c r="A102" s="14" t="n">
        <v>101</v>
      </c>
      <c r="B102" s="15" t="s">
        <v>199</v>
      </c>
      <c r="C102" s="15" t="s">
        <v>200</v>
      </c>
      <c r="D102" s="16" t="s">
        <v>208</v>
      </c>
      <c r="E102" s="16"/>
      <c r="F102" s="15" t="s">
        <v>214</v>
      </c>
      <c r="G102" s="15"/>
      <c r="H102" s="15" t="s">
        <v>203</v>
      </c>
      <c r="I102" s="17" t="n">
        <v>20</v>
      </c>
      <c r="J102" s="16"/>
      <c r="K102" s="15" t="s">
        <v>204</v>
      </c>
      <c r="L102" s="15" t="n">
        <f aca="false">IF(AND(OR(Search!$C$4="",Search!$C$4="All",B102=Search!$C$4),OR(Search!$C$5="",Search!$C$5="All",C102=Search!$C$5),OR(Search!$C$6="",Search!$C$6="All",D102=Search!$C$6),OR(Search!$C$7="",ISNUMBER(SEARCH(Search!$C$7,D102&amp;" "&amp;E102&amp;" "&amp;F102&amp;" "&amp;G102&amp;" "&amp;H102&amp;" "&amp;J102))),OR(Search!$C$8="",ISNUMBER(SEARCH(Search!$C$8,G102)))),1,0)</f>
        <v>1</v>
      </c>
      <c r="M102" s="15" t="n">
        <f aca="false">M101+L102</f>
        <v>101</v>
      </c>
    </row>
    <row r="103" customFormat="false" ht="15" hidden="false" customHeight="false" outlineLevel="0" collapsed="false">
      <c r="A103" s="14" t="n">
        <v>102</v>
      </c>
      <c r="B103" s="15" t="s">
        <v>199</v>
      </c>
      <c r="C103" s="15" t="s">
        <v>200</v>
      </c>
      <c r="D103" s="16" t="s">
        <v>208</v>
      </c>
      <c r="E103" s="16"/>
      <c r="F103" s="15" t="s">
        <v>216</v>
      </c>
      <c r="G103" s="15"/>
      <c r="H103" s="15" t="s">
        <v>203</v>
      </c>
      <c r="I103" s="17" t="n">
        <v>22.5</v>
      </c>
      <c r="J103" s="16"/>
      <c r="K103" s="15" t="s">
        <v>204</v>
      </c>
      <c r="L103" s="15" t="n">
        <f aca="false">IF(AND(OR(Search!$C$4="",Search!$C$4="All",B103=Search!$C$4),OR(Search!$C$5="",Search!$C$5="All",C103=Search!$C$5),OR(Search!$C$6="",Search!$C$6="All",D103=Search!$C$6),OR(Search!$C$7="",ISNUMBER(SEARCH(Search!$C$7,D103&amp;" "&amp;E103&amp;" "&amp;F103&amp;" "&amp;G103&amp;" "&amp;H103&amp;" "&amp;J103))),OR(Search!$C$8="",ISNUMBER(SEARCH(Search!$C$8,G103)))),1,0)</f>
        <v>1</v>
      </c>
      <c r="M103" s="15" t="n">
        <f aca="false">M102+L103</f>
        <v>102</v>
      </c>
    </row>
    <row r="104" customFormat="false" ht="15" hidden="false" customHeight="false" outlineLevel="0" collapsed="false">
      <c r="A104" s="14" t="n">
        <v>103</v>
      </c>
      <c r="B104" s="15" t="s">
        <v>199</v>
      </c>
      <c r="C104" s="15" t="s">
        <v>200</v>
      </c>
      <c r="D104" s="16" t="s">
        <v>206</v>
      </c>
      <c r="E104" s="16" t="s">
        <v>207</v>
      </c>
      <c r="F104" s="15" t="s">
        <v>217</v>
      </c>
      <c r="G104" s="15"/>
      <c r="H104" s="15" t="s">
        <v>203</v>
      </c>
      <c r="I104" s="17" t="n">
        <v>18</v>
      </c>
      <c r="J104" s="16" t="s">
        <v>218</v>
      </c>
      <c r="K104" s="15" t="s">
        <v>204</v>
      </c>
      <c r="L104" s="15" t="n">
        <f aca="false">IF(AND(OR(Search!$C$4="",Search!$C$4="All",B104=Search!$C$4),OR(Search!$C$5="",Search!$C$5="All",C104=Search!$C$5),OR(Search!$C$6="",Search!$C$6="All",D104=Search!$C$6),OR(Search!$C$7="",ISNUMBER(SEARCH(Search!$C$7,D104&amp;" "&amp;E104&amp;" "&amp;F104&amp;" "&amp;G104&amp;" "&amp;H104&amp;" "&amp;J104))),OR(Search!$C$8="",ISNUMBER(SEARCH(Search!$C$8,G104)))),1,0)</f>
        <v>1</v>
      </c>
      <c r="M104" s="15" t="n">
        <f aca="false">M103+L104</f>
        <v>103</v>
      </c>
    </row>
    <row r="105" customFormat="false" ht="15" hidden="false" customHeight="false" outlineLevel="0" collapsed="false">
      <c r="A105" s="14" t="n">
        <v>104</v>
      </c>
      <c r="B105" s="15" t="s">
        <v>199</v>
      </c>
      <c r="C105" s="15" t="s">
        <v>200</v>
      </c>
      <c r="D105" s="16" t="s">
        <v>208</v>
      </c>
      <c r="E105" s="16"/>
      <c r="F105" s="15" t="s">
        <v>217</v>
      </c>
      <c r="G105" s="15"/>
      <c r="H105" s="15" t="s">
        <v>203</v>
      </c>
      <c r="I105" s="17" t="n">
        <v>23.5</v>
      </c>
      <c r="J105" s="16"/>
      <c r="K105" s="15" t="s">
        <v>204</v>
      </c>
      <c r="L105" s="15" t="n">
        <f aca="false">IF(AND(OR(Search!$C$4="",Search!$C$4="All",B105=Search!$C$4),OR(Search!$C$5="",Search!$C$5="All",C105=Search!$C$5),OR(Search!$C$6="",Search!$C$6="All",D105=Search!$C$6),OR(Search!$C$7="",ISNUMBER(SEARCH(Search!$C$7,D105&amp;" "&amp;E105&amp;" "&amp;F105&amp;" "&amp;G105&amp;" "&amp;H105&amp;" "&amp;J105))),OR(Search!$C$8="",ISNUMBER(SEARCH(Search!$C$8,G105)))),1,0)</f>
        <v>1</v>
      </c>
      <c r="M105" s="15" t="n">
        <f aca="false">M104+L105</f>
        <v>104</v>
      </c>
    </row>
    <row r="106" customFormat="false" ht="15" hidden="false" customHeight="false" outlineLevel="0" collapsed="false">
      <c r="A106" s="14" t="n">
        <v>105</v>
      </c>
      <c r="B106" s="15" t="s">
        <v>199</v>
      </c>
      <c r="C106" s="15" t="s">
        <v>200</v>
      </c>
      <c r="D106" s="16" t="s">
        <v>208</v>
      </c>
      <c r="E106" s="16"/>
      <c r="F106" s="15" t="s">
        <v>219</v>
      </c>
      <c r="G106" s="15"/>
      <c r="H106" s="15" t="s">
        <v>203</v>
      </c>
      <c r="I106" s="17" t="n">
        <v>30</v>
      </c>
      <c r="J106" s="16"/>
      <c r="K106" s="15" t="s">
        <v>204</v>
      </c>
      <c r="L106" s="15" t="n">
        <f aca="false">IF(AND(OR(Search!$C$4="",Search!$C$4="All",B106=Search!$C$4),OR(Search!$C$5="",Search!$C$5="All",C106=Search!$C$5),OR(Search!$C$6="",Search!$C$6="All",D106=Search!$C$6),OR(Search!$C$7="",ISNUMBER(SEARCH(Search!$C$7,D106&amp;" "&amp;E106&amp;" "&amp;F106&amp;" "&amp;G106&amp;" "&amp;H106&amp;" "&amp;J106))),OR(Search!$C$8="",ISNUMBER(SEARCH(Search!$C$8,G106)))),1,0)</f>
        <v>1</v>
      </c>
      <c r="M106" s="15" t="n">
        <f aca="false">M105+L106</f>
        <v>105</v>
      </c>
    </row>
    <row r="107" customFormat="false" ht="15" hidden="false" customHeight="false" outlineLevel="0" collapsed="false">
      <c r="A107" s="14" t="n">
        <v>106</v>
      </c>
      <c r="B107" s="15" t="s">
        <v>199</v>
      </c>
      <c r="C107" s="15" t="s">
        <v>200</v>
      </c>
      <c r="D107" s="16" t="s">
        <v>220</v>
      </c>
      <c r="E107" s="16" t="s">
        <v>221</v>
      </c>
      <c r="F107" s="15"/>
      <c r="G107" s="15"/>
      <c r="H107" s="15" t="s">
        <v>203</v>
      </c>
      <c r="I107" s="17"/>
      <c r="J107" s="16" t="s">
        <v>222</v>
      </c>
      <c r="K107" s="15" t="s">
        <v>204</v>
      </c>
      <c r="L107" s="15" t="n">
        <f aca="false">IF(AND(OR(Search!$C$4="",Search!$C$4="All",B107=Search!$C$4),OR(Search!$C$5="",Search!$C$5="All",C107=Search!$C$5),OR(Search!$C$6="",Search!$C$6="All",D107=Search!$C$6),OR(Search!$C$7="",ISNUMBER(SEARCH(Search!$C$7,D107&amp;" "&amp;E107&amp;" "&amp;F107&amp;" "&amp;G107&amp;" "&amp;H107&amp;" "&amp;J107))),OR(Search!$C$8="",ISNUMBER(SEARCH(Search!$C$8,G107)))),1,0)</f>
        <v>1</v>
      </c>
      <c r="M107" s="15" t="n">
        <f aca="false">M106+L107</f>
        <v>106</v>
      </c>
    </row>
    <row r="108" customFormat="false" ht="15" hidden="false" customHeight="false" outlineLevel="0" collapsed="false">
      <c r="A108" s="14" t="n">
        <v>107</v>
      </c>
      <c r="B108" s="15" t="s">
        <v>199</v>
      </c>
      <c r="C108" s="15" t="s">
        <v>200</v>
      </c>
      <c r="D108" s="16" t="s">
        <v>223</v>
      </c>
      <c r="E108" s="16" t="s">
        <v>224</v>
      </c>
      <c r="F108" s="15"/>
      <c r="G108" s="15" t="s">
        <v>225</v>
      </c>
      <c r="H108" s="15" t="s">
        <v>203</v>
      </c>
      <c r="I108" s="17"/>
      <c r="J108" s="16" t="s">
        <v>226</v>
      </c>
      <c r="K108" s="15" t="s">
        <v>204</v>
      </c>
      <c r="L108" s="15" t="n">
        <f aca="false">IF(AND(OR(Search!$C$4="",Search!$C$4="All",B108=Search!$C$4),OR(Search!$C$5="",Search!$C$5="All",C108=Search!$C$5),OR(Search!$C$6="",Search!$C$6="All",D108=Search!$C$6),OR(Search!$C$7="",ISNUMBER(SEARCH(Search!$C$7,D108&amp;" "&amp;E108&amp;" "&amp;F108&amp;" "&amp;G108&amp;" "&amp;H108&amp;" "&amp;J108))),OR(Search!$C$8="",ISNUMBER(SEARCH(Search!$C$8,G108)))),1,0)</f>
        <v>1</v>
      </c>
      <c r="M108" s="15" t="n">
        <f aca="false">M107+L108</f>
        <v>107</v>
      </c>
    </row>
    <row r="109" customFormat="false" ht="15" hidden="false" customHeight="false" outlineLevel="0" collapsed="false">
      <c r="A109" s="14" t="n">
        <v>108</v>
      </c>
      <c r="B109" s="15" t="s">
        <v>199</v>
      </c>
      <c r="C109" s="15" t="s">
        <v>200</v>
      </c>
      <c r="D109" s="16" t="s">
        <v>227</v>
      </c>
      <c r="E109" s="16"/>
      <c r="F109" s="15" t="s">
        <v>228</v>
      </c>
      <c r="G109" s="15" t="s">
        <v>225</v>
      </c>
      <c r="H109" s="15" t="s">
        <v>203</v>
      </c>
      <c r="I109" s="17" t="n">
        <v>30</v>
      </c>
      <c r="J109" s="16"/>
      <c r="K109" s="15" t="s">
        <v>204</v>
      </c>
      <c r="L109" s="15" t="n">
        <f aca="false">IF(AND(OR(Search!$C$4="",Search!$C$4="All",B109=Search!$C$4),OR(Search!$C$5="",Search!$C$5="All",C109=Search!$C$5),OR(Search!$C$6="",Search!$C$6="All",D109=Search!$C$6),OR(Search!$C$7="",ISNUMBER(SEARCH(Search!$C$7,D109&amp;" "&amp;E109&amp;" "&amp;F109&amp;" "&amp;G109&amp;" "&amp;H109&amp;" "&amp;J109))),OR(Search!$C$8="",ISNUMBER(SEARCH(Search!$C$8,G109)))),1,0)</f>
        <v>1</v>
      </c>
      <c r="M109" s="15" t="n">
        <f aca="false">M108+L109</f>
        <v>108</v>
      </c>
    </row>
    <row r="110" customFormat="false" ht="15" hidden="false" customHeight="false" outlineLevel="0" collapsed="false">
      <c r="A110" s="14" t="n">
        <v>109</v>
      </c>
      <c r="B110" s="15" t="s">
        <v>199</v>
      </c>
      <c r="C110" s="15" t="s">
        <v>229</v>
      </c>
      <c r="D110" s="16" t="s">
        <v>230</v>
      </c>
      <c r="E110" s="16"/>
      <c r="F110" s="15" t="s">
        <v>231</v>
      </c>
      <c r="G110" s="15"/>
      <c r="H110" s="15" t="s">
        <v>197</v>
      </c>
      <c r="I110" s="17" t="n">
        <v>29</v>
      </c>
      <c r="J110" s="16"/>
      <c r="K110" s="15" t="s">
        <v>204</v>
      </c>
      <c r="L110" s="15" t="n">
        <f aca="false">IF(AND(OR(Search!$C$4="",Search!$C$4="All",B110=Search!$C$4),OR(Search!$C$5="",Search!$C$5="All",C110=Search!$C$5),OR(Search!$C$6="",Search!$C$6="All",D110=Search!$C$6),OR(Search!$C$7="",ISNUMBER(SEARCH(Search!$C$7,D110&amp;" "&amp;E110&amp;" "&amp;F110&amp;" "&amp;G110&amp;" "&amp;H110&amp;" "&amp;J110))),OR(Search!$C$8="",ISNUMBER(SEARCH(Search!$C$8,G110)))),1,0)</f>
        <v>1</v>
      </c>
      <c r="M110" s="15" t="n">
        <f aca="false">M109+L110</f>
        <v>109</v>
      </c>
    </row>
    <row r="111" customFormat="false" ht="15" hidden="false" customHeight="false" outlineLevel="0" collapsed="false">
      <c r="A111" s="14" t="n">
        <v>110</v>
      </c>
      <c r="B111" s="15" t="s">
        <v>199</v>
      </c>
      <c r="C111" s="15" t="s">
        <v>229</v>
      </c>
      <c r="D111" s="16" t="s">
        <v>230</v>
      </c>
      <c r="E111" s="16"/>
      <c r="F111" s="15" t="s">
        <v>232</v>
      </c>
      <c r="G111" s="15"/>
      <c r="H111" s="15" t="s">
        <v>197</v>
      </c>
      <c r="I111" s="17" t="n">
        <v>29</v>
      </c>
      <c r="J111" s="16"/>
      <c r="K111" s="15" t="s">
        <v>204</v>
      </c>
      <c r="L111" s="15" t="n">
        <f aca="false">IF(AND(OR(Search!$C$4="",Search!$C$4="All",B111=Search!$C$4),OR(Search!$C$5="",Search!$C$5="All",C111=Search!$C$5),OR(Search!$C$6="",Search!$C$6="All",D111=Search!$C$6),OR(Search!$C$7="",ISNUMBER(SEARCH(Search!$C$7,D111&amp;" "&amp;E111&amp;" "&amp;F111&amp;" "&amp;G111&amp;" "&amp;H111&amp;" "&amp;J111))),OR(Search!$C$8="",ISNUMBER(SEARCH(Search!$C$8,G111)))),1,0)</f>
        <v>1</v>
      </c>
      <c r="M111" s="15" t="n">
        <f aca="false">M110+L111</f>
        <v>110</v>
      </c>
    </row>
    <row r="112" customFormat="false" ht="15" hidden="false" customHeight="false" outlineLevel="0" collapsed="false">
      <c r="A112" s="14" t="n">
        <v>111</v>
      </c>
      <c r="B112" s="15" t="s">
        <v>199</v>
      </c>
      <c r="C112" s="15" t="s">
        <v>229</v>
      </c>
      <c r="D112" s="16" t="s">
        <v>230</v>
      </c>
      <c r="E112" s="16"/>
      <c r="F112" s="15" t="s">
        <v>233</v>
      </c>
      <c r="G112" s="15"/>
      <c r="H112" s="15" t="s">
        <v>197</v>
      </c>
      <c r="I112" s="17" t="n">
        <v>28</v>
      </c>
      <c r="J112" s="16"/>
      <c r="K112" s="15" t="s">
        <v>204</v>
      </c>
      <c r="L112" s="15" t="n">
        <f aca="false">IF(AND(OR(Search!$C$4="",Search!$C$4="All",B112=Search!$C$4),OR(Search!$C$5="",Search!$C$5="All",C112=Search!$C$5),OR(Search!$C$6="",Search!$C$6="All",D112=Search!$C$6),OR(Search!$C$7="",ISNUMBER(SEARCH(Search!$C$7,D112&amp;" "&amp;E112&amp;" "&amp;F112&amp;" "&amp;G112&amp;" "&amp;H112&amp;" "&amp;J112))),OR(Search!$C$8="",ISNUMBER(SEARCH(Search!$C$8,G112)))),1,0)</f>
        <v>1</v>
      </c>
      <c r="M112" s="15" t="n">
        <f aca="false">M111+L112</f>
        <v>111</v>
      </c>
    </row>
    <row r="113" customFormat="false" ht="15" hidden="false" customHeight="false" outlineLevel="0" collapsed="false">
      <c r="A113" s="14" t="n">
        <v>112</v>
      </c>
      <c r="B113" s="15" t="s">
        <v>199</v>
      </c>
      <c r="C113" s="15" t="s">
        <v>229</v>
      </c>
      <c r="D113" s="16" t="s">
        <v>230</v>
      </c>
      <c r="E113" s="16"/>
      <c r="F113" s="15" t="s">
        <v>234</v>
      </c>
      <c r="G113" s="15"/>
      <c r="H113" s="15" t="s">
        <v>197</v>
      </c>
      <c r="I113" s="17" t="n">
        <v>28</v>
      </c>
      <c r="J113" s="16"/>
      <c r="K113" s="15" t="s">
        <v>204</v>
      </c>
      <c r="L113" s="15" t="n">
        <f aca="false">IF(AND(OR(Search!$C$4="",Search!$C$4="All",B113=Search!$C$4),OR(Search!$C$5="",Search!$C$5="All",C113=Search!$C$5),OR(Search!$C$6="",Search!$C$6="All",D113=Search!$C$6),OR(Search!$C$7="",ISNUMBER(SEARCH(Search!$C$7,D113&amp;" "&amp;E113&amp;" "&amp;F113&amp;" "&amp;G113&amp;" "&amp;H113&amp;" "&amp;J113))),OR(Search!$C$8="",ISNUMBER(SEARCH(Search!$C$8,G113)))),1,0)</f>
        <v>1</v>
      </c>
      <c r="M113" s="15" t="n">
        <f aca="false">M112+L113</f>
        <v>112</v>
      </c>
    </row>
    <row r="114" customFormat="false" ht="15" hidden="false" customHeight="false" outlineLevel="0" collapsed="false">
      <c r="A114" s="14" t="n">
        <v>113</v>
      </c>
      <c r="B114" s="15" t="s">
        <v>199</v>
      </c>
      <c r="C114" s="15" t="s">
        <v>229</v>
      </c>
      <c r="D114" s="16" t="s">
        <v>230</v>
      </c>
      <c r="E114" s="16"/>
      <c r="F114" s="15" t="s">
        <v>235</v>
      </c>
      <c r="G114" s="15"/>
      <c r="H114" s="15" t="s">
        <v>197</v>
      </c>
      <c r="I114" s="17" t="n">
        <v>28</v>
      </c>
      <c r="J114" s="16"/>
      <c r="K114" s="15" t="s">
        <v>204</v>
      </c>
      <c r="L114" s="15" t="n">
        <f aca="false">IF(AND(OR(Search!$C$4="",Search!$C$4="All",B114=Search!$C$4),OR(Search!$C$5="",Search!$C$5="All",C114=Search!$C$5),OR(Search!$C$6="",Search!$C$6="All",D114=Search!$C$6),OR(Search!$C$7="",ISNUMBER(SEARCH(Search!$C$7,D114&amp;" "&amp;E114&amp;" "&amp;F114&amp;" "&amp;G114&amp;" "&amp;H114&amp;" "&amp;J114))),OR(Search!$C$8="",ISNUMBER(SEARCH(Search!$C$8,G114)))),1,0)</f>
        <v>1</v>
      </c>
      <c r="M114" s="15" t="n">
        <f aca="false">M113+L114</f>
        <v>113</v>
      </c>
    </row>
    <row r="115" customFormat="false" ht="15" hidden="false" customHeight="false" outlineLevel="0" collapsed="false">
      <c r="A115" s="14" t="n">
        <v>114</v>
      </c>
      <c r="B115" s="15" t="s">
        <v>199</v>
      </c>
      <c r="C115" s="15" t="s">
        <v>229</v>
      </c>
      <c r="D115" s="16" t="s">
        <v>230</v>
      </c>
      <c r="E115" s="16"/>
      <c r="F115" s="15" t="s">
        <v>236</v>
      </c>
      <c r="G115" s="15"/>
      <c r="H115" s="15" t="s">
        <v>197</v>
      </c>
      <c r="I115" s="17" t="n">
        <v>7.5</v>
      </c>
      <c r="J115" s="16"/>
      <c r="K115" s="15" t="s">
        <v>204</v>
      </c>
      <c r="L115" s="15" t="n">
        <f aca="false">IF(AND(OR(Search!$C$4="",Search!$C$4="All",B115=Search!$C$4),OR(Search!$C$5="",Search!$C$5="All",C115=Search!$C$5),OR(Search!$C$6="",Search!$C$6="All",D115=Search!$C$6),OR(Search!$C$7="",ISNUMBER(SEARCH(Search!$C$7,D115&amp;" "&amp;E115&amp;" "&amp;F115&amp;" "&amp;G115&amp;" "&amp;H115&amp;" "&amp;J115))),OR(Search!$C$8="",ISNUMBER(SEARCH(Search!$C$8,G115)))),1,0)</f>
        <v>1</v>
      </c>
      <c r="M115" s="15" t="n">
        <f aca="false">M114+L115</f>
        <v>114</v>
      </c>
    </row>
    <row r="116" customFormat="false" ht="15" hidden="false" customHeight="false" outlineLevel="0" collapsed="false">
      <c r="A116" s="14" t="n">
        <v>115</v>
      </c>
      <c r="B116" s="15" t="s">
        <v>199</v>
      </c>
      <c r="C116" s="15" t="s">
        <v>229</v>
      </c>
      <c r="D116" s="16" t="s">
        <v>230</v>
      </c>
      <c r="E116" s="16"/>
      <c r="F116" s="15" t="s">
        <v>237</v>
      </c>
      <c r="G116" s="15"/>
      <c r="H116" s="15" t="s">
        <v>197</v>
      </c>
      <c r="I116" s="17" t="n">
        <v>8.5</v>
      </c>
      <c r="J116" s="16"/>
      <c r="K116" s="15" t="s">
        <v>204</v>
      </c>
      <c r="L116" s="15" t="n">
        <f aca="false">IF(AND(OR(Search!$C$4="",Search!$C$4="All",B116=Search!$C$4),OR(Search!$C$5="",Search!$C$5="All",C116=Search!$C$5),OR(Search!$C$6="",Search!$C$6="All",D116=Search!$C$6),OR(Search!$C$7="",ISNUMBER(SEARCH(Search!$C$7,D116&amp;" "&amp;E116&amp;" "&amp;F116&amp;" "&amp;G116&amp;" "&amp;H116&amp;" "&amp;J116))),OR(Search!$C$8="",ISNUMBER(SEARCH(Search!$C$8,G116)))),1,0)</f>
        <v>1</v>
      </c>
      <c r="M116" s="15" t="n">
        <f aca="false">M115+L116</f>
        <v>115</v>
      </c>
    </row>
    <row r="117" customFormat="false" ht="15" hidden="false" customHeight="false" outlineLevel="0" collapsed="false">
      <c r="A117" s="14" t="n">
        <v>116</v>
      </c>
      <c r="B117" s="15" t="s">
        <v>199</v>
      </c>
      <c r="C117" s="15" t="s">
        <v>229</v>
      </c>
      <c r="D117" s="16" t="s">
        <v>230</v>
      </c>
      <c r="E117" s="16"/>
      <c r="F117" s="15" t="s">
        <v>238</v>
      </c>
      <c r="G117" s="15"/>
      <c r="H117" s="15" t="s">
        <v>197</v>
      </c>
      <c r="I117" s="17" t="n">
        <v>10.5</v>
      </c>
      <c r="J117" s="16"/>
      <c r="K117" s="15" t="s">
        <v>204</v>
      </c>
      <c r="L117" s="15" t="n">
        <f aca="false">IF(AND(OR(Search!$C$4="",Search!$C$4="All",B117=Search!$C$4),OR(Search!$C$5="",Search!$C$5="All",C117=Search!$C$5),OR(Search!$C$6="",Search!$C$6="All",D117=Search!$C$6),OR(Search!$C$7="",ISNUMBER(SEARCH(Search!$C$7,D117&amp;" "&amp;E117&amp;" "&amp;F117&amp;" "&amp;G117&amp;" "&amp;H117&amp;" "&amp;J117))),OR(Search!$C$8="",ISNUMBER(SEARCH(Search!$C$8,G117)))),1,0)</f>
        <v>1</v>
      </c>
      <c r="M117" s="15" t="n">
        <f aca="false">M116+L117</f>
        <v>116</v>
      </c>
    </row>
    <row r="118" customFormat="false" ht="15" hidden="false" customHeight="false" outlineLevel="0" collapsed="false">
      <c r="A118" s="14" t="n">
        <v>117</v>
      </c>
      <c r="B118" s="15" t="s">
        <v>199</v>
      </c>
      <c r="C118" s="15" t="s">
        <v>229</v>
      </c>
      <c r="D118" s="16" t="s">
        <v>230</v>
      </c>
      <c r="E118" s="16"/>
      <c r="F118" s="15" t="s">
        <v>239</v>
      </c>
      <c r="G118" s="15"/>
      <c r="H118" s="15" t="s">
        <v>197</v>
      </c>
      <c r="I118" s="17" t="n">
        <v>11.5</v>
      </c>
      <c r="J118" s="16"/>
      <c r="K118" s="15" t="s">
        <v>204</v>
      </c>
      <c r="L118" s="15" t="n">
        <f aca="false">IF(AND(OR(Search!$C$4="",Search!$C$4="All",B118=Search!$C$4),OR(Search!$C$5="",Search!$C$5="All",C118=Search!$C$5),OR(Search!$C$6="",Search!$C$6="All",D118=Search!$C$6),OR(Search!$C$7="",ISNUMBER(SEARCH(Search!$C$7,D118&amp;" "&amp;E118&amp;" "&amp;F118&amp;" "&amp;G118&amp;" "&amp;H118&amp;" "&amp;J118))),OR(Search!$C$8="",ISNUMBER(SEARCH(Search!$C$8,G118)))),1,0)</f>
        <v>1</v>
      </c>
      <c r="M118" s="15" t="n">
        <f aca="false">M117+L118</f>
        <v>117</v>
      </c>
    </row>
    <row r="119" customFormat="false" ht="15" hidden="false" customHeight="false" outlineLevel="0" collapsed="false">
      <c r="A119" s="14" t="n">
        <v>118</v>
      </c>
      <c r="B119" s="15" t="s">
        <v>199</v>
      </c>
      <c r="C119" s="15" t="s">
        <v>229</v>
      </c>
      <c r="D119" s="16" t="s">
        <v>230</v>
      </c>
      <c r="E119" s="16"/>
      <c r="F119" s="15" t="s">
        <v>240</v>
      </c>
      <c r="G119" s="15"/>
      <c r="H119" s="15" t="s">
        <v>197</v>
      </c>
      <c r="I119" s="17" t="n">
        <v>14</v>
      </c>
      <c r="J119" s="16"/>
      <c r="K119" s="15" t="s">
        <v>204</v>
      </c>
      <c r="L119" s="15" t="n">
        <f aca="false">IF(AND(OR(Search!$C$4="",Search!$C$4="All",B119=Search!$C$4),OR(Search!$C$5="",Search!$C$5="All",C119=Search!$C$5),OR(Search!$C$6="",Search!$C$6="All",D119=Search!$C$6),OR(Search!$C$7="",ISNUMBER(SEARCH(Search!$C$7,D119&amp;" "&amp;E119&amp;" "&amp;F119&amp;" "&amp;G119&amp;" "&amp;H119&amp;" "&amp;J119))),OR(Search!$C$8="",ISNUMBER(SEARCH(Search!$C$8,G119)))),1,0)</f>
        <v>1</v>
      </c>
      <c r="M119" s="15" t="n">
        <f aca="false">M118+L119</f>
        <v>118</v>
      </c>
    </row>
    <row r="120" customFormat="false" ht="15" hidden="false" customHeight="false" outlineLevel="0" collapsed="false">
      <c r="A120" s="14" t="n">
        <v>119</v>
      </c>
      <c r="B120" s="15" t="s">
        <v>199</v>
      </c>
      <c r="C120" s="15" t="s">
        <v>229</v>
      </c>
      <c r="D120" s="16" t="s">
        <v>230</v>
      </c>
      <c r="E120" s="16"/>
      <c r="F120" s="15" t="s">
        <v>241</v>
      </c>
      <c r="G120" s="15"/>
      <c r="H120" s="15" t="s">
        <v>197</v>
      </c>
      <c r="I120" s="17" t="n">
        <v>17.5</v>
      </c>
      <c r="J120" s="16"/>
      <c r="K120" s="15" t="s">
        <v>204</v>
      </c>
      <c r="L120" s="15" t="n">
        <f aca="false">IF(AND(OR(Search!$C$4="",Search!$C$4="All",B120=Search!$C$4),OR(Search!$C$5="",Search!$C$5="All",C120=Search!$C$5),OR(Search!$C$6="",Search!$C$6="All",D120=Search!$C$6),OR(Search!$C$7="",ISNUMBER(SEARCH(Search!$C$7,D120&amp;" "&amp;E120&amp;" "&amp;F120&amp;" "&amp;G120&amp;" "&amp;H120&amp;" "&amp;J120))),OR(Search!$C$8="",ISNUMBER(SEARCH(Search!$C$8,G120)))),1,0)</f>
        <v>1</v>
      </c>
      <c r="M120" s="15" t="n">
        <f aca="false">M119+L120</f>
        <v>119</v>
      </c>
    </row>
    <row r="121" customFormat="false" ht="15" hidden="false" customHeight="false" outlineLevel="0" collapsed="false">
      <c r="A121" s="14" t="n">
        <v>120</v>
      </c>
      <c r="B121" s="15" t="s">
        <v>199</v>
      </c>
      <c r="C121" s="15" t="s">
        <v>242</v>
      </c>
      <c r="D121" s="16" t="s">
        <v>243</v>
      </c>
      <c r="E121" s="16"/>
      <c r="F121" s="15"/>
      <c r="G121" s="15"/>
      <c r="H121" s="15" t="s">
        <v>197</v>
      </c>
      <c r="I121" s="17" t="n">
        <v>32.5</v>
      </c>
      <c r="J121" s="16"/>
      <c r="K121" s="15" t="s">
        <v>204</v>
      </c>
      <c r="L121" s="15" t="n">
        <f aca="false">IF(AND(OR(Search!$C$4="",Search!$C$4="All",B121=Search!$C$4),OR(Search!$C$5="",Search!$C$5="All",C121=Search!$C$5),OR(Search!$C$6="",Search!$C$6="All",D121=Search!$C$6),OR(Search!$C$7="",ISNUMBER(SEARCH(Search!$C$7,D121&amp;" "&amp;E121&amp;" "&amp;F121&amp;" "&amp;G121&amp;" "&amp;H121&amp;" "&amp;J121))),OR(Search!$C$8="",ISNUMBER(SEARCH(Search!$C$8,G121)))),1,0)</f>
        <v>1</v>
      </c>
      <c r="M121" s="15" t="n">
        <f aca="false">M120+L121</f>
        <v>120</v>
      </c>
    </row>
    <row r="122" customFormat="false" ht="15" hidden="false" customHeight="false" outlineLevel="0" collapsed="false">
      <c r="A122" s="14" t="n">
        <v>121</v>
      </c>
      <c r="B122" s="15" t="s">
        <v>199</v>
      </c>
      <c r="C122" s="15" t="s">
        <v>166</v>
      </c>
      <c r="D122" s="16" t="s">
        <v>244</v>
      </c>
      <c r="E122" s="16"/>
      <c r="F122" s="15" t="s">
        <v>245</v>
      </c>
      <c r="G122" s="15"/>
      <c r="H122" s="15" t="s">
        <v>197</v>
      </c>
      <c r="I122" s="17" t="n">
        <v>31</v>
      </c>
      <c r="J122" s="16"/>
      <c r="K122" s="15" t="s">
        <v>204</v>
      </c>
      <c r="L122" s="15" t="n">
        <f aca="false">IF(AND(OR(Search!$C$4="",Search!$C$4="All",B122=Search!$C$4),OR(Search!$C$5="",Search!$C$5="All",C122=Search!$C$5),OR(Search!$C$6="",Search!$C$6="All",D122=Search!$C$6),OR(Search!$C$7="",ISNUMBER(SEARCH(Search!$C$7,D122&amp;" "&amp;E122&amp;" "&amp;F122&amp;" "&amp;G122&amp;" "&amp;H122&amp;" "&amp;J122))),OR(Search!$C$8="",ISNUMBER(SEARCH(Search!$C$8,G122)))),1,0)</f>
        <v>1</v>
      </c>
      <c r="M122" s="15" t="n">
        <f aca="false">M121+L122</f>
        <v>121</v>
      </c>
    </row>
    <row r="123" customFormat="false" ht="15" hidden="false" customHeight="false" outlineLevel="0" collapsed="false">
      <c r="A123" s="14" t="n">
        <v>122</v>
      </c>
      <c r="B123" s="15" t="s">
        <v>199</v>
      </c>
      <c r="C123" s="15" t="s">
        <v>166</v>
      </c>
      <c r="D123" s="16" t="s">
        <v>244</v>
      </c>
      <c r="E123" s="16"/>
      <c r="F123" s="15" t="s">
        <v>246</v>
      </c>
      <c r="G123" s="15"/>
      <c r="H123" s="15" t="s">
        <v>197</v>
      </c>
      <c r="I123" s="17" t="n">
        <v>29</v>
      </c>
      <c r="J123" s="16"/>
      <c r="K123" s="15" t="s">
        <v>204</v>
      </c>
      <c r="L123" s="15" t="n">
        <f aca="false">IF(AND(OR(Search!$C$4="",Search!$C$4="All",B123=Search!$C$4),OR(Search!$C$5="",Search!$C$5="All",C123=Search!$C$5),OR(Search!$C$6="",Search!$C$6="All",D123=Search!$C$6),OR(Search!$C$7="",ISNUMBER(SEARCH(Search!$C$7,D123&amp;" "&amp;E123&amp;" "&amp;F123&amp;" "&amp;G123&amp;" "&amp;H123&amp;" "&amp;J123))),OR(Search!$C$8="",ISNUMBER(SEARCH(Search!$C$8,G123)))),1,0)</f>
        <v>1</v>
      </c>
      <c r="M123" s="15" t="n">
        <f aca="false">M122+L123</f>
        <v>122</v>
      </c>
    </row>
    <row r="124" customFormat="false" ht="15" hidden="false" customHeight="false" outlineLevel="0" collapsed="false">
      <c r="A124" s="14" t="n">
        <v>123</v>
      </c>
      <c r="B124" s="15" t="s">
        <v>199</v>
      </c>
      <c r="C124" s="15" t="s">
        <v>166</v>
      </c>
      <c r="D124" s="16" t="s">
        <v>244</v>
      </c>
      <c r="E124" s="16"/>
      <c r="F124" s="15" t="s">
        <v>247</v>
      </c>
      <c r="G124" s="15"/>
      <c r="H124" s="15" t="s">
        <v>197</v>
      </c>
      <c r="I124" s="17" t="n">
        <v>29</v>
      </c>
      <c r="J124" s="16"/>
      <c r="K124" s="15" t="s">
        <v>204</v>
      </c>
      <c r="L124" s="15" t="n">
        <f aca="false">IF(AND(OR(Search!$C$4="",Search!$C$4="All",B124=Search!$C$4),OR(Search!$C$5="",Search!$C$5="All",C124=Search!$C$5),OR(Search!$C$6="",Search!$C$6="All",D124=Search!$C$6),OR(Search!$C$7="",ISNUMBER(SEARCH(Search!$C$7,D124&amp;" "&amp;E124&amp;" "&amp;F124&amp;" "&amp;G124&amp;" "&amp;H124&amp;" "&amp;J124))),OR(Search!$C$8="",ISNUMBER(SEARCH(Search!$C$8,G124)))),1,0)</f>
        <v>1</v>
      </c>
      <c r="M124" s="15" t="n">
        <f aca="false">M123+L124</f>
        <v>123</v>
      </c>
    </row>
    <row r="125" customFormat="false" ht="15" hidden="false" customHeight="false" outlineLevel="0" collapsed="false">
      <c r="A125" s="14" t="n">
        <v>124</v>
      </c>
      <c r="B125" s="15" t="s">
        <v>199</v>
      </c>
      <c r="C125" s="15" t="s">
        <v>166</v>
      </c>
      <c r="D125" s="16" t="s">
        <v>244</v>
      </c>
      <c r="E125" s="16"/>
      <c r="F125" s="15" t="s">
        <v>248</v>
      </c>
      <c r="G125" s="15"/>
      <c r="H125" s="15" t="s">
        <v>197</v>
      </c>
      <c r="I125" s="17" t="n">
        <v>29</v>
      </c>
      <c r="J125" s="16"/>
      <c r="K125" s="15" t="s">
        <v>204</v>
      </c>
      <c r="L125" s="15" t="n">
        <f aca="false">IF(AND(OR(Search!$C$4="",Search!$C$4="All",B125=Search!$C$4),OR(Search!$C$5="",Search!$C$5="All",C125=Search!$C$5),OR(Search!$C$6="",Search!$C$6="All",D125=Search!$C$6),OR(Search!$C$7="",ISNUMBER(SEARCH(Search!$C$7,D125&amp;" "&amp;E125&amp;" "&amp;F125&amp;" "&amp;G125&amp;" "&amp;H125&amp;" "&amp;J125))),OR(Search!$C$8="",ISNUMBER(SEARCH(Search!$C$8,G125)))),1,0)</f>
        <v>1</v>
      </c>
      <c r="M125" s="15" t="n">
        <f aca="false">M124+L125</f>
        <v>124</v>
      </c>
    </row>
    <row r="126" customFormat="false" ht="15" hidden="false" customHeight="false" outlineLevel="0" collapsed="false">
      <c r="A126" s="14" t="n">
        <v>125</v>
      </c>
      <c r="B126" s="15" t="s">
        <v>199</v>
      </c>
      <c r="C126" s="15" t="s">
        <v>166</v>
      </c>
      <c r="D126" s="16" t="s">
        <v>244</v>
      </c>
      <c r="E126" s="16"/>
      <c r="F126" s="15" t="s">
        <v>249</v>
      </c>
      <c r="G126" s="15"/>
      <c r="H126" s="15" t="s">
        <v>197</v>
      </c>
      <c r="I126" s="17" t="n">
        <v>29</v>
      </c>
      <c r="J126" s="16"/>
      <c r="K126" s="15" t="s">
        <v>204</v>
      </c>
      <c r="L126" s="15" t="n">
        <f aca="false">IF(AND(OR(Search!$C$4="",Search!$C$4="All",B126=Search!$C$4),OR(Search!$C$5="",Search!$C$5="All",C126=Search!$C$5),OR(Search!$C$6="",Search!$C$6="All",D126=Search!$C$6),OR(Search!$C$7="",ISNUMBER(SEARCH(Search!$C$7,D126&amp;" "&amp;E126&amp;" "&amp;F126&amp;" "&amp;G126&amp;" "&amp;H126&amp;" "&amp;J126))),OR(Search!$C$8="",ISNUMBER(SEARCH(Search!$C$8,G126)))),1,0)</f>
        <v>1</v>
      </c>
      <c r="M126" s="15" t="n">
        <f aca="false">M125+L126</f>
        <v>125</v>
      </c>
    </row>
    <row r="127" customFormat="false" ht="15" hidden="false" customHeight="false" outlineLevel="0" collapsed="false">
      <c r="A127" s="14" t="n">
        <v>126</v>
      </c>
      <c r="B127" s="15" t="s">
        <v>199</v>
      </c>
      <c r="C127" s="15" t="s">
        <v>166</v>
      </c>
      <c r="D127" s="16" t="s">
        <v>250</v>
      </c>
      <c r="E127" s="16"/>
      <c r="F127" s="15"/>
      <c r="G127" s="15"/>
      <c r="H127" s="15" t="s">
        <v>197</v>
      </c>
      <c r="I127" s="17" t="n">
        <v>42</v>
      </c>
      <c r="J127" s="16"/>
      <c r="K127" s="15" t="s">
        <v>204</v>
      </c>
      <c r="L127" s="15" t="n">
        <f aca="false">IF(AND(OR(Search!$C$4="",Search!$C$4="All",B127=Search!$C$4),OR(Search!$C$5="",Search!$C$5="All",C127=Search!$C$5),OR(Search!$C$6="",Search!$C$6="All",D127=Search!$C$6),OR(Search!$C$7="",ISNUMBER(SEARCH(Search!$C$7,D127&amp;" "&amp;E127&amp;" "&amp;F127&amp;" "&amp;G127&amp;" "&amp;H127&amp;" "&amp;J127))),OR(Search!$C$8="",ISNUMBER(SEARCH(Search!$C$8,G127)))),1,0)</f>
        <v>1</v>
      </c>
      <c r="M127" s="15" t="n">
        <f aca="false">M126+L127</f>
        <v>126</v>
      </c>
    </row>
    <row r="128" customFormat="false" ht="15" hidden="false" customHeight="false" outlineLevel="0" collapsed="false">
      <c r="A128" s="14" t="n">
        <v>127</v>
      </c>
      <c r="B128" s="15" t="s">
        <v>199</v>
      </c>
      <c r="C128" s="15" t="s">
        <v>251</v>
      </c>
      <c r="D128" s="16" t="s">
        <v>252</v>
      </c>
      <c r="E128" s="16"/>
      <c r="F128" s="15"/>
      <c r="G128" s="15"/>
      <c r="H128" s="15" t="s">
        <v>253</v>
      </c>
      <c r="I128" s="17" t="n">
        <v>2250</v>
      </c>
      <c r="J128" s="16"/>
      <c r="K128" s="15" t="s">
        <v>204</v>
      </c>
      <c r="L128" s="15" t="n">
        <f aca="false">IF(AND(OR(Search!$C$4="",Search!$C$4="All",B128=Search!$C$4),OR(Search!$C$5="",Search!$C$5="All",C128=Search!$C$5),OR(Search!$C$6="",Search!$C$6="All",D128=Search!$C$6),OR(Search!$C$7="",ISNUMBER(SEARCH(Search!$C$7,D128&amp;" "&amp;E128&amp;" "&amp;F128&amp;" "&amp;G128&amp;" "&amp;H128&amp;" "&amp;J128))),OR(Search!$C$8="",ISNUMBER(SEARCH(Search!$C$8,G128)))),1,0)</f>
        <v>1</v>
      </c>
      <c r="M128" s="15" t="n">
        <f aca="false">M127+L128</f>
        <v>127</v>
      </c>
    </row>
    <row r="129" customFormat="false" ht="15" hidden="false" customHeight="false" outlineLevel="0" collapsed="false">
      <c r="A129" s="14" t="n">
        <v>128</v>
      </c>
      <c r="B129" s="15" t="s">
        <v>199</v>
      </c>
      <c r="C129" s="15" t="s">
        <v>251</v>
      </c>
      <c r="D129" s="16" t="s">
        <v>254</v>
      </c>
      <c r="E129" s="16"/>
      <c r="F129" s="15"/>
      <c r="G129" s="15"/>
      <c r="H129" s="15" t="s">
        <v>253</v>
      </c>
      <c r="I129" s="17" t="n">
        <v>1950</v>
      </c>
      <c r="J129" s="16"/>
      <c r="K129" s="15" t="s">
        <v>204</v>
      </c>
      <c r="L129" s="15" t="n">
        <f aca="false">IF(AND(OR(Search!$C$4="",Search!$C$4="All",B129=Search!$C$4),OR(Search!$C$5="",Search!$C$5="All",C129=Search!$C$5),OR(Search!$C$6="",Search!$C$6="All",D129=Search!$C$6),OR(Search!$C$7="",ISNUMBER(SEARCH(Search!$C$7,D129&amp;" "&amp;E129&amp;" "&amp;F129&amp;" "&amp;G129&amp;" "&amp;H129&amp;" "&amp;J129))),OR(Search!$C$8="",ISNUMBER(SEARCH(Search!$C$8,G129)))),1,0)</f>
        <v>1</v>
      </c>
      <c r="M129" s="15" t="n">
        <f aca="false">M128+L129</f>
        <v>128</v>
      </c>
    </row>
    <row r="130" customFormat="false" ht="15" hidden="false" customHeight="false" outlineLevel="0" collapsed="false">
      <c r="A130" s="14" t="n">
        <v>129</v>
      </c>
      <c r="B130" s="15" t="s">
        <v>199</v>
      </c>
      <c r="C130" s="15" t="s">
        <v>251</v>
      </c>
      <c r="D130" s="16" t="s">
        <v>255</v>
      </c>
      <c r="E130" s="16"/>
      <c r="F130" s="15"/>
      <c r="G130" s="15"/>
      <c r="H130" s="15" t="s">
        <v>161</v>
      </c>
      <c r="I130" s="17" t="n">
        <v>400</v>
      </c>
      <c r="J130" s="16"/>
      <c r="K130" s="15" t="s">
        <v>204</v>
      </c>
      <c r="L130" s="15" t="n">
        <f aca="false">IF(AND(OR(Search!$C$4="",Search!$C$4="All",B130=Search!$C$4),OR(Search!$C$5="",Search!$C$5="All",C130=Search!$C$5),OR(Search!$C$6="",Search!$C$6="All",D130=Search!$C$6),OR(Search!$C$7="",ISNUMBER(SEARCH(Search!$C$7,D130&amp;" "&amp;E130&amp;" "&amp;F130&amp;" "&amp;G130&amp;" "&amp;H130&amp;" "&amp;J130))),OR(Search!$C$8="",ISNUMBER(SEARCH(Search!$C$8,G130)))),1,0)</f>
        <v>1</v>
      </c>
      <c r="M130" s="15" t="n">
        <f aca="false">M129+L130</f>
        <v>129</v>
      </c>
    </row>
    <row r="131" customFormat="false" ht="15" hidden="false" customHeight="false" outlineLevel="0" collapsed="false">
      <c r="A131" s="14" t="n">
        <v>130</v>
      </c>
      <c r="B131" s="15" t="s">
        <v>199</v>
      </c>
      <c r="C131" s="15" t="s">
        <v>251</v>
      </c>
      <c r="D131" s="16" t="s">
        <v>256</v>
      </c>
      <c r="E131" s="16"/>
      <c r="F131" s="15"/>
      <c r="G131" s="15"/>
      <c r="H131" s="15" t="s">
        <v>203</v>
      </c>
      <c r="I131" s="17" t="n">
        <v>14.5</v>
      </c>
      <c r="J131" s="16"/>
      <c r="K131" s="15" t="s">
        <v>204</v>
      </c>
      <c r="L131" s="15" t="n">
        <f aca="false">IF(AND(OR(Search!$C$4="",Search!$C$4="All",B131=Search!$C$4),OR(Search!$C$5="",Search!$C$5="All",C131=Search!$C$5),OR(Search!$C$6="",Search!$C$6="All",D131=Search!$C$6),OR(Search!$C$7="",ISNUMBER(SEARCH(Search!$C$7,D131&amp;" "&amp;E131&amp;" "&amp;F131&amp;" "&amp;G131&amp;" "&amp;H131&amp;" "&amp;J131))),OR(Search!$C$8="",ISNUMBER(SEARCH(Search!$C$8,G131)))),1,0)</f>
        <v>1</v>
      </c>
      <c r="M131" s="15" t="n">
        <f aca="false">M130+L131</f>
        <v>130</v>
      </c>
    </row>
    <row r="132" customFormat="false" ht="15" hidden="false" customHeight="false" outlineLevel="0" collapsed="false">
      <c r="A132" s="14" t="n">
        <v>131</v>
      </c>
      <c r="B132" s="15" t="s">
        <v>199</v>
      </c>
      <c r="C132" s="15" t="s">
        <v>251</v>
      </c>
      <c r="D132" s="16" t="s">
        <v>257</v>
      </c>
      <c r="E132" s="16"/>
      <c r="F132" s="15"/>
      <c r="G132" s="15"/>
      <c r="H132" s="15" t="s">
        <v>161</v>
      </c>
      <c r="I132" s="17" t="n">
        <v>800</v>
      </c>
      <c r="J132" s="16"/>
      <c r="K132" s="15" t="s">
        <v>204</v>
      </c>
      <c r="L132" s="15" t="n">
        <f aca="false">IF(AND(OR(Search!$C$4="",Search!$C$4="All",B132=Search!$C$4),OR(Search!$C$5="",Search!$C$5="All",C132=Search!$C$5),OR(Search!$C$6="",Search!$C$6="All",D132=Search!$C$6),OR(Search!$C$7="",ISNUMBER(SEARCH(Search!$C$7,D132&amp;" "&amp;E132&amp;" "&amp;F132&amp;" "&amp;G132&amp;" "&amp;H132&amp;" "&amp;J132))),OR(Search!$C$8="",ISNUMBER(SEARCH(Search!$C$8,G132)))),1,0)</f>
        <v>1</v>
      </c>
      <c r="M132" s="15" t="n">
        <f aca="false">M131+L132</f>
        <v>131</v>
      </c>
    </row>
    <row r="133" customFormat="false" ht="15" hidden="false" customHeight="false" outlineLevel="0" collapsed="false">
      <c r="A133" s="14" t="n">
        <v>132</v>
      </c>
      <c r="B133" s="15" t="s">
        <v>199</v>
      </c>
      <c r="C133" s="15" t="s">
        <v>258</v>
      </c>
      <c r="D133" s="16" t="s">
        <v>259</v>
      </c>
      <c r="E133" s="16"/>
      <c r="F133" s="15"/>
      <c r="G133" s="15"/>
      <c r="H133" s="15" t="s">
        <v>197</v>
      </c>
      <c r="I133" s="17" t="n">
        <v>24</v>
      </c>
      <c r="J133" s="16" t="s">
        <v>260</v>
      </c>
      <c r="K133" s="15" t="s">
        <v>204</v>
      </c>
      <c r="L133" s="15" t="n">
        <f aca="false">IF(AND(OR(Search!$C$4="",Search!$C$4="All",B133=Search!$C$4),OR(Search!$C$5="",Search!$C$5="All",C133=Search!$C$5),OR(Search!$C$6="",Search!$C$6="All",D133=Search!$C$6),OR(Search!$C$7="",ISNUMBER(SEARCH(Search!$C$7,D133&amp;" "&amp;E133&amp;" "&amp;F133&amp;" "&amp;G133&amp;" "&amp;H133&amp;" "&amp;J133))),OR(Search!$C$8="",ISNUMBER(SEARCH(Search!$C$8,G133)))),1,0)</f>
        <v>1</v>
      </c>
      <c r="M133" s="15" t="n">
        <f aca="false">M132+L133</f>
        <v>132</v>
      </c>
    </row>
    <row r="134" customFormat="false" ht="15" hidden="false" customHeight="false" outlineLevel="0" collapsed="false">
      <c r="A134" s="14" t="n">
        <v>133</v>
      </c>
      <c r="B134" s="15" t="s">
        <v>199</v>
      </c>
      <c r="C134" s="15" t="s">
        <v>258</v>
      </c>
      <c r="D134" s="16" t="s">
        <v>261</v>
      </c>
      <c r="E134" s="16"/>
      <c r="F134" s="15"/>
      <c r="G134" s="15"/>
      <c r="H134" s="15" t="s">
        <v>197</v>
      </c>
      <c r="I134" s="17" t="n">
        <v>24.5</v>
      </c>
      <c r="J134" s="16" t="s">
        <v>262</v>
      </c>
      <c r="K134" s="15" t="s">
        <v>204</v>
      </c>
      <c r="L134" s="15" t="n">
        <f aca="false">IF(AND(OR(Search!$C$4="",Search!$C$4="All",B134=Search!$C$4),OR(Search!$C$5="",Search!$C$5="All",C134=Search!$C$5),OR(Search!$C$6="",Search!$C$6="All",D134=Search!$C$6),OR(Search!$C$7="",ISNUMBER(SEARCH(Search!$C$7,D134&amp;" "&amp;E134&amp;" "&amp;F134&amp;" "&amp;G134&amp;" "&amp;H134&amp;" "&amp;J134))),OR(Search!$C$8="",ISNUMBER(SEARCH(Search!$C$8,G134)))),1,0)</f>
        <v>1</v>
      </c>
      <c r="M134" s="15" t="n">
        <f aca="false">M133+L134</f>
        <v>133</v>
      </c>
    </row>
    <row r="135" customFormat="false" ht="15" hidden="false" customHeight="false" outlineLevel="0" collapsed="false">
      <c r="A135" s="14" t="n">
        <v>134</v>
      </c>
      <c r="B135" s="15" t="s">
        <v>199</v>
      </c>
      <c r="C135" s="15" t="s">
        <v>258</v>
      </c>
      <c r="D135" s="16" t="s">
        <v>263</v>
      </c>
      <c r="E135" s="16"/>
      <c r="F135" s="15"/>
      <c r="G135" s="15"/>
      <c r="H135" s="15" t="s">
        <v>197</v>
      </c>
      <c r="I135" s="17" t="n">
        <v>25.5</v>
      </c>
      <c r="J135" s="16" t="s">
        <v>262</v>
      </c>
      <c r="K135" s="15" t="s">
        <v>204</v>
      </c>
      <c r="L135" s="15" t="n">
        <f aca="false">IF(AND(OR(Search!$C$4="",Search!$C$4="All",B135=Search!$C$4),OR(Search!$C$5="",Search!$C$5="All",C135=Search!$C$5),OR(Search!$C$6="",Search!$C$6="All",D135=Search!$C$6),OR(Search!$C$7="",ISNUMBER(SEARCH(Search!$C$7,D135&amp;" "&amp;E135&amp;" "&amp;F135&amp;" "&amp;G135&amp;" "&amp;H135&amp;" "&amp;J135))),OR(Search!$C$8="",ISNUMBER(SEARCH(Search!$C$8,G135)))),1,0)</f>
        <v>1</v>
      </c>
      <c r="M135" s="15" t="n">
        <f aca="false">M134+L135</f>
        <v>134</v>
      </c>
    </row>
    <row r="136" customFormat="false" ht="15" hidden="false" customHeight="false" outlineLevel="0" collapsed="false">
      <c r="A136" s="14" t="n">
        <v>135</v>
      </c>
      <c r="B136" s="15" t="s">
        <v>199</v>
      </c>
      <c r="C136" s="15" t="s">
        <v>258</v>
      </c>
      <c r="D136" s="16" t="s">
        <v>264</v>
      </c>
      <c r="E136" s="16"/>
      <c r="F136" s="15"/>
      <c r="G136" s="15"/>
      <c r="H136" s="15" t="s">
        <v>197</v>
      </c>
      <c r="I136" s="17" t="n">
        <v>26.5</v>
      </c>
      <c r="J136" s="16" t="s">
        <v>265</v>
      </c>
      <c r="K136" s="15" t="s">
        <v>204</v>
      </c>
      <c r="L136" s="15" t="n">
        <f aca="false">IF(AND(OR(Search!$C$4="",Search!$C$4="All",B136=Search!$C$4),OR(Search!$C$5="",Search!$C$5="All",C136=Search!$C$5),OR(Search!$C$6="",Search!$C$6="All",D136=Search!$C$6),OR(Search!$C$7="",ISNUMBER(SEARCH(Search!$C$7,D136&amp;" "&amp;E136&amp;" "&amp;F136&amp;" "&amp;G136&amp;" "&amp;H136&amp;" "&amp;J136))),OR(Search!$C$8="",ISNUMBER(SEARCH(Search!$C$8,G136)))),1,0)</f>
        <v>1</v>
      </c>
      <c r="M136" s="15" t="n">
        <f aca="false">M135+L136</f>
        <v>135</v>
      </c>
    </row>
    <row r="137" customFormat="false" ht="15" hidden="false" customHeight="false" outlineLevel="0" collapsed="false">
      <c r="A137" s="14" t="n">
        <v>136</v>
      </c>
      <c r="B137" s="15" t="s">
        <v>199</v>
      </c>
      <c r="C137" s="15" t="s">
        <v>258</v>
      </c>
      <c r="D137" s="16" t="s">
        <v>266</v>
      </c>
      <c r="E137" s="16"/>
      <c r="F137" s="15"/>
      <c r="G137" s="15"/>
      <c r="H137" s="15" t="s">
        <v>197</v>
      </c>
      <c r="I137" s="17" t="n">
        <v>28</v>
      </c>
      <c r="J137" s="16" t="s">
        <v>265</v>
      </c>
      <c r="K137" s="15" t="s">
        <v>204</v>
      </c>
      <c r="L137" s="15" t="n">
        <f aca="false">IF(AND(OR(Search!$C$4="",Search!$C$4="All",B137=Search!$C$4),OR(Search!$C$5="",Search!$C$5="All",C137=Search!$C$5),OR(Search!$C$6="",Search!$C$6="All",D137=Search!$C$6),OR(Search!$C$7="",ISNUMBER(SEARCH(Search!$C$7,D137&amp;" "&amp;E137&amp;" "&amp;F137&amp;" "&amp;G137&amp;" "&amp;H137&amp;" "&amp;J137))),OR(Search!$C$8="",ISNUMBER(SEARCH(Search!$C$8,G137)))),1,0)</f>
        <v>1</v>
      </c>
      <c r="M137" s="15" t="n">
        <f aca="false">M136+L137</f>
        <v>136</v>
      </c>
    </row>
    <row r="138" customFormat="false" ht="15" hidden="false" customHeight="false" outlineLevel="0" collapsed="false">
      <c r="A138" s="14" t="n">
        <v>137</v>
      </c>
      <c r="B138" s="15" t="s">
        <v>199</v>
      </c>
      <c r="C138" s="15" t="s">
        <v>258</v>
      </c>
      <c r="D138" s="16" t="s">
        <v>267</v>
      </c>
      <c r="E138" s="16"/>
      <c r="F138" s="15"/>
      <c r="G138" s="15"/>
      <c r="H138" s="15" t="s">
        <v>197</v>
      </c>
      <c r="I138" s="17" t="n">
        <v>29</v>
      </c>
      <c r="J138" s="16" t="s">
        <v>265</v>
      </c>
      <c r="K138" s="15" t="s">
        <v>204</v>
      </c>
      <c r="L138" s="15" t="n">
        <f aca="false">IF(AND(OR(Search!$C$4="",Search!$C$4="All",B138=Search!$C$4),OR(Search!$C$5="",Search!$C$5="All",C138=Search!$C$5),OR(Search!$C$6="",Search!$C$6="All",D138=Search!$C$6),OR(Search!$C$7="",ISNUMBER(SEARCH(Search!$C$7,D138&amp;" "&amp;E138&amp;" "&amp;F138&amp;" "&amp;G138&amp;" "&amp;H138&amp;" "&amp;J138))),OR(Search!$C$8="",ISNUMBER(SEARCH(Search!$C$8,G138)))),1,0)</f>
        <v>1</v>
      </c>
      <c r="M138" s="15" t="n">
        <f aca="false">M137+L138</f>
        <v>137</v>
      </c>
    </row>
    <row r="139" customFormat="false" ht="15" hidden="false" customHeight="false" outlineLevel="0" collapsed="false">
      <c r="A139" s="14" t="n">
        <v>138</v>
      </c>
      <c r="B139" s="15" t="s">
        <v>199</v>
      </c>
      <c r="C139" s="15" t="s">
        <v>258</v>
      </c>
      <c r="D139" s="16" t="s">
        <v>268</v>
      </c>
      <c r="E139" s="16"/>
      <c r="F139" s="15"/>
      <c r="G139" s="15"/>
      <c r="H139" s="15" t="s">
        <v>197</v>
      </c>
      <c r="I139" s="17" t="n">
        <v>29</v>
      </c>
      <c r="J139" s="16" t="s">
        <v>265</v>
      </c>
      <c r="K139" s="15" t="s">
        <v>204</v>
      </c>
      <c r="L139" s="15" t="n">
        <f aca="false">IF(AND(OR(Search!$C$4="",Search!$C$4="All",B139=Search!$C$4),OR(Search!$C$5="",Search!$C$5="All",C139=Search!$C$5),OR(Search!$C$6="",Search!$C$6="All",D139=Search!$C$6),OR(Search!$C$7="",ISNUMBER(SEARCH(Search!$C$7,D139&amp;" "&amp;E139&amp;" "&amp;F139&amp;" "&amp;G139&amp;" "&amp;H139&amp;" "&amp;J139))),OR(Search!$C$8="",ISNUMBER(SEARCH(Search!$C$8,G139)))),1,0)</f>
        <v>1</v>
      </c>
      <c r="M139" s="15" t="n">
        <f aca="false">M138+L139</f>
        <v>138</v>
      </c>
    </row>
    <row r="140" customFormat="false" ht="15" hidden="false" customHeight="false" outlineLevel="0" collapsed="false">
      <c r="A140" s="14" t="n">
        <v>139</v>
      </c>
      <c r="B140" s="15" t="s">
        <v>199</v>
      </c>
      <c r="C140" s="15" t="s">
        <v>258</v>
      </c>
      <c r="D140" s="16" t="s">
        <v>269</v>
      </c>
      <c r="E140" s="16"/>
      <c r="F140" s="15"/>
      <c r="G140" s="15"/>
      <c r="H140" s="15" t="s">
        <v>197</v>
      </c>
      <c r="I140" s="17" t="n">
        <v>40</v>
      </c>
      <c r="J140" s="16"/>
      <c r="K140" s="15" t="s">
        <v>204</v>
      </c>
      <c r="L140" s="15" t="n">
        <f aca="false">IF(AND(OR(Search!$C$4="",Search!$C$4="All",B140=Search!$C$4),OR(Search!$C$5="",Search!$C$5="All",C140=Search!$C$5),OR(Search!$C$6="",Search!$C$6="All",D140=Search!$C$6),OR(Search!$C$7="",ISNUMBER(SEARCH(Search!$C$7,D140&amp;" "&amp;E140&amp;" "&amp;F140&amp;" "&amp;G140&amp;" "&amp;H140&amp;" "&amp;J140))),OR(Search!$C$8="",ISNUMBER(SEARCH(Search!$C$8,G140)))),1,0)</f>
        <v>1</v>
      </c>
      <c r="M140" s="15" t="n">
        <f aca="false">M139+L140</f>
        <v>139</v>
      </c>
    </row>
    <row r="141" customFormat="false" ht="15" hidden="false" customHeight="false" outlineLevel="0" collapsed="false">
      <c r="A141" s="14" t="n">
        <v>140</v>
      </c>
      <c r="B141" s="15" t="s">
        <v>199</v>
      </c>
      <c r="C141" s="15" t="s">
        <v>258</v>
      </c>
      <c r="D141" s="16" t="s">
        <v>270</v>
      </c>
      <c r="E141" s="16"/>
      <c r="F141" s="15"/>
      <c r="G141" s="15"/>
      <c r="H141" s="15" t="s">
        <v>197</v>
      </c>
      <c r="I141" s="17" t="n">
        <v>31</v>
      </c>
      <c r="J141" s="16" t="s">
        <v>271</v>
      </c>
      <c r="K141" s="15" t="s">
        <v>204</v>
      </c>
      <c r="L141" s="15" t="n">
        <f aca="false">IF(AND(OR(Search!$C$4="",Search!$C$4="All",B141=Search!$C$4),OR(Search!$C$5="",Search!$C$5="All",C141=Search!$C$5),OR(Search!$C$6="",Search!$C$6="All",D141=Search!$C$6),OR(Search!$C$7="",ISNUMBER(SEARCH(Search!$C$7,D141&amp;" "&amp;E141&amp;" "&amp;F141&amp;" "&amp;G141&amp;" "&amp;H141&amp;" "&amp;J141))),OR(Search!$C$8="",ISNUMBER(SEARCH(Search!$C$8,G141)))),1,0)</f>
        <v>1</v>
      </c>
      <c r="M141" s="15" t="n">
        <f aca="false">M140+L141</f>
        <v>140</v>
      </c>
    </row>
    <row r="142" customFormat="false" ht="15" hidden="false" customHeight="false" outlineLevel="0" collapsed="false">
      <c r="A142" s="14" t="n">
        <v>141</v>
      </c>
      <c r="B142" s="15" t="s">
        <v>199</v>
      </c>
      <c r="C142" s="15" t="s">
        <v>258</v>
      </c>
      <c r="D142" s="16" t="s">
        <v>272</v>
      </c>
      <c r="E142" s="16"/>
      <c r="F142" s="15"/>
      <c r="G142" s="15"/>
      <c r="H142" s="15" t="s">
        <v>197</v>
      </c>
      <c r="I142" s="17" t="n">
        <v>32</v>
      </c>
      <c r="J142" s="16" t="s">
        <v>273</v>
      </c>
      <c r="K142" s="15" t="s">
        <v>204</v>
      </c>
      <c r="L142" s="15" t="n">
        <f aca="false">IF(AND(OR(Search!$C$4="",Search!$C$4="All",B142=Search!$C$4),OR(Search!$C$5="",Search!$C$5="All",C142=Search!$C$5),OR(Search!$C$6="",Search!$C$6="All",D142=Search!$C$6),OR(Search!$C$7="",ISNUMBER(SEARCH(Search!$C$7,D142&amp;" "&amp;E142&amp;" "&amp;F142&amp;" "&amp;G142&amp;" "&amp;H142&amp;" "&amp;J142))),OR(Search!$C$8="",ISNUMBER(SEARCH(Search!$C$8,G142)))),1,0)</f>
        <v>1</v>
      </c>
      <c r="M142" s="15" t="n">
        <f aca="false">M141+L142</f>
        <v>141</v>
      </c>
    </row>
    <row r="143" customFormat="false" ht="15" hidden="false" customHeight="false" outlineLevel="0" collapsed="false">
      <c r="A143" s="14" t="n">
        <v>142</v>
      </c>
      <c r="B143" s="15" t="s">
        <v>199</v>
      </c>
      <c r="C143" s="15" t="s">
        <v>258</v>
      </c>
      <c r="D143" s="16" t="s">
        <v>274</v>
      </c>
      <c r="E143" s="16"/>
      <c r="F143" s="15"/>
      <c r="G143" s="15"/>
      <c r="H143" s="15" t="s">
        <v>197</v>
      </c>
      <c r="I143" s="17" t="n">
        <v>34</v>
      </c>
      <c r="J143" s="16" t="s">
        <v>275</v>
      </c>
      <c r="K143" s="15" t="s">
        <v>204</v>
      </c>
      <c r="L143" s="15" t="n">
        <f aca="false">IF(AND(OR(Search!$C$4="",Search!$C$4="All",B143=Search!$C$4),OR(Search!$C$5="",Search!$C$5="All",C143=Search!$C$5),OR(Search!$C$6="",Search!$C$6="All",D143=Search!$C$6),OR(Search!$C$7="",ISNUMBER(SEARCH(Search!$C$7,D143&amp;" "&amp;E143&amp;" "&amp;F143&amp;" "&amp;G143&amp;" "&amp;H143&amp;" "&amp;J143))),OR(Search!$C$8="",ISNUMBER(SEARCH(Search!$C$8,G143)))),1,0)</f>
        <v>1</v>
      </c>
      <c r="M143" s="15" t="n">
        <f aca="false">M142+L143</f>
        <v>142</v>
      </c>
    </row>
    <row r="144" customFormat="false" ht="15" hidden="false" customHeight="false" outlineLevel="0" collapsed="false">
      <c r="A144" s="14" t="n">
        <v>143</v>
      </c>
      <c r="B144" s="15" t="s">
        <v>199</v>
      </c>
      <c r="C144" s="15" t="s">
        <v>158</v>
      </c>
      <c r="D144" s="16" t="s">
        <v>158</v>
      </c>
      <c r="E144" s="16"/>
      <c r="F144" s="15" t="s">
        <v>276</v>
      </c>
      <c r="G144" s="15" t="s">
        <v>160</v>
      </c>
      <c r="H144" s="15" t="s">
        <v>161</v>
      </c>
      <c r="I144" s="17" t="n">
        <v>750</v>
      </c>
      <c r="J144" s="16" t="s">
        <v>277</v>
      </c>
      <c r="K144" s="15" t="s">
        <v>204</v>
      </c>
      <c r="L144" s="15" t="n">
        <f aca="false">IF(AND(OR(Search!$C$4="",Search!$C$4="All",B144=Search!$C$4),OR(Search!$C$5="",Search!$C$5="All",C144=Search!$C$5),OR(Search!$C$6="",Search!$C$6="All",D144=Search!$C$6),OR(Search!$C$7="",ISNUMBER(SEARCH(Search!$C$7,D144&amp;" "&amp;E144&amp;" "&amp;F144&amp;" "&amp;G144&amp;" "&amp;H144&amp;" "&amp;J144))),OR(Search!$C$8="",ISNUMBER(SEARCH(Search!$C$8,G144)))),1,0)</f>
        <v>1</v>
      </c>
      <c r="M144" s="15" t="n">
        <f aca="false">M143+L144</f>
        <v>143</v>
      </c>
    </row>
    <row r="145" customFormat="false" ht="15" hidden="false" customHeight="false" outlineLevel="0" collapsed="false">
      <c r="A145" s="14" t="n">
        <v>144</v>
      </c>
      <c r="B145" s="15" t="s">
        <v>199</v>
      </c>
      <c r="C145" s="15" t="s">
        <v>158</v>
      </c>
      <c r="D145" s="16" t="s">
        <v>158</v>
      </c>
      <c r="E145" s="16"/>
      <c r="F145" s="15" t="s">
        <v>278</v>
      </c>
      <c r="G145" s="15" t="s">
        <v>160</v>
      </c>
      <c r="H145" s="15" t="s">
        <v>161</v>
      </c>
      <c r="I145" s="17" t="n">
        <v>780</v>
      </c>
      <c r="J145" s="16" t="s">
        <v>277</v>
      </c>
      <c r="K145" s="15" t="s">
        <v>204</v>
      </c>
      <c r="L145" s="15" t="n">
        <f aca="false">IF(AND(OR(Search!$C$4="",Search!$C$4="All",B145=Search!$C$4),OR(Search!$C$5="",Search!$C$5="All",C145=Search!$C$5),OR(Search!$C$6="",Search!$C$6="All",D145=Search!$C$6),OR(Search!$C$7="",ISNUMBER(SEARCH(Search!$C$7,D145&amp;" "&amp;E145&amp;" "&amp;F145&amp;" "&amp;G145&amp;" "&amp;H145&amp;" "&amp;J145))),OR(Search!$C$8="",ISNUMBER(SEARCH(Search!$C$8,G145)))),1,0)</f>
        <v>1</v>
      </c>
      <c r="M145" s="15" t="n">
        <f aca="false">M144+L145</f>
        <v>144</v>
      </c>
    </row>
    <row r="146" customFormat="false" ht="15" hidden="false" customHeight="false" outlineLevel="0" collapsed="false">
      <c r="A146" s="14" t="n">
        <v>145</v>
      </c>
      <c r="B146" s="15" t="s">
        <v>199</v>
      </c>
      <c r="C146" s="15" t="s">
        <v>158</v>
      </c>
      <c r="D146" s="16" t="s">
        <v>158</v>
      </c>
      <c r="E146" s="16"/>
      <c r="F146" s="15" t="s">
        <v>279</v>
      </c>
      <c r="G146" s="15" t="s">
        <v>160</v>
      </c>
      <c r="H146" s="15" t="s">
        <v>161</v>
      </c>
      <c r="I146" s="17" t="n">
        <v>850</v>
      </c>
      <c r="J146" s="16" t="s">
        <v>277</v>
      </c>
      <c r="K146" s="15" t="s">
        <v>204</v>
      </c>
      <c r="L146" s="15" t="n">
        <f aca="false">IF(AND(OR(Search!$C$4="",Search!$C$4="All",B146=Search!$C$4),OR(Search!$C$5="",Search!$C$5="All",C146=Search!$C$5),OR(Search!$C$6="",Search!$C$6="All",D146=Search!$C$6),OR(Search!$C$7="",ISNUMBER(SEARCH(Search!$C$7,D146&amp;" "&amp;E146&amp;" "&amp;F146&amp;" "&amp;G146&amp;" "&amp;H146&amp;" "&amp;J146))),OR(Search!$C$8="",ISNUMBER(SEARCH(Search!$C$8,G146)))),1,0)</f>
        <v>1</v>
      </c>
      <c r="M146" s="15" t="n">
        <f aca="false">M145+L146</f>
        <v>145</v>
      </c>
    </row>
    <row r="147" customFormat="false" ht="15" hidden="false" customHeight="false" outlineLevel="0" collapsed="false">
      <c r="A147" s="14" t="n">
        <v>146</v>
      </c>
      <c r="B147" s="15" t="s">
        <v>199</v>
      </c>
      <c r="C147" s="15" t="s">
        <v>158</v>
      </c>
      <c r="D147" s="16" t="s">
        <v>158</v>
      </c>
      <c r="E147" s="16"/>
      <c r="F147" s="15" t="s">
        <v>280</v>
      </c>
      <c r="G147" s="15" t="s">
        <v>160</v>
      </c>
      <c r="H147" s="15" t="s">
        <v>161</v>
      </c>
      <c r="I147" s="17" t="n">
        <v>910</v>
      </c>
      <c r="J147" s="16" t="s">
        <v>281</v>
      </c>
      <c r="K147" s="15" t="s">
        <v>204</v>
      </c>
      <c r="L147" s="15" t="n">
        <f aca="false">IF(AND(OR(Search!$C$4="",Search!$C$4="All",B147=Search!$C$4),OR(Search!$C$5="",Search!$C$5="All",C147=Search!$C$5),OR(Search!$C$6="",Search!$C$6="All",D147=Search!$C$6),OR(Search!$C$7="",ISNUMBER(SEARCH(Search!$C$7,D147&amp;" "&amp;E147&amp;" "&amp;F147&amp;" "&amp;G147&amp;" "&amp;H147&amp;" "&amp;J147))),OR(Search!$C$8="",ISNUMBER(SEARCH(Search!$C$8,G147)))),1,0)</f>
        <v>1</v>
      </c>
      <c r="M147" s="15" t="n">
        <f aca="false">M146+L147</f>
        <v>146</v>
      </c>
    </row>
    <row r="148" customFormat="false" ht="15" hidden="false" customHeight="false" outlineLevel="0" collapsed="false">
      <c r="A148" s="14" t="n">
        <v>147</v>
      </c>
      <c r="B148" s="15" t="s">
        <v>199</v>
      </c>
      <c r="C148" s="15" t="s">
        <v>282</v>
      </c>
      <c r="D148" s="16" t="s">
        <v>283</v>
      </c>
      <c r="E148" s="16"/>
      <c r="F148" s="15" t="s">
        <v>187</v>
      </c>
      <c r="G148" s="15" t="s">
        <v>284</v>
      </c>
      <c r="H148" s="15" t="s">
        <v>203</v>
      </c>
      <c r="I148" s="17" t="n">
        <v>4.5</v>
      </c>
      <c r="J148" s="16"/>
      <c r="K148" s="15" t="s">
        <v>204</v>
      </c>
      <c r="L148" s="15" t="n">
        <f aca="false">IF(AND(OR(Search!$C$4="",Search!$C$4="All",B148=Search!$C$4),OR(Search!$C$5="",Search!$C$5="All",C148=Search!$C$5),OR(Search!$C$6="",Search!$C$6="All",D148=Search!$C$6),OR(Search!$C$7="",ISNUMBER(SEARCH(Search!$C$7,D148&amp;" "&amp;E148&amp;" "&amp;F148&amp;" "&amp;G148&amp;" "&amp;H148&amp;" "&amp;J148))),OR(Search!$C$8="",ISNUMBER(SEARCH(Search!$C$8,G148)))),1,0)</f>
        <v>1</v>
      </c>
      <c r="M148" s="15" t="n">
        <f aca="false">M147+L148</f>
        <v>147</v>
      </c>
    </row>
    <row r="149" customFormat="false" ht="15" hidden="false" customHeight="false" outlineLevel="0" collapsed="false">
      <c r="A149" s="14" t="n">
        <v>148</v>
      </c>
      <c r="B149" s="15" t="s">
        <v>199</v>
      </c>
      <c r="C149" s="15" t="s">
        <v>282</v>
      </c>
      <c r="D149" s="16" t="s">
        <v>285</v>
      </c>
      <c r="E149" s="16"/>
      <c r="F149" s="15" t="s">
        <v>187</v>
      </c>
      <c r="G149" s="15" t="s">
        <v>284</v>
      </c>
      <c r="H149" s="15" t="s">
        <v>203</v>
      </c>
      <c r="I149" s="17" t="n">
        <v>3.3</v>
      </c>
      <c r="J149" s="16"/>
      <c r="K149" s="15" t="s">
        <v>204</v>
      </c>
      <c r="L149" s="15" t="n">
        <f aca="false">IF(AND(OR(Search!$C$4="",Search!$C$4="All",B149=Search!$C$4),OR(Search!$C$5="",Search!$C$5="All",C149=Search!$C$5),OR(Search!$C$6="",Search!$C$6="All",D149=Search!$C$6),OR(Search!$C$7="",ISNUMBER(SEARCH(Search!$C$7,D149&amp;" "&amp;E149&amp;" "&amp;F149&amp;" "&amp;G149&amp;" "&amp;H149&amp;" "&amp;J149))),OR(Search!$C$8="",ISNUMBER(SEARCH(Search!$C$8,G149)))),1,0)</f>
        <v>1</v>
      </c>
      <c r="M149" s="15" t="n">
        <f aca="false">M148+L149</f>
        <v>148</v>
      </c>
    </row>
    <row r="150" customFormat="false" ht="15" hidden="false" customHeight="false" outlineLevel="0" collapsed="false">
      <c r="A150" s="14" t="n">
        <v>149</v>
      </c>
      <c r="B150" s="15" t="s">
        <v>199</v>
      </c>
      <c r="C150" s="15" t="s">
        <v>282</v>
      </c>
      <c r="D150" s="16" t="s">
        <v>283</v>
      </c>
      <c r="E150" s="16"/>
      <c r="F150" s="15" t="s">
        <v>286</v>
      </c>
      <c r="G150" s="15" t="s">
        <v>284</v>
      </c>
      <c r="H150" s="15" t="s">
        <v>203</v>
      </c>
      <c r="I150" s="17" t="n">
        <v>4.7</v>
      </c>
      <c r="J150" s="16"/>
      <c r="K150" s="15" t="s">
        <v>204</v>
      </c>
      <c r="L150" s="15" t="n">
        <f aca="false">IF(AND(OR(Search!$C$4="",Search!$C$4="All",B150=Search!$C$4),OR(Search!$C$5="",Search!$C$5="All",C150=Search!$C$5),OR(Search!$C$6="",Search!$C$6="All",D150=Search!$C$6),OR(Search!$C$7="",ISNUMBER(SEARCH(Search!$C$7,D150&amp;" "&amp;E150&amp;" "&amp;F150&amp;" "&amp;G150&amp;" "&amp;H150&amp;" "&amp;J150))),OR(Search!$C$8="",ISNUMBER(SEARCH(Search!$C$8,G150)))),1,0)</f>
        <v>1</v>
      </c>
      <c r="M150" s="15" t="n">
        <f aca="false">M149+L150</f>
        <v>149</v>
      </c>
    </row>
    <row r="151" customFormat="false" ht="15" hidden="false" customHeight="false" outlineLevel="0" collapsed="false">
      <c r="A151" s="14" t="n">
        <v>150</v>
      </c>
      <c r="B151" s="15" t="s">
        <v>199</v>
      </c>
      <c r="C151" s="15" t="s">
        <v>282</v>
      </c>
      <c r="D151" s="16" t="s">
        <v>285</v>
      </c>
      <c r="E151" s="16"/>
      <c r="F151" s="15" t="s">
        <v>286</v>
      </c>
      <c r="G151" s="15" t="s">
        <v>284</v>
      </c>
      <c r="H151" s="15" t="s">
        <v>203</v>
      </c>
      <c r="I151" s="17" t="n">
        <v>3.5</v>
      </c>
      <c r="J151" s="16"/>
      <c r="K151" s="15" t="s">
        <v>204</v>
      </c>
      <c r="L151" s="15" t="n">
        <f aca="false">IF(AND(OR(Search!$C$4="",Search!$C$4="All",B151=Search!$C$4),OR(Search!$C$5="",Search!$C$5="All",C151=Search!$C$5),OR(Search!$C$6="",Search!$C$6="All",D151=Search!$C$6),OR(Search!$C$7="",ISNUMBER(SEARCH(Search!$C$7,D151&amp;" "&amp;E151&amp;" "&amp;F151&amp;" "&amp;G151&amp;" "&amp;H151&amp;" "&amp;J151))),OR(Search!$C$8="",ISNUMBER(SEARCH(Search!$C$8,G151)))),1,0)</f>
        <v>1</v>
      </c>
      <c r="M151" s="15" t="n">
        <f aca="false">M150+L151</f>
        <v>150</v>
      </c>
    </row>
    <row r="152" customFormat="false" ht="15" hidden="false" customHeight="false" outlineLevel="0" collapsed="false">
      <c r="A152" s="14" t="n">
        <v>151</v>
      </c>
      <c r="B152" s="15" t="s">
        <v>199</v>
      </c>
      <c r="C152" s="15" t="s">
        <v>282</v>
      </c>
      <c r="D152" s="16" t="s">
        <v>283</v>
      </c>
      <c r="E152" s="16"/>
      <c r="F152" s="15" t="s">
        <v>287</v>
      </c>
      <c r="G152" s="15" t="s">
        <v>284</v>
      </c>
      <c r="H152" s="15" t="s">
        <v>203</v>
      </c>
      <c r="I152" s="17" t="n">
        <v>5.5</v>
      </c>
      <c r="J152" s="16"/>
      <c r="K152" s="15" t="s">
        <v>204</v>
      </c>
      <c r="L152" s="15" t="n">
        <f aca="false">IF(AND(OR(Search!$C$4="",Search!$C$4="All",B152=Search!$C$4),OR(Search!$C$5="",Search!$C$5="All",C152=Search!$C$5),OR(Search!$C$6="",Search!$C$6="All",D152=Search!$C$6),OR(Search!$C$7="",ISNUMBER(SEARCH(Search!$C$7,D152&amp;" "&amp;E152&amp;" "&amp;F152&amp;" "&amp;G152&amp;" "&amp;H152&amp;" "&amp;J152))),OR(Search!$C$8="",ISNUMBER(SEARCH(Search!$C$8,G152)))),1,0)</f>
        <v>1</v>
      </c>
      <c r="M152" s="15" t="n">
        <f aca="false">M151+L152</f>
        <v>151</v>
      </c>
    </row>
    <row r="153" customFormat="false" ht="15" hidden="false" customHeight="false" outlineLevel="0" collapsed="false">
      <c r="A153" s="14" t="n">
        <v>152</v>
      </c>
      <c r="B153" s="15" t="s">
        <v>199</v>
      </c>
      <c r="C153" s="15" t="s">
        <v>282</v>
      </c>
      <c r="D153" s="16" t="s">
        <v>283</v>
      </c>
      <c r="E153" s="16"/>
      <c r="F153" s="15" t="s">
        <v>288</v>
      </c>
      <c r="G153" s="15" t="s">
        <v>284</v>
      </c>
      <c r="H153" s="15" t="s">
        <v>203</v>
      </c>
      <c r="I153" s="17" t="n">
        <v>6.5</v>
      </c>
      <c r="J153" s="16"/>
      <c r="K153" s="15" t="s">
        <v>204</v>
      </c>
      <c r="L153" s="15" t="n">
        <f aca="false">IF(AND(OR(Search!$C$4="",Search!$C$4="All",B153=Search!$C$4),OR(Search!$C$5="",Search!$C$5="All",C153=Search!$C$5),OR(Search!$C$6="",Search!$C$6="All",D153=Search!$C$6),OR(Search!$C$7="",ISNUMBER(SEARCH(Search!$C$7,D153&amp;" "&amp;E153&amp;" "&amp;F153&amp;" "&amp;G153&amp;" "&amp;H153&amp;" "&amp;J153))),OR(Search!$C$8="",ISNUMBER(SEARCH(Search!$C$8,G153)))),1,0)</f>
        <v>1</v>
      </c>
      <c r="M153" s="15" t="n">
        <f aca="false">M152+L153</f>
        <v>152</v>
      </c>
    </row>
    <row r="154" customFormat="false" ht="15" hidden="false" customHeight="false" outlineLevel="0" collapsed="false">
      <c r="A154" s="14" t="n">
        <v>153</v>
      </c>
      <c r="B154" s="15" t="s">
        <v>199</v>
      </c>
      <c r="C154" s="15" t="s">
        <v>282</v>
      </c>
      <c r="D154" s="16" t="s">
        <v>285</v>
      </c>
      <c r="E154" s="16"/>
      <c r="F154" s="15" t="s">
        <v>288</v>
      </c>
      <c r="G154" s="15" t="s">
        <v>284</v>
      </c>
      <c r="H154" s="15" t="s">
        <v>203</v>
      </c>
      <c r="I154" s="17" t="n">
        <v>5.5</v>
      </c>
      <c r="J154" s="16"/>
      <c r="K154" s="15" t="s">
        <v>204</v>
      </c>
      <c r="L154" s="15" t="n">
        <f aca="false">IF(AND(OR(Search!$C$4="",Search!$C$4="All",B154=Search!$C$4),OR(Search!$C$5="",Search!$C$5="All",C154=Search!$C$5),OR(Search!$C$6="",Search!$C$6="All",D154=Search!$C$6),OR(Search!$C$7="",ISNUMBER(SEARCH(Search!$C$7,D154&amp;" "&amp;E154&amp;" "&amp;F154&amp;" "&amp;G154&amp;" "&amp;H154&amp;" "&amp;J154))),OR(Search!$C$8="",ISNUMBER(SEARCH(Search!$C$8,G154)))),1,0)</f>
        <v>1</v>
      </c>
      <c r="M154" s="15" t="n">
        <f aca="false">M153+L154</f>
        <v>153</v>
      </c>
    </row>
    <row r="155" customFormat="false" ht="15" hidden="false" customHeight="false" outlineLevel="0" collapsed="false">
      <c r="A155" s="14" t="n">
        <v>154</v>
      </c>
      <c r="B155" s="15" t="s">
        <v>199</v>
      </c>
      <c r="C155" s="15" t="s">
        <v>282</v>
      </c>
      <c r="D155" s="16" t="s">
        <v>283</v>
      </c>
      <c r="E155" s="16"/>
      <c r="F155" s="15" t="s">
        <v>289</v>
      </c>
      <c r="G155" s="15" t="s">
        <v>284</v>
      </c>
      <c r="H155" s="15" t="s">
        <v>203</v>
      </c>
      <c r="I155" s="17" t="n">
        <v>8.5</v>
      </c>
      <c r="J155" s="16"/>
      <c r="K155" s="15" t="s">
        <v>204</v>
      </c>
      <c r="L155" s="15" t="n">
        <f aca="false">IF(AND(OR(Search!$C$4="",Search!$C$4="All",B155=Search!$C$4),OR(Search!$C$5="",Search!$C$5="All",C155=Search!$C$5),OR(Search!$C$6="",Search!$C$6="All",D155=Search!$C$6),OR(Search!$C$7="",ISNUMBER(SEARCH(Search!$C$7,D155&amp;" "&amp;E155&amp;" "&amp;F155&amp;" "&amp;G155&amp;" "&amp;H155&amp;" "&amp;J155))),OR(Search!$C$8="",ISNUMBER(SEARCH(Search!$C$8,G155)))),1,0)</f>
        <v>1</v>
      </c>
      <c r="M155" s="15" t="n">
        <f aca="false">M154+L155</f>
        <v>154</v>
      </c>
    </row>
    <row r="156" customFormat="false" ht="15" hidden="false" customHeight="false" outlineLevel="0" collapsed="false">
      <c r="A156" s="14" t="n">
        <v>155</v>
      </c>
      <c r="B156" s="15" t="s">
        <v>199</v>
      </c>
      <c r="C156" s="15" t="s">
        <v>282</v>
      </c>
      <c r="D156" s="16" t="s">
        <v>283</v>
      </c>
      <c r="E156" s="16"/>
      <c r="F156" s="15" t="s">
        <v>290</v>
      </c>
      <c r="G156" s="15" t="s">
        <v>284</v>
      </c>
      <c r="H156" s="15" t="s">
        <v>203</v>
      </c>
      <c r="I156" s="17" t="n">
        <v>10.75</v>
      </c>
      <c r="J156" s="16"/>
      <c r="K156" s="15" t="s">
        <v>204</v>
      </c>
      <c r="L156" s="15" t="n">
        <f aca="false">IF(AND(OR(Search!$C$4="",Search!$C$4="All",B156=Search!$C$4),OR(Search!$C$5="",Search!$C$5="All",C156=Search!$C$5),OR(Search!$C$6="",Search!$C$6="All",D156=Search!$C$6),OR(Search!$C$7="",ISNUMBER(SEARCH(Search!$C$7,D156&amp;" "&amp;E156&amp;" "&amp;F156&amp;" "&amp;G156&amp;" "&amp;H156&amp;" "&amp;J156))),OR(Search!$C$8="",ISNUMBER(SEARCH(Search!$C$8,G156)))),1,0)</f>
        <v>1</v>
      </c>
      <c r="M156" s="15" t="n">
        <f aca="false">M155+L156</f>
        <v>155</v>
      </c>
    </row>
    <row r="157" customFormat="false" ht="15" hidden="false" customHeight="false" outlineLevel="0" collapsed="false">
      <c r="A157" s="14" t="n">
        <v>156</v>
      </c>
      <c r="B157" s="15" t="s">
        <v>199</v>
      </c>
      <c r="C157" s="15" t="s">
        <v>282</v>
      </c>
      <c r="D157" s="16" t="s">
        <v>283</v>
      </c>
      <c r="E157" s="16"/>
      <c r="F157" s="15" t="s">
        <v>291</v>
      </c>
      <c r="G157" s="15" t="s">
        <v>284</v>
      </c>
      <c r="H157" s="15" t="s">
        <v>203</v>
      </c>
      <c r="I157" s="17" t="n">
        <v>6</v>
      </c>
      <c r="J157" s="16"/>
      <c r="K157" s="15" t="s">
        <v>204</v>
      </c>
      <c r="L157" s="15" t="n">
        <f aca="false">IF(AND(OR(Search!$C$4="",Search!$C$4="All",B157=Search!$C$4),OR(Search!$C$5="",Search!$C$5="All",C157=Search!$C$5),OR(Search!$C$6="",Search!$C$6="All",D157=Search!$C$6),OR(Search!$C$7="",ISNUMBER(SEARCH(Search!$C$7,D157&amp;" "&amp;E157&amp;" "&amp;F157&amp;" "&amp;G157&amp;" "&amp;H157&amp;" "&amp;J157))),OR(Search!$C$8="",ISNUMBER(SEARCH(Search!$C$8,G157)))),1,0)</f>
        <v>1</v>
      </c>
      <c r="M157" s="15" t="n">
        <f aca="false">M156+L157</f>
        <v>156</v>
      </c>
    </row>
    <row r="158" customFormat="false" ht="15" hidden="false" customHeight="false" outlineLevel="0" collapsed="false">
      <c r="A158" s="14" t="n">
        <v>157</v>
      </c>
      <c r="B158" s="15" t="s">
        <v>199</v>
      </c>
      <c r="C158" s="15" t="s">
        <v>282</v>
      </c>
      <c r="D158" s="16" t="s">
        <v>285</v>
      </c>
      <c r="E158" s="16"/>
      <c r="F158" s="15" t="s">
        <v>291</v>
      </c>
      <c r="G158" s="15" t="s">
        <v>284</v>
      </c>
      <c r="H158" s="15" t="s">
        <v>203</v>
      </c>
      <c r="I158" s="17" t="n">
        <v>5.5</v>
      </c>
      <c r="J158" s="16" t="s">
        <v>292</v>
      </c>
      <c r="K158" s="15" t="s">
        <v>204</v>
      </c>
      <c r="L158" s="15" t="n">
        <f aca="false">IF(AND(OR(Search!$C$4="",Search!$C$4="All",B158=Search!$C$4),OR(Search!$C$5="",Search!$C$5="All",C158=Search!$C$5),OR(Search!$C$6="",Search!$C$6="All",D158=Search!$C$6),OR(Search!$C$7="",ISNUMBER(SEARCH(Search!$C$7,D158&amp;" "&amp;E158&amp;" "&amp;F158&amp;" "&amp;G158&amp;" "&amp;H158&amp;" "&amp;J158))),OR(Search!$C$8="",ISNUMBER(SEARCH(Search!$C$8,G158)))),1,0)</f>
        <v>1</v>
      </c>
      <c r="M158" s="15" t="n">
        <f aca="false">M157+L158</f>
        <v>157</v>
      </c>
    </row>
    <row r="159" customFormat="false" ht="15" hidden="false" customHeight="false" outlineLevel="0" collapsed="false">
      <c r="A159" s="14" t="n">
        <v>158</v>
      </c>
      <c r="B159" s="15" t="s">
        <v>199</v>
      </c>
      <c r="C159" s="15" t="s">
        <v>293</v>
      </c>
      <c r="D159" s="16" t="s">
        <v>294</v>
      </c>
      <c r="E159" s="16"/>
      <c r="F159" s="15" t="s">
        <v>295</v>
      </c>
      <c r="G159" s="15" t="s">
        <v>296</v>
      </c>
      <c r="H159" s="15" t="s">
        <v>161</v>
      </c>
      <c r="I159" s="17" t="n">
        <v>880</v>
      </c>
      <c r="J159" s="16"/>
      <c r="K159" s="15" t="s">
        <v>204</v>
      </c>
      <c r="L159" s="15" t="n">
        <f aca="false">IF(AND(OR(Search!$C$4="",Search!$C$4="All",B159=Search!$C$4),OR(Search!$C$5="",Search!$C$5="All",C159=Search!$C$5),OR(Search!$C$6="",Search!$C$6="All",D159=Search!$C$6),OR(Search!$C$7="",ISNUMBER(SEARCH(Search!$C$7,D159&amp;" "&amp;E159&amp;" "&amp;F159&amp;" "&amp;G159&amp;" "&amp;H159&amp;" "&amp;J159))),OR(Search!$C$8="",ISNUMBER(SEARCH(Search!$C$8,G159)))),1,0)</f>
        <v>1</v>
      </c>
      <c r="M159" s="15" t="n">
        <f aca="false">M158+L159</f>
        <v>158</v>
      </c>
    </row>
    <row r="160" customFormat="false" ht="15" hidden="false" customHeight="false" outlineLevel="0" collapsed="false">
      <c r="A160" s="14" t="n">
        <v>159</v>
      </c>
      <c r="B160" s="15" t="s">
        <v>199</v>
      </c>
      <c r="C160" s="15" t="s">
        <v>293</v>
      </c>
      <c r="D160" s="16" t="s">
        <v>294</v>
      </c>
      <c r="E160" s="16"/>
      <c r="F160" s="15" t="s">
        <v>297</v>
      </c>
      <c r="G160" s="15" t="s">
        <v>296</v>
      </c>
      <c r="H160" s="15" t="s">
        <v>161</v>
      </c>
      <c r="I160" s="17" t="n">
        <v>1010</v>
      </c>
      <c r="J160" s="16"/>
      <c r="K160" s="15" t="s">
        <v>204</v>
      </c>
      <c r="L160" s="15" t="n">
        <f aca="false">IF(AND(OR(Search!$C$4="",Search!$C$4="All",B160=Search!$C$4),OR(Search!$C$5="",Search!$C$5="All",C160=Search!$C$5),OR(Search!$C$6="",Search!$C$6="All",D160=Search!$C$6),OR(Search!$C$7="",ISNUMBER(SEARCH(Search!$C$7,D160&amp;" "&amp;E160&amp;" "&amp;F160&amp;" "&amp;G160&amp;" "&amp;H160&amp;" "&amp;J160))),OR(Search!$C$8="",ISNUMBER(SEARCH(Search!$C$8,G160)))),1,0)</f>
        <v>1</v>
      </c>
      <c r="M160" s="15" t="n">
        <f aca="false">M159+L160</f>
        <v>159</v>
      </c>
    </row>
    <row r="161" customFormat="false" ht="15" hidden="false" customHeight="false" outlineLevel="0" collapsed="false">
      <c r="A161" s="14" t="n">
        <v>160</v>
      </c>
      <c r="B161" s="15" t="s">
        <v>199</v>
      </c>
      <c r="C161" s="15" t="s">
        <v>293</v>
      </c>
      <c r="D161" s="16" t="s">
        <v>294</v>
      </c>
      <c r="E161" s="16"/>
      <c r="F161" s="15" t="s">
        <v>298</v>
      </c>
      <c r="G161" s="15" t="s">
        <v>296</v>
      </c>
      <c r="H161" s="15" t="s">
        <v>161</v>
      </c>
      <c r="I161" s="17" t="n">
        <v>1350</v>
      </c>
      <c r="J161" s="16"/>
      <c r="K161" s="15" t="s">
        <v>204</v>
      </c>
      <c r="L161" s="15" t="n">
        <f aca="false">IF(AND(OR(Search!$C$4="",Search!$C$4="All",B161=Search!$C$4),OR(Search!$C$5="",Search!$C$5="All",C161=Search!$C$5),OR(Search!$C$6="",Search!$C$6="All",D161=Search!$C$6),OR(Search!$C$7="",ISNUMBER(SEARCH(Search!$C$7,D161&amp;" "&amp;E161&amp;" "&amp;F161&amp;" "&amp;G161&amp;" "&amp;H161&amp;" "&amp;J161))),OR(Search!$C$8="",ISNUMBER(SEARCH(Search!$C$8,G161)))),1,0)</f>
        <v>1</v>
      </c>
      <c r="M161" s="15" t="n">
        <f aca="false">M160+L161</f>
        <v>160</v>
      </c>
    </row>
    <row r="162" customFormat="false" ht="15" hidden="false" customHeight="false" outlineLevel="0" collapsed="false">
      <c r="A162" s="14" t="n">
        <v>161</v>
      </c>
      <c r="B162" s="15" t="s">
        <v>199</v>
      </c>
      <c r="C162" s="15" t="s">
        <v>293</v>
      </c>
      <c r="D162" s="16" t="s">
        <v>299</v>
      </c>
      <c r="E162" s="16"/>
      <c r="F162" s="15" t="s">
        <v>298</v>
      </c>
      <c r="G162" s="15" t="s">
        <v>296</v>
      </c>
      <c r="H162" s="15" t="s">
        <v>161</v>
      </c>
      <c r="I162" s="17" t="n">
        <v>2150</v>
      </c>
      <c r="J162" s="16"/>
      <c r="K162" s="15" t="s">
        <v>204</v>
      </c>
      <c r="L162" s="15" t="n">
        <f aca="false">IF(AND(OR(Search!$C$4="",Search!$C$4="All",B162=Search!$C$4),OR(Search!$C$5="",Search!$C$5="All",C162=Search!$C$5),OR(Search!$C$6="",Search!$C$6="All",D162=Search!$C$6),OR(Search!$C$7="",ISNUMBER(SEARCH(Search!$C$7,D162&amp;" "&amp;E162&amp;" "&amp;F162&amp;" "&amp;G162&amp;" "&amp;H162&amp;" "&amp;J162))),OR(Search!$C$8="",ISNUMBER(SEARCH(Search!$C$8,G162)))),1,0)</f>
        <v>1</v>
      </c>
      <c r="M162" s="15" t="n">
        <f aca="false">M161+L162</f>
        <v>161</v>
      </c>
    </row>
    <row r="163" customFormat="false" ht="15" hidden="false" customHeight="false" outlineLevel="0" collapsed="false">
      <c r="A163" s="14" t="n">
        <v>162</v>
      </c>
      <c r="B163" s="15" t="s">
        <v>199</v>
      </c>
      <c r="C163" s="15" t="s">
        <v>293</v>
      </c>
      <c r="D163" s="16" t="s">
        <v>300</v>
      </c>
      <c r="E163" s="16"/>
      <c r="F163" s="15" t="s">
        <v>298</v>
      </c>
      <c r="G163" s="15" t="s">
        <v>296</v>
      </c>
      <c r="H163" s="15" t="s">
        <v>161</v>
      </c>
      <c r="I163" s="17" t="n">
        <v>2250</v>
      </c>
      <c r="J163" s="16"/>
      <c r="K163" s="15" t="s">
        <v>204</v>
      </c>
      <c r="L163" s="15" t="n">
        <f aca="false">IF(AND(OR(Search!$C$4="",Search!$C$4="All",B163=Search!$C$4),OR(Search!$C$5="",Search!$C$5="All",C163=Search!$C$5),OR(Search!$C$6="",Search!$C$6="All",D163=Search!$C$6),OR(Search!$C$7="",ISNUMBER(SEARCH(Search!$C$7,D163&amp;" "&amp;E163&amp;" "&amp;F163&amp;" "&amp;G163&amp;" "&amp;H163&amp;" "&amp;J163))),OR(Search!$C$8="",ISNUMBER(SEARCH(Search!$C$8,G163)))),1,0)</f>
        <v>1</v>
      </c>
      <c r="M163" s="15" t="n">
        <f aca="false">M162+L163</f>
        <v>162</v>
      </c>
    </row>
    <row r="164" customFormat="false" ht="15" hidden="false" customHeight="false" outlineLevel="0" collapsed="false">
      <c r="A164" s="14" t="n">
        <v>163</v>
      </c>
      <c r="B164" s="15" t="s">
        <v>199</v>
      </c>
      <c r="C164" s="15" t="s">
        <v>293</v>
      </c>
      <c r="D164" s="16" t="s">
        <v>299</v>
      </c>
      <c r="E164" s="16"/>
      <c r="F164" s="15" t="s">
        <v>301</v>
      </c>
      <c r="G164" s="15" t="s">
        <v>296</v>
      </c>
      <c r="H164" s="15" t="s">
        <v>161</v>
      </c>
      <c r="I164" s="17" t="n">
        <v>2570</v>
      </c>
      <c r="J164" s="16"/>
      <c r="K164" s="15" t="s">
        <v>204</v>
      </c>
      <c r="L164" s="15" t="n">
        <f aca="false">IF(AND(OR(Search!$C$4="",Search!$C$4="All",B164=Search!$C$4),OR(Search!$C$5="",Search!$C$5="All",C164=Search!$C$5),OR(Search!$C$6="",Search!$C$6="All",D164=Search!$C$6),OR(Search!$C$7="",ISNUMBER(SEARCH(Search!$C$7,D164&amp;" "&amp;E164&amp;" "&amp;F164&amp;" "&amp;G164&amp;" "&amp;H164&amp;" "&amp;J164))),OR(Search!$C$8="",ISNUMBER(SEARCH(Search!$C$8,G164)))),1,0)</f>
        <v>1</v>
      </c>
      <c r="M164" s="15" t="n">
        <f aca="false">M163+L164</f>
        <v>163</v>
      </c>
    </row>
    <row r="165" customFormat="false" ht="15" hidden="false" customHeight="false" outlineLevel="0" collapsed="false">
      <c r="A165" s="14" t="n">
        <v>164</v>
      </c>
      <c r="B165" s="15" t="s">
        <v>199</v>
      </c>
      <c r="C165" s="15" t="s">
        <v>293</v>
      </c>
      <c r="D165" s="16" t="s">
        <v>300</v>
      </c>
      <c r="E165" s="16"/>
      <c r="F165" s="15" t="s">
        <v>301</v>
      </c>
      <c r="G165" s="15" t="s">
        <v>296</v>
      </c>
      <c r="H165" s="15" t="s">
        <v>161</v>
      </c>
      <c r="I165" s="17" t="n">
        <v>2700</v>
      </c>
      <c r="J165" s="16"/>
      <c r="K165" s="15" t="s">
        <v>204</v>
      </c>
      <c r="L165" s="15" t="n">
        <f aca="false">IF(AND(OR(Search!$C$4="",Search!$C$4="All",B165=Search!$C$4),OR(Search!$C$5="",Search!$C$5="All",C165=Search!$C$5),OR(Search!$C$6="",Search!$C$6="All",D165=Search!$C$6),OR(Search!$C$7="",ISNUMBER(SEARCH(Search!$C$7,D165&amp;" "&amp;E165&amp;" "&amp;F165&amp;" "&amp;G165&amp;" "&amp;H165&amp;" "&amp;J165))),OR(Search!$C$8="",ISNUMBER(SEARCH(Search!$C$8,G165)))),1,0)</f>
        <v>1</v>
      </c>
      <c r="M165" s="15" t="n">
        <f aca="false">M164+L165</f>
        <v>164</v>
      </c>
    </row>
    <row r="166" customFormat="false" ht="15" hidden="false" customHeight="false" outlineLevel="0" collapsed="false">
      <c r="A166" s="14" t="n">
        <v>165</v>
      </c>
      <c r="B166" s="15" t="s">
        <v>199</v>
      </c>
      <c r="C166" s="15" t="s">
        <v>293</v>
      </c>
      <c r="D166" s="16" t="s">
        <v>294</v>
      </c>
      <c r="E166" s="16"/>
      <c r="F166" s="15" t="s">
        <v>302</v>
      </c>
      <c r="G166" s="15" t="s">
        <v>296</v>
      </c>
      <c r="H166" s="15" t="s">
        <v>161</v>
      </c>
      <c r="I166" s="17" t="n">
        <v>1450</v>
      </c>
      <c r="J166" s="16"/>
      <c r="K166" s="15" t="s">
        <v>204</v>
      </c>
      <c r="L166" s="15" t="n">
        <f aca="false">IF(AND(OR(Search!$C$4="",Search!$C$4="All",B166=Search!$C$4),OR(Search!$C$5="",Search!$C$5="All",C166=Search!$C$5),OR(Search!$C$6="",Search!$C$6="All",D166=Search!$C$6),OR(Search!$C$7="",ISNUMBER(SEARCH(Search!$C$7,D166&amp;" "&amp;E166&amp;" "&amp;F166&amp;" "&amp;G166&amp;" "&amp;H166&amp;" "&amp;J166))),OR(Search!$C$8="",ISNUMBER(SEARCH(Search!$C$8,G166)))),1,0)</f>
        <v>1</v>
      </c>
      <c r="M166" s="15" t="n">
        <f aca="false">M165+L166</f>
        <v>165</v>
      </c>
    </row>
    <row r="167" customFormat="false" ht="15" hidden="false" customHeight="false" outlineLevel="0" collapsed="false">
      <c r="A167" s="14" t="n">
        <v>166</v>
      </c>
      <c r="B167" s="15" t="s">
        <v>199</v>
      </c>
      <c r="C167" s="15" t="s">
        <v>293</v>
      </c>
      <c r="D167" s="16" t="s">
        <v>299</v>
      </c>
      <c r="E167" s="16"/>
      <c r="F167" s="15" t="s">
        <v>302</v>
      </c>
      <c r="G167" s="15" t="s">
        <v>296</v>
      </c>
      <c r="H167" s="15" t="s">
        <v>161</v>
      </c>
      <c r="I167" s="17" t="n">
        <v>2790</v>
      </c>
      <c r="J167" s="16"/>
      <c r="K167" s="15" t="s">
        <v>204</v>
      </c>
      <c r="L167" s="15" t="n">
        <f aca="false">IF(AND(OR(Search!$C$4="",Search!$C$4="All",B167=Search!$C$4),OR(Search!$C$5="",Search!$C$5="All",C167=Search!$C$5),OR(Search!$C$6="",Search!$C$6="All",D167=Search!$C$6),OR(Search!$C$7="",ISNUMBER(SEARCH(Search!$C$7,D167&amp;" "&amp;E167&amp;" "&amp;F167&amp;" "&amp;G167&amp;" "&amp;H167&amp;" "&amp;J167))),OR(Search!$C$8="",ISNUMBER(SEARCH(Search!$C$8,G167)))),1,0)</f>
        <v>1</v>
      </c>
      <c r="M167" s="15" t="n">
        <f aca="false">M166+L167</f>
        <v>166</v>
      </c>
    </row>
    <row r="168" customFormat="false" ht="15" hidden="false" customHeight="false" outlineLevel="0" collapsed="false">
      <c r="A168" s="14" t="n">
        <v>167</v>
      </c>
      <c r="B168" s="15" t="s">
        <v>199</v>
      </c>
      <c r="C168" s="15" t="s">
        <v>293</v>
      </c>
      <c r="D168" s="16" t="s">
        <v>300</v>
      </c>
      <c r="E168" s="16"/>
      <c r="F168" s="15" t="s">
        <v>302</v>
      </c>
      <c r="G168" s="15" t="s">
        <v>296</v>
      </c>
      <c r="H168" s="15" t="s">
        <v>161</v>
      </c>
      <c r="I168" s="17" t="n">
        <v>2930</v>
      </c>
      <c r="J168" s="16"/>
      <c r="K168" s="15" t="s">
        <v>204</v>
      </c>
      <c r="L168" s="15" t="n">
        <f aca="false">IF(AND(OR(Search!$C$4="",Search!$C$4="All",B168=Search!$C$4),OR(Search!$C$5="",Search!$C$5="All",C168=Search!$C$5),OR(Search!$C$6="",Search!$C$6="All",D168=Search!$C$6),OR(Search!$C$7="",ISNUMBER(SEARCH(Search!$C$7,D168&amp;" "&amp;E168&amp;" "&amp;F168&amp;" "&amp;G168&amp;" "&amp;H168&amp;" "&amp;J168))),OR(Search!$C$8="",ISNUMBER(SEARCH(Search!$C$8,G168)))),1,0)</f>
        <v>1</v>
      </c>
      <c r="M168" s="15" t="n">
        <f aca="false">M167+L168</f>
        <v>167</v>
      </c>
    </row>
    <row r="169" customFormat="false" ht="15" hidden="false" customHeight="false" outlineLevel="0" collapsed="false">
      <c r="A169" s="14" t="n">
        <v>168</v>
      </c>
      <c r="B169" s="15" t="s">
        <v>199</v>
      </c>
      <c r="C169" s="15" t="s">
        <v>293</v>
      </c>
      <c r="D169" s="16" t="s">
        <v>294</v>
      </c>
      <c r="E169" s="16"/>
      <c r="F169" s="15" t="s">
        <v>303</v>
      </c>
      <c r="G169" s="15" t="s">
        <v>296</v>
      </c>
      <c r="H169" s="15" t="s">
        <v>161</v>
      </c>
      <c r="I169" s="17" t="n">
        <v>1765</v>
      </c>
      <c r="J169" s="16"/>
      <c r="K169" s="15" t="s">
        <v>204</v>
      </c>
      <c r="L169" s="15" t="n">
        <f aca="false">IF(AND(OR(Search!$C$4="",Search!$C$4="All",B169=Search!$C$4),OR(Search!$C$5="",Search!$C$5="All",C169=Search!$C$5),OR(Search!$C$6="",Search!$C$6="All",D169=Search!$C$6),OR(Search!$C$7="",ISNUMBER(SEARCH(Search!$C$7,D169&amp;" "&amp;E169&amp;" "&amp;F169&amp;" "&amp;G169&amp;" "&amp;H169&amp;" "&amp;J169))),OR(Search!$C$8="",ISNUMBER(SEARCH(Search!$C$8,G169)))),1,0)</f>
        <v>1</v>
      </c>
      <c r="M169" s="15" t="n">
        <f aca="false">M168+L169</f>
        <v>168</v>
      </c>
    </row>
    <row r="170" customFormat="false" ht="15" hidden="false" customHeight="false" outlineLevel="0" collapsed="false">
      <c r="A170" s="14" t="n">
        <v>169</v>
      </c>
      <c r="B170" s="15" t="s">
        <v>199</v>
      </c>
      <c r="C170" s="15" t="s">
        <v>293</v>
      </c>
      <c r="D170" s="16" t="s">
        <v>299</v>
      </c>
      <c r="E170" s="16"/>
      <c r="F170" s="15" t="s">
        <v>303</v>
      </c>
      <c r="G170" s="15" t="s">
        <v>296</v>
      </c>
      <c r="H170" s="15" t="s">
        <v>161</v>
      </c>
      <c r="I170" s="17" t="n">
        <v>3000</v>
      </c>
      <c r="J170" s="16"/>
      <c r="K170" s="15" t="s">
        <v>204</v>
      </c>
      <c r="L170" s="15" t="n">
        <f aca="false">IF(AND(OR(Search!$C$4="",Search!$C$4="All",B170=Search!$C$4),OR(Search!$C$5="",Search!$C$5="All",C170=Search!$C$5),OR(Search!$C$6="",Search!$C$6="All",D170=Search!$C$6),OR(Search!$C$7="",ISNUMBER(SEARCH(Search!$C$7,D170&amp;" "&amp;E170&amp;" "&amp;F170&amp;" "&amp;G170&amp;" "&amp;H170&amp;" "&amp;J170))),OR(Search!$C$8="",ISNUMBER(SEARCH(Search!$C$8,G170)))),1,0)</f>
        <v>1</v>
      </c>
      <c r="M170" s="15" t="n">
        <f aca="false">M169+L170</f>
        <v>169</v>
      </c>
    </row>
    <row r="171" customFormat="false" ht="15" hidden="false" customHeight="false" outlineLevel="0" collapsed="false">
      <c r="A171" s="14" t="n">
        <v>170</v>
      </c>
      <c r="B171" s="15" t="s">
        <v>199</v>
      </c>
      <c r="C171" s="15" t="s">
        <v>293</v>
      </c>
      <c r="D171" s="16" t="s">
        <v>300</v>
      </c>
      <c r="E171" s="16"/>
      <c r="F171" s="15" t="s">
        <v>303</v>
      </c>
      <c r="G171" s="15" t="s">
        <v>296</v>
      </c>
      <c r="H171" s="15" t="s">
        <v>161</v>
      </c>
      <c r="I171" s="17" t="n">
        <v>3150</v>
      </c>
      <c r="J171" s="16"/>
      <c r="K171" s="15" t="s">
        <v>204</v>
      </c>
      <c r="L171" s="15" t="n">
        <f aca="false">IF(AND(OR(Search!$C$4="",Search!$C$4="All",B171=Search!$C$4),OR(Search!$C$5="",Search!$C$5="All",C171=Search!$C$5),OR(Search!$C$6="",Search!$C$6="All",D171=Search!$C$6),OR(Search!$C$7="",ISNUMBER(SEARCH(Search!$C$7,D171&amp;" "&amp;E171&amp;" "&amp;F171&amp;" "&amp;G171&amp;" "&amp;H171&amp;" "&amp;J171))),OR(Search!$C$8="",ISNUMBER(SEARCH(Search!$C$8,G171)))),1,0)</f>
        <v>1</v>
      </c>
      <c r="M171" s="15" t="n">
        <f aca="false">M170+L171</f>
        <v>170</v>
      </c>
    </row>
    <row r="172" customFormat="false" ht="15" hidden="false" customHeight="false" outlineLevel="0" collapsed="false">
      <c r="A172" s="14" t="n">
        <v>171</v>
      </c>
      <c r="B172" s="15" t="s">
        <v>199</v>
      </c>
      <c r="C172" s="15" t="s">
        <v>293</v>
      </c>
      <c r="D172" s="16" t="s">
        <v>294</v>
      </c>
      <c r="E172" s="16"/>
      <c r="F172" s="15" t="s">
        <v>304</v>
      </c>
      <c r="G172" s="15" t="s">
        <v>296</v>
      </c>
      <c r="H172" s="15" t="s">
        <v>161</v>
      </c>
      <c r="I172" s="17" t="n">
        <v>2020</v>
      </c>
      <c r="J172" s="16"/>
      <c r="K172" s="15" t="s">
        <v>204</v>
      </c>
      <c r="L172" s="15" t="n">
        <f aca="false">IF(AND(OR(Search!$C$4="",Search!$C$4="All",B172=Search!$C$4),OR(Search!$C$5="",Search!$C$5="All",C172=Search!$C$5),OR(Search!$C$6="",Search!$C$6="All",D172=Search!$C$6),OR(Search!$C$7="",ISNUMBER(SEARCH(Search!$C$7,D172&amp;" "&amp;E172&amp;" "&amp;F172&amp;" "&amp;G172&amp;" "&amp;H172&amp;" "&amp;J172))),OR(Search!$C$8="",ISNUMBER(SEARCH(Search!$C$8,G172)))),1,0)</f>
        <v>1</v>
      </c>
      <c r="M172" s="15" t="n">
        <f aca="false">M171+L172</f>
        <v>171</v>
      </c>
    </row>
    <row r="173" customFormat="false" ht="15" hidden="false" customHeight="false" outlineLevel="0" collapsed="false">
      <c r="A173" s="14" t="n">
        <v>172</v>
      </c>
      <c r="B173" s="15" t="s">
        <v>199</v>
      </c>
      <c r="C173" s="15" t="s">
        <v>293</v>
      </c>
      <c r="D173" s="16" t="s">
        <v>299</v>
      </c>
      <c r="E173" s="16"/>
      <c r="F173" s="15" t="s">
        <v>304</v>
      </c>
      <c r="G173" s="15" t="s">
        <v>296</v>
      </c>
      <c r="H173" s="15" t="s">
        <v>161</v>
      </c>
      <c r="I173" s="17" t="n">
        <v>3430</v>
      </c>
      <c r="J173" s="16"/>
      <c r="K173" s="15" t="s">
        <v>204</v>
      </c>
      <c r="L173" s="15" t="n">
        <f aca="false">IF(AND(OR(Search!$C$4="",Search!$C$4="All",B173=Search!$C$4),OR(Search!$C$5="",Search!$C$5="All",C173=Search!$C$5),OR(Search!$C$6="",Search!$C$6="All",D173=Search!$C$6),OR(Search!$C$7="",ISNUMBER(SEARCH(Search!$C$7,D173&amp;" "&amp;E173&amp;" "&amp;F173&amp;" "&amp;G173&amp;" "&amp;H173&amp;" "&amp;J173))),OR(Search!$C$8="",ISNUMBER(SEARCH(Search!$C$8,G173)))),1,0)</f>
        <v>1</v>
      </c>
      <c r="M173" s="15" t="n">
        <f aca="false">M172+L173</f>
        <v>172</v>
      </c>
    </row>
    <row r="174" customFormat="false" ht="15" hidden="false" customHeight="false" outlineLevel="0" collapsed="false">
      <c r="A174" s="14" t="n">
        <v>173</v>
      </c>
      <c r="B174" s="15" t="s">
        <v>199</v>
      </c>
      <c r="C174" s="15" t="s">
        <v>293</v>
      </c>
      <c r="D174" s="16" t="s">
        <v>300</v>
      </c>
      <c r="E174" s="16"/>
      <c r="F174" s="15" t="s">
        <v>304</v>
      </c>
      <c r="G174" s="15" t="s">
        <v>296</v>
      </c>
      <c r="H174" s="15" t="s">
        <v>161</v>
      </c>
      <c r="I174" s="17" t="n">
        <v>3600</v>
      </c>
      <c r="J174" s="16"/>
      <c r="K174" s="15" t="s">
        <v>204</v>
      </c>
      <c r="L174" s="15" t="n">
        <f aca="false">IF(AND(OR(Search!$C$4="",Search!$C$4="All",B174=Search!$C$4),OR(Search!$C$5="",Search!$C$5="All",C174=Search!$C$5),OR(Search!$C$6="",Search!$C$6="All",D174=Search!$C$6),OR(Search!$C$7="",ISNUMBER(SEARCH(Search!$C$7,D174&amp;" "&amp;E174&amp;" "&amp;F174&amp;" "&amp;G174&amp;" "&amp;H174&amp;" "&amp;J174))),OR(Search!$C$8="",ISNUMBER(SEARCH(Search!$C$8,G174)))),1,0)</f>
        <v>1</v>
      </c>
      <c r="M174" s="15" t="n">
        <f aca="false">M173+L174</f>
        <v>173</v>
      </c>
    </row>
    <row r="175" customFormat="false" ht="15" hidden="false" customHeight="false" outlineLevel="0" collapsed="false">
      <c r="A175" s="14" t="n">
        <v>174</v>
      </c>
      <c r="B175" s="15" t="s">
        <v>199</v>
      </c>
      <c r="C175" s="15" t="s">
        <v>293</v>
      </c>
      <c r="D175" s="16" t="s">
        <v>299</v>
      </c>
      <c r="E175" s="16"/>
      <c r="F175" s="15" t="s">
        <v>305</v>
      </c>
      <c r="G175" s="15" t="s">
        <v>296</v>
      </c>
      <c r="H175" s="15" t="s">
        <v>161</v>
      </c>
      <c r="I175" s="17" t="n">
        <v>3860</v>
      </c>
      <c r="J175" s="16"/>
      <c r="K175" s="15" t="s">
        <v>204</v>
      </c>
      <c r="L175" s="15" t="n">
        <f aca="false">IF(AND(OR(Search!$C$4="",Search!$C$4="All",B175=Search!$C$4),OR(Search!$C$5="",Search!$C$5="All",C175=Search!$C$5),OR(Search!$C$6="",Search!$C$6="All",D175=Search!$C$6),OR(Search!$C$7="",ISNUMBER(SEARCH(Search!$C$7,D175&amp;" "&amp;E175&amp;" "&amp;F175&amp;" "&amp;G175&amp;" "&amp;H175&amp;" "&amp;J175))),OR(Search!$C$8="",ISNUMBER(SEARCH(Search!$C$8,G175)))),1,0)</f>
        <v>1</v>
      </c>
      <c r="M175" s="15" t="n">
        <f aca="false">M174+L175</f>
        <v>174</v>
      </c>
    </row>
    <row r="176" customFormat="false" ht="15" hidden="false" customHeight="false" outlineLevel="0" collapsed="false">
      <c r="A176" s="14" t="n">
        <v>175</v>
      </c>
      <c r="B176" s="15" t="s">
        <v>199</v>
      </c>
      <c r="C176" s="15" t="s">
        <v>293</v>
      </c>
      <c r="D176" s="16" t="s">
        <v>300</v>
      </c>
      <c r="E176" s="16"/>
      <c r="F176" s="15" t="s">
        <v>305</v>
      </c>
      <c r="G176" s="15" t="s">
        <v>296</v>
      </c>
      <c r="H176" s="15" t="s">
        <v>161</v>
      </c>
      <c r="I176" s="17" t="n">
        <v>4050</v>
      </c>
      <c r="J176" s="16"/>
      <c r="K176" s="15" t="s">
        <v>204</v>
      </c>
      <c r="L176" s="15" t="n">
        <f aca="false">IF(AND(OR(Search!$C$4="",Search!$C$4="All",B176=Search!$C$4),OR(Search!$C$5="",Search!$C$5="All",C176=Search!$C$5),OR(Search!$C$6="",Search!$C$6="All",D176=Search!$C$6),OR(Search!$C$7="",ISNUMBER(SEARCH(Search!$C$7,D176&amp;" "&amp;E176&amp;" "&amp;F176&amp;" "&amp;G176&amp;" "&amp;H176&amp;" "&amp;J176))),OR(Search!$C$8="",ISNUMBER(SEARCH(Search!$C$8,G176)))),1,0)</f>
        <v>1</v>
      </c>
      <c r="M176" s="15" t="n">
        <f aca="false">M175+L176</f>
        <v>175</v>
      </c>
    </row>
    <row r="177" customFormat="false" ht="15" hidden="false" customHeight="false" outlineLevel="0" collapsed="false">
      <c r="A177" s="14" t="n">
        <v>176</v>
      </c>
      <c r="B177" s="15" t="s">
        <v>199</v>
      </c>
      <c r="C177" s="15" t="s">
        <v>293</v>
      </c>
      <c r="D177" s="16" t="s">
        <v>294</v>
      </c>
      <c r="E177" s="16"/>
      <c r="F177" s="15" t="s">
        <v>306</v>
      </c>
      <c r="G177" s="15" t="s">
        <v>296</v>
      </c>
      <c r="H177" s="15" t="s">
        <v>203</v>
      </c>
      <c r="I177" s="17" t="n">
        <v>5.3</v>
      </c>
      <c r="J177" s="16"/>
      <c r="K177" s="15" t="s">
        <v>204</v>
      </c>
      <c r="L177" s="15" t="n">
        <f aca="false">IF(AND(OR(Search!$C$4="",Search!$C$4="All",B177=Search!$C$4),OR(Search!$C$5="",Search!$C$5="All",C177=Search!$C$5),OR(Search!$C$6="",Search!$C$6="All",D177=Search!$C$6),OR(Search!$C$7="",ISNUMBER(SEARCH(Search!$C$7,D177&amp;" "&amp;E177&amp;" "&amp;F177&amp;" "&amp;G177&amp;" "&amp;H177&amp;" "&amp;J177))),OR(Search!$C$8="",ISNUMBER(SEARCH(Search!$C$8,G177)))),1,0)</f>
        <v>1</v>
      </c>
      <c r="M177" s="15" t="n">
        <f aca="false">M176+L177</f>
        <v>176</v>
      </c>
    </row>
    <row r="178" customFormat="false" ht="15" hidden="false" customHeight="false" outlineLevel="0" collapsed="false">
      <c r="A178" s="14" t="n">
        <v>177</v>
      </c>
      <c r="B178" s="15" t="s">
        <v>199</v>
      </c>
      <c r="C178" s="15" t="s">
        <v>293</v>
      </c>
      <c r="D178" s="16" t="s">
        <v>299</v>
      </c>
      <c r="E178" s="16"/>
      <c r="F178" s="15" t="s">
        <v>306</v>
      </c>
      <c r="G178" s="15" t="s">
        <v>296</v>
      </c>
      <c r="H178" s="15" t="s">
        <v>203</v>
      </c>
      <c r="I178" s="17" t="n">
        <v>9</v>
      </c>
      <c r="J178" s="16"/>
      <c r="K178" s="15" t="s">
        <v>204</v>
      </c>
      <c r="L178" s="15" t="n">
        <f aca="false">IF(AND(OR(Search!$C$4="",Search!$C$4="All",B178=Search!$C$4),OR(Search!$C$5="",Search!$C$5="All",C178=Search!$C$5),OR(Search!$C$6="",Search!$C$6="All",D178=Search!$C$6),OR(Search!$C$7="",ISNUMBER(SEARCH(Search!$C$7,D178&amp;" "&amp;E178&amp;" "&amp;F178&amp;" "&amp;G178&amp;" "&amp;H178&amp;" "&amp;J178))),OR(Search!$C$8="",ISNUMBER(SEARCH(Search!$C$8,G178)))),1,0)</f>
        <v>1</v>
      </c>
      <c r="M178" s="15" t="n">
        <f aca="false">M177+L178</f>
        <v>177</v>
      </c>
    </row>
    <row r="179" customFormat="false" ht="15" hidden="false" customHeight="false" outlineLevel="0" collapsed="false">
      <c r="A179" s="14" t="n">
        <v>178</v>
      </c>
      <c r="B179" s="15" t="s">
        <v>199</v>
      </c>
      <c r="C179" s="15" t="s">
        <v>293</v>
      </c>
      <c r="D179" s="16" t="s">
        <v>300</v>
      </c>
      <c r="E179" s="16"/>
      <c r="F179" s="15" t="s">
        <v>306</v>
      </c>
      <c r="G179" s="15" t="s">
        <v>296</v>
      </c>
      <c r="H179" s="15" t="s">
        <v>203</v>
      </c>
      <c r="I179" s="17" t="n">
        <v>9.4</v>
      </c>
      <c r="J179" s="16"/>
      <c r="K179" s="15" t="s">
        <v>204</v>
      </c>
      <c r="L179" s="15" t="n">
        <f aca="false">IF(AND(OR(Search!$C$4="",Search!$C$4="All",B179=Search!$C$4),OR(Search!$C$5="",Search!$C$5="All",C179=Search!$C$5),OR(Search!$C$6="",Search!$C$6="All",D179=Search!$C$6),OR(Search!$C$7="",ISNUMBER(SEARCH(Search!$C$7,D179&amp;" "&amp;E179&amp;" "&amp;F179&amp;" "&amp;G179&amp;" "&amp;H179&amp;" "&amp;J179))),OR(Search!$C$8="",ISNUMBER(SEARCH(Search!$C$8,G179)))),1,0)</f>
        <v>1</v>
      </c>
      <c r="M179" s="15" t="n">
        <f aca="false">M178+L179</f>
        <v>178</v>
      </c>
    </row>
    <row r="180" customFormat="false" ht="15" hidden="false" customHeight="false" outlineLevel="0" collapsed="false">
      <c r="A180" s="14" t="n">
        <v>179</v>
      </c>
      <c r="B180" s="15" t="s">
        <v>199</v>
      </c>
      <c r="C180" s="15" t="s">
        <v>293</v>
      </c>
      <c r="D180" s="16" t="s">
        <v>294</v>
      </c>
      <c r="E180" s="16"/>
      <c r="F180" s="15" t="s">
        <v>307</v>
      </c>
      <c r="G180" s="15" t="s">
        <v>296</v>
      </c>
      <c r="H180" s="15" t="s">
        <v>203</v>
      </c>
      <c r="I180" s="17" t="n">
        <v>5.8</v>
      </c>
      <c r="J180" s="16"/>
      <c r="K180" s="15" t="s">
        <v>204</v>
      </c>
      <c r="L180" s="15" t="n">
        <f aca="false">IF(AND(OR(Search!$C$4="",Search!$C$4="All",B180=Search!$C$4),OR(Search!$C$5="",Search!$C$5="All",C180=Search!$C$5),OR(Search!$C$6="",Search!$C$6="All",D180=Search!$C$6),OR(Search!$C$7="",ISNUMBER(SEARCH(Search!$C$7,D180&amp;" "&amp;E180&amp;" "&amp;F180&amp;" "&amp;G180&amp;" "&amp;H180&amp;" "&amp;J180))),OR(Search!$C$8="",ISNUMBER(SEARCH(Search!$C$8,G180)))),1,0)</f>
        <v>1</v>
      </c>
      <c r="M180" s="15" t="n">
        <f aca="false">M179+L180</f>
        <v>179</v>
      </c>
    </row>
    <row r="181" customFormat="false" ht="15" hidden="false" customHeight="false" outlineLevel="0" collapsed="false">
      <c r="A181" s="14" t="n">
        <v>180</v>
      </c>
      <c r="B181" s="15" t="s">
        <v>199</v>
      </c>
      <c r="C181" s="15" t="s">
        <v>293</v>
      </c>
      <c r="D181" s="16" t="s">
        <v>299</v>
      </c>
      <c r="E181" s="16"/>
      <c r="F181" s="15" t="s">
        <v>307</v>
      </c>
      <c r="G181" s="15" t="s">
        <v>296</v>
      </c>
      <c r="H181" s="15" t="s">
        <v>203</v>
      </c>
      <c r="I181" s="17" t="n">
        <v>9.9</v>
      </c>
      <c r="J181" s="16"/>
      <c r="K181" s="15" t="s">
        <v>204</v>
      </c>
      <c r="L181" s="15" t="n">
        <f aca="false">IF(AND(OR(Search!$C$4="",Search!$C$4="All",B181=Search!$C$4),OR(Search!$C$5="",Search!$C$5="All",C181=Search!$C$5),OR(Search!$C$6="",Search!$C$6="All",D181=Search!$C$6),OR(Search!$C$7="",ISNUMBER(SEARCH(Search!$C$7,D181&amp;" "&amp;E181&amp;" "&amp;F181&amp;" "&amp;G181&amp;" "&amp;H181&amp;" "&amp;J181))),OR(Search!$C$8="",ISNUMBER(SEARCH(Search!$C$8,G181)))),1,0)</f>
        <v>1</v>
      </c>
      <c r="M181" s="15" t="n">
        <f aca="false">M180+L181</f>
        <v>180</v>
      </c>
    </row>
    <row r="182" customFormat="false" ht="15" hidden="false" customHeight="false" outlineLevel="0" collapsed="false">
      <c r="A182" s="14" t="n">
        <v>181</v>
      </c>
      <c r="B182" s="15" t="s">
        <v>199</v>
      </c>
      <c r="C182" s="15" t="s">
        <v>293</v>
      </c>
      <c r="D182" s="16" t="s">
        <v>300</v>
      </c>
      <c r="E182" s="16"/>
      <c r="F182" s="15" t="s">
        <v>307</v>
      </c>
      <c r="G182" s="15" t="s">
        <v>296</v>
      </c>
      <c r="H182" s="15" t="s">
        <v>203</v>
      </c>
      <c r="I182" s="17" t="n">
        <v>10.3</v>
      </c>
      <c r="J182" s="16"/>
      <c r="K182" s="15" t="s">
        <v>204</v>
      </c>
      <c r="L182" s="15" t="n">
        <f aca="false">IF(AND(OR(Search!$C$4="",Search!$C$4="All",B182=Search!$C$4),OR(Search!$C$5="",Search!$C$5="All",C182=Search!$C$5),OR(Search!$C$6="",Search!$C$6="All",D182=Search!$C$6),OR(Search!$C$7="",ISNUMBER(SEARCH(Search!$C$7,D182&amp;" "&amp;E182&amp;" "&amp;F182&amp;" "&amp;G182&amp;" "&amp;H182&amp;" "&amp;J182))),OR(Search!$C$8="",ISNUMBER(SEARCH(Search!$C$8,G182)))),1,0)</f>
        <v>1</v>
      </c>
      <c r="M182" s="15" t="n">
        <f aca="false">M181+L182</f>
        <v>181</v>
      </c>
    </row>
    <row r="183" customFormat="false" ht="15" hidden="false" customHeight="false" outlineLevel="0" collapsed="false">
      <c r="A183" s="14" t="n">
        <v>182</v>
      </c>
      <c r="B183" s="15" t="s">
        <v>199</v>
      </c>
      <c r="C183" s="15" t="s">
        <v>293</v>
      </c>
      <c r="D183" s="16" t="s">
        <v>294</v>
      </c>
      <c r="E183" s="16"/>
      <c r="F183" s="15" t="s">
        <v>308</v>
      </c>
      <c r="G183" s="15" t="s">
        <v>296</v>
      </c>
      <c r="H183" s="15" t="s">
        <v>203</v>
      </c>
      <c r="I183" s="17" t="n">
        <v>6</v>
      </c>
      <c r="J183" s="16"/>
      <c r="K183" s="15" t="s">
        <v>204</v>
      </c>
      <c r="L183" s="15" t="n">
        <f aca="false">IF(AND(OR(Search!$C$4="",Search!$C$4="All",B183=Search!$C$4),OR(Search!$C$5="",Search!$C$5="All",C183=Search!$C$5),OR(Search!$C$6="",Search!$C$6="All",D183=Search!$C$6),OR(Search!$C$7="",ISNUMBER(SEARCH(Search!$C$7,D183&amp;" "&amp;E183&amp;" "&amp;F183&amp;" "&amp;G183&amp;" "&amp;H183&amp;" "&amp;J183))),OR(Search!$C$8="",ISNUMBER(SEARCH(Search!$C$8,G183)))),1,0)</f>
        <v>1</v>
      </c>
      <c r="M183" s="15" t="n">
        <f aca="false">M182+L183</f>
        <v>182</v>
      </c>
    </row>
    <row r="184" customFormat="false" ht="15" hidden="false" customHeight="false" outlineLevel="0" collapsed="false">
      <c r="A184" s="14" t="n">
        <v>183</v>
      </c>
      <c r="B184" s="15" t="s">
        <v>199</v>
      </c>
      <c r="C184" s="15" t="s">
        <v>293</v>
      </c>
      <c r="D184" s="16" t="s">
        <v>299</v>
      </c>
      <c r="E184" s="16"/>
      <c r="F184" s="15" t="s">
        <v>308</v>
      </c>
      <c r="G184" s="15" t="s">
        <v>296</v>
      </c>
      <c r="H184" s="15" t="s">
        <v>203</v>
      </c>
      <c r="I184" s="17" t="n">
        <v>10.3</v>
      </c>
      <c r="J184" s="16"/>
      <c r="K184" s="15" t="s">
        <v>204</v>
      </c>
      <c r="L184" s="15" t="n">
        <f aca="false">IF(AND(OR(Search!$C$4="",Search!$C$4="All",B184=Search!$C$4),OR(Search!$C$5="",Search!$C$5="All",C184=Search!$C$5),OR(Search!$C$6="",Search!$C$6="All",D184=Search!$C$6),OR(Search!$C$7="",ISNUMBER(SEARCH(Search!$C$7,D184&amp;" "&amp;E184&amp;" "&amp;F184&amp;" "&amp;G184&amp;" "&amp;H184&amp;" "&amp;J184))),OR(Search!$C$8="",ISNUMBER(SEARCH(Search!$C$8,G184)))),1,0)</f>
        <v>1</v>
      </c>
      <c r="M184" s="15" t="n">
        <f aca="false">M183+L184</f>
        <v>183</v>
      </c>
    </row>
    <row r="185" customFormat="false" ht="15" hidden="false" customHeight="false" outlineLevel="0" collapsed="false">
      <c r="A185" s="14" t="n">
        <v>184</v>
      </c>
      <c r="B185" s="15" t="s">
        <v>199</v>
      </c>
      <c r="C185" s="15" t="s">
        <v>293</v>
      </c>
      <c r="D185" s="16" t="s">
        <v>309</v>
      </c>
      <c r="E185" s="16"/>
      <c r="F185" s="15" t="s">
        <v>308</v>
      </c>
      <c r="G185" s="15" t="s">
        <v>296</v>
      </c>
      <c r="H185" s="15" t="s">
        <v>203</v>
      </c>
      <c r="I185" s="17" t="n">
        <v>7.7</v>
      </c>
      <c r="J185" s="16"/>
      <c r="K185" s="15" t="s">
        <v>204</v>
      </c>
      <c r="L185" s="15" t="n">
        <f aca="false">IF(AND(OR(Search!$C$4="",Search!$C$4="All",B185=Search!$C$4),OR(Search!$C$5="",Search!$C$5="All",C185=Search!$C$5),OR(Search!$C$6="",Search!$C$6="All",D185=Search!$C$6),OR(Search!$C$7="",ISNUMBER(SEARCH(Search!$C$7,D185&amp;" "&amp;E185&amp;" "&amp;F185&amp;" "&amp;G185&amp;" "&amp;H185&amp;" "&amp;J185))),OR(Search!$C$8="",ISNUMBER(SEARCH(Search!$C$8,G185)))),1,0)</f>
        <v>1</v>
      </c>
      <c r="M185" s="15" t="n">
        <f aca="false">M184+L185</f>
        <v>184</v>
      </c>
    </row>
    <row r="186" customFormat="false" ht="15" hidden="false" customHeight="false" outlineLevel="0" collapsed="false">
      <c r="A186" s="14" t="n">
        <v>185</v>
      </c>
      <c r="B186" s="15" t="s">
        <v>199</v>
      </c>
      <c r="C186" s="15" t="s">
        <v>293</v>
      </c>
      <c r="D186" s="16" t="s">
        <v>294</v>
      </c>
      <c r="E186" s="16"/>
      <c r="F186" s="15" t="s">
        <v>310</v>
      </c>
      <c r="G186" s="15" t="s">
        <v>296</v>
      </c>
      <c r="H186" s="15" t="s">
        <v>203</v>
      </c>
      <c r="I186" s="17" t="n">
        <v>6.3</v>
      </c>
      <c r="J186" s="16"/>
      <c r="K186" s="15" t="s">
        <v>204</v>
      </c>
      <c r="L186" s="15" t="n">
        <f aca="false">IF(AND(OR(Search!$C$4="",Search!$C$4="All",B186=Search!$C$4),OR(Search!$C$5="",Search!$C$5="All",C186=Search!$C$5),OR(Search!$C$6="",Search!$C$6="All",D186=Search!$C$6),OR(Search!$C$7="",ISNUMBER(SEARCH(Search!$C$7,D186&amp;" "&amp;E186&amp;" "&amp;F186&amp;" "&amp;G186&amp;" "&amp;H186&amp;" "&amp;J186))),OR(Search!$C$8="",ISNUMBER(SEARCH(Search!$C$8,G186)))),1,0)</f>
        <v>1</v>
      </c>
      <c r="M186" s="15" t="n">
        <f aca="false">M185+L186</f>
        <v>185</v>
      </c>
    </row>
    <row r="187" customFormat="false" ht="15" hidden="false" customHeight="false" outlineLevel="0" collapsed="false">
      <c r="A187" s="14" t="n">
        <v>186</v>
      </c>
      <c r="B187" s="15" t="s">
        <v>199</v>
      </c>
      <c r="C187" s="15" t="s">
        <v>293</v>
      </c>
      <c r="D187" s="16" t="s">
        <v>299</v>
      </c>
      <c r="E187" s="16"/>
      <c r="F187" s="15" t="s">
        <v>310</v>
      </c>
      <c r="G187" s="15" t="s">
        <v>296</v>
      </c>
      <c r="H187" s="15" t="s">
        <v>203</v>
      </c>
      <c r="I187" s="17" t="n">
        <v>10.7</v>
      </c>
      <c r="J187" s="16"/>
      <c r="K187" s="15" t="s">
        <v>204</v>
      </c>
      <c r="L187" s="15" t="n">
        <f aca="false">IF(AND(OR(Search!$C$4="",Search!$C$4="All",B187=Search!$C$4),OR(Search!$C$5="",Search!$C$5="All",C187=Search!$C$5),OR(Search!$C$6="",Search!$C$6="All",D187=Search!$C$6),OR(Search!$C$7="",ISNUMBER(SEARCH(Search!$C$7,D187&amp;" "&amp;E187&amp;" "&amp;F187&amp;" "&amp;G187&amp;" "&amp;H187&amp;" "&amp;J187))),OR(Search!$C$8="",ISNUMBER(SEARCH(Search!$C$8,G187)))),1,0)</f>
        <v>1</v>
      </c>
      <c r="M187" s="15" t="n">
        <f aca="false">M186+L187</f>
        <v>186</v>
      </c>
    </row>
    <row r="188" customFormat="false" ht="15" hidden="false" customHeight="false" outlineLevel="0" collapsed="false">
      <c r="A188" s="14" t="n">
        <v>187</v>
      </c>
      <c r="B188" s="15" t="s">
        <v>199</v>
      </c>
      <c r="C188" s="15" t="s">
        <v>293</v>
      </c>
      <c r="D188" s="16" t="s">
        <v>300</v>
      </c>
      <c r="E188" s="16"/>
      <c r="F188" s="15" t="s">
        <v>310</v>
      </c>
      <c r="G188" s="15" t="s">
        <v>296</v>
      </c>
      <c r="H188" s="15" t="s">
        <v>203</v>
      </c>
      <c r="I188" s="17" t="n">
        <v>11.3</v>
      </c>
      <c r="J188" s="16"/>
      <c r="K188" s="15" t="s">
        <v>204</v>
      </c>
      <c r="L188" s="15" t="n">
        <f aca="false">IF(AND(OR(Search!$C$4="",Search!$C$4="All",B188=Search!$C$4),OR(Search!$C$5="",Search!$C$5="All",C188=Search!$C$5),OR(Search!$C$6="",Search!$C$6="All",D188=Search!$C$6),OR(Search!$C$7="",ISNUMBER(SEARCH(Search!$C$7,D188&amp;" "&amp;E188&amp;" "&amp;F188&amp;" "&amp;G188&amp;" "&amp;H188&amp;" "&amp;J188))),OR(Search!$C$8="",ISNUMBER(SEARCH(Search!$C$8,G188)))),1,0)</f>
        <v>1</v>
      </c>
      <c r="M188" s="15" t="n">
        <f aca="false">M187+L188</f>
        <v>187</v>
      </c>
    </row>
    <row r="189" customFormat="false" ht="15" hidden="false" customHeight="false" outlineLevel="0" collapsed="false">
      <c r="A189" s="14" t="n">
        <v>188</v>
      </c>
      <c r="B189" s="15" t="s">
        <v>199</v>
      </c>
      <c r="C189" s="15" t="s">
        <v>293</v>
      </c>
      <c r="D189" s="16" t="s">
        <v>294</v>
      </c>
      <c r="E189" s="16"/>
      <c r="F189" s="15" t="s">
        <v>311</v>
      </c>
      <c r="G189" s="15" t="s">
        <v>296</v>
      </c>
      <c r="H189" s="15" t="s">
        <v>203</v>
      </c>
      <c r="I189" s="17" t="n">
        <v>6.6</v>
      </c>
      <c r="J189" s="16"/>
      <c r="K189" s="15" t="s">
        <v>204</v>
      </c>
      <c r="L189" s="15" t="n">
        <f aca="false">IF(AND(OR(Search!$C$4="",Search!$C$4="All",B189=Search!$C$4),OR(Search!$C$5="",Search!$C$5="All",C189=Search!$C$5),OR(Search!$C$6="",Search!$C$6="All",D189=Search!$C$6),OR(Search!$C$7="",ISNUMBER(SEARCH(Search!$C$7,D189&amp;" "&amp;E189&amp;" "&amp;F189&amp;" "&amp;G189&amp;" "&amp;H189&amp;" "&amp;J189))),OR(Search!$C$8="",ISNUMBER(SEARCH(Search!$C$8,G189)))),1,0)</f>
        <v>1</v>
      </c>
      <c r="M189" s="15" t="n">
        <f aca="false">M188+L189</f>
        <v>188</v>
      </c>
    </row>
    <row r="190" customFormat="false" ht="15" hidden="false" customHeight="false" outlineLevel="0" collapsed="false">
      <c r="A190" s="14" t="n">
        <v>189</v>
      </c>
      <c r="B190" s="15" t="s">
        <v>199</v>
      </c>
      <c r="C190" s="15" t="s">
        <v>293</v>
      </c>
      <c r="D190" s="16" t="s">
        <v>299</v>
      </c>
      <c r="E190" s="16"/>
      <c r="F190" s="15" t="s">
        <v>311</v>
      </c>
      <c r="G190" s="15" t="s">
        <v>296</v>
      </c>
      <c r="H190" s="15" t="s">
        <v>203</v>
      </c>
      <c r="I190" s="17" t="n">
        <v>11.2</v>
      </c>
      <c r="J190" s="16"/>
      <c r="K190" s="15" t="s">
        <v>204</v>
      </c>
      <c r="L190" s="15" t="n">
        <f aca="false">IF(AND(OR(Search!$C$4="",Search!$C$4="All",B190=Search!$C$4),OR(Search!$C$5="",Search!$C$5="All",C190=Search!$C$5),OR(Search!$C$6="",Search!$C$6="All",D190=Search!$C$6),OR(Search!$C$7="",ISNUMBER(SEARCH(Search!$C$7,D190&amp;" "&amp;E190&amp;" "&amp;F190&amp;" "&amp;G190&amp;" "&amp;H190&amp;" "&amp;J190))),OR(Search!$C$8="",ISNUMBER(SEARCH(Search!$C$8,G190)))),1,0)</f>
        <v>1</v>
      </c>
      <c r="M190" s="15" t="n">
        <f aca="false">M189+L190</f>
        <v>189</v>
      </c>
    </row>
    <row r="191" customFormat="false" ht="15" hidden="false" customHeight="false" outlineLevel="0" collapsed="false">
      <c r="A191" s="14" t="n">
        <v>190</v>
      </c>
      <c r="B191" s="15" t="s">
        <v>199</v>
      </c>
      <c r="C191" s="15" t="s">
        <v>293</v>
      </c>
      <c r="D191" s="16" t="s">
        <v>309</v>
      </c>
      <c r="E191" s="16"/>
      <c r="F191" s="15" t="s">
        <v>311</v>
      </c>
      <c r="G191" s="15" t="s">
        <v>296</v>
      </c>
      <c r="H191" s="15" t="s">
        <v>203</v>
      </c>
      <c r="I191" s="17" t="n">
        <v>8.3</v>
      </c>
      <c r="J191" s="16"/>
      <c r="K191" s="15" t="s">
        <v>204</v>
      </c>
      <c r="L191" s="15" t="n">
        <f aca="false">IF(AND(OR(Search!$C$4="",Search!$C$4="All",B191=Search!$C$4),OR(Search!$C$5="",Search!$C$5="All",C191=Search!$C$5),OR(Search!$C$6="",Search!$C$6="All",D191=Search!$C$6),OR(Search!$C$7="",ISNUMBER(SEARCH(Search!$C$7,D191&amp;" "&amp;E191&amp;" "&amp;F191&amp;" "&amp;G191&amp;" "&amp;H191&amp;" "&amp;J191))),OR(Search!$C$8="",ISNUMBER(SEARCH(Search!$C$8,G191)))),1,0)</f>
        <v>1</v>
      </c>
      <c r="M191" s="15" t="n">
        <f aca="false">M190+L191</f>
        <v>190</v>
      </c>
    </row>
    <row r="192" customFormat="false" ht="15" hidden="false" customHeight="false" outlineLevel="0" collapsed="false">
      <c r="A192" s="14" t="n">
        <v>191</v>
      </c>
      <c r="B192" s="15" t="s">
        <v>199</v>
      </c>
      <c r="C192" s="15" t="s">
        <v>293</v>
      </c>
      <c r="D192" s="16" t="s">
        <v>299</v>
      </c>
      <c r="E192" s="16"/>
      <c r="F192" s="15" t="s">
        <v>312</v>
      </c>
      <c r="G192" s="15" t="s">
        <v>296</v>
      </c>
      <c r="H192" s="15" t="s">
        <v>203</v>
      </c>
      <c r="I192" s="17" t="n">
        <v>11.6</v>
      </c>
      <c r="J192" s="16"/>
      <c r="K192" s="15" t="s">
        <v>204</v>
      </c>
      <c r="L192" s="15" t="n">
        <f aca="false">IF(AND(OR(Search!$C$4="",Search!$C$4="All",B192=Search!$C$4),OR(Search!$C$5="",Search!$C$5="All",C192=Search!$C$5),OR(Search!$C$6="",Search!$C$6="All",D192=Search!$C$6),OR(Search!$C$7="",ISNUMBER(SEARCH(Search!$C$7,D192&amp;" "&amp;E192&amp;" "&amp;F192&amp;" "&amp;G192&amp;" "&amp;H192&amp;" "&amp;J192))),OR(Search!$C$8="",ISNUMBER(SEARCH(Search!$C$8,G192)))),1,0)</f>
        <v>1</v>
      </c>
      <c r="M192" s="15" t="n">
        <f aca="false">M191+L192</f>
        <v>191</v>
      </c>
    </row>
    <row r="193" customFormat="false" ht="15" hidden="false" customHeight="false" outlineLevel="0" collapsed="false">
      <c r="A193" s="14" t="n">
        <v>192</v>
      </c>
      <c r="B193" s="15" t="s">
        <v>199</v>
      </c>
      <c r="C193" s="15" t="s">
        <v>293</v>
      </c>
      <c r="D193" s="16" t="s">
        <v>300</v>
      </c>
      <c r="E193" s="16"/>
      <c r="F193" s="15" t="s">
        <v>312</v>
      </c>
      <c r="G193" s="15" t="s">
        <v>296</v>
      </c>
      <c r="H193" s="15" t="s">
        <v>203</v>
      </c>
      <c r="I193" s="17" t="n">
        <v>12.2</v>
      </c>
      <c r="J193" s="16"/>
      <c r="K193" s="15" t="s">
        <v>204</v>
      </c>
      <c r="L193" s="15" t="n">
        <f aca="false">IF(AND(OR(Search!$C$4="",Search!$C$4="All",B193=Search!$C$4),OR(Search!$C$5="",Search!$C$5="All",C193=Search!$C$5),OR(Search!$C$6="",Search!$C$6="All",D193=Search!$C$6),OR(Search!$C$7="",ISNUMBER(SEARCH(Search!$C$7,D193&amp;" "&amp;E193&amp;" "&amp;F193&amp;" "&amp;G193&amp;" "&amp;H193&amp;" "&amp;J193))),OR(Search!$C$8="",ISNUMBER(SEARCH(Search!$C$8,G193)))),1,0)</f>
        <v>1</v>
      </c>
      <c r="M193" s="15" t="n">
        <f aca="false">M192+L193</f>
        <v>192</v>
      </c>
    </row>
    <row r="194" customFormat="false" ht="15" hidden="false" customHeight="false" outlineLevel="0" collapsed="false">
      <c r="A194" s="14" t="n">
        <v>193</v>
      </c>
      <c r="B194" s="15" t="s">
        <v>199</v>
      </c>
      <c r="C194" s="15" t="s">
        <v>293</v>
      </c>
      <c r="D194" s="16" t="s">
        <v>299</v>
      </c>
      <c r="E194" s="16"/>
      <c r="F194" s="15" t="s">
        <v>313</v>
      </c>
      <c r="G194" s="15" t="s">
        <v>296</v>
      </c>
      <c r="H194" s="15" t="s">
        <v>203</v>
      </c>
      <c r="I194" s="17" t="n">
        <v>12</v>
      </c>
      <c r="J194" s="16"/>
      <c r="K194" s="15" t="s">
        <v>204</v>
      </c>
      <c r="L194" s="15" t="n">
        <f aca="false">IF(AND(OR(Search!$C$4="",Search!$C$4="All",B194=Search!$C$4),OR(Search!$C$5="",Search!$C$5="All",C194=Search!$C$5),OR(Search!$C$6="",Search!$C$6="All",D194=Search!$C$6),OR(Search!$C$7="",ISNUMBER(SEARCH(Search!$C$7,D194&amp;" "&amp;E194&amp;" "&amp;F194&amp;" "&amp;G194&amp;" "&amp;H194&amp;" "&amp;J194))),OR(Search!$C$8="",ISNUMBER(SEARCH(Search!$C$8,G194)))),1,0)</f>
        <v>1</v>
      </c>
      <c r="M194" s="15" t="n">
        <f aca="false">M193+L194</f>
        <v>193</v>
      </c>
    </row>
    <row r="195" customFormat="false" ht="15" hidden="false" customHeight="false" outlineLevel="0" collapsed="false">
      <c r="A195" s="14" t="n">
        <v>194</v>
      </c>
      <c r="B195" s="15" t="s">
        <v>199</v>
      </c>
      <c r="C195" s="15" t="s">
        <v>293</v>
      </c>
      <c r="D195" s="16" t="s">
        <v>300</v>
      </c>
      <c r="E195" s="16"/>
      <c r="F195" s="15" t="s">
        <v>313</v>
      </c>
      <c r="G195" s="15" t="s">
        <v>296</v>
      </c>
      <c r="H195" s="15" t="s">
        <v>203</v>
      </c>
      <c r="I195" s="17" t="n">
        <v>12.7</v>
      </c>
      <c r="J195" s="16"/>
      <c r="K195" s="15" t="s">
        <v>204</v>
      </c>
      <c r="L195" s="15" t="n">
        <f aca="false">IF(AND(OR(Search!$C$4="",Search!$C$4="All",B195=Search!$C$4),OR(Search!$C$5="",Search!$C$5="All",C195=Search!$C$5),OR(Search!$C$6="",Search!$C$6="All",D195=Search!$C$6),OR(Search!$C$7="",ISNUMBER(SEARCH(Search!$C$7,D195&amp;" "&amp;E195&amp;" "&amp;F195&amp;" "&amp;G195&amp;" "&amp;H195&amp;" "&amp;J195))),OR(Search!$C$8="",ISNUMBER(SEARCH(Search!$C$8,G195)))),1,0)</f>
        <v>1</v>
      </c>
      <c r="M195" s="15" t="n">
        <f aca="false">M194+L195</f>
        <v>194</v>
      </c>
    </row>
    <row r="196" customFormat="false" ht="15" hidden="false" customHeight="false" outlineLevel="0" collapsed="false">
      <c r="A196" s="14" t="n">
        <v>195</v>
      </c>
      <c r="B196" s="15" t="s">
        <v>199</v>
      </c>
      <c r="C196" s="15" t="s">
        <v>293</v>
      </c>
      <c r="D196" s="16" t="s">
        <v>294</v>
      </c>
      <c r="E196" s="16"/>
      <c r="F196" s="15" t="s">
        <v>314</v>
      </c>
      <c r="G196" s="15" t="s">
        <v>296</v>
      </c>
      <c r="H196" s="15" t="s">
        <v>203</v>
      </c>
      <c r="I196" s="17" t="n">
        <v>7.4</v>
      </c>
      <c r="J196" s="16"/>
      <c r="K196" s="15" t="s">
        <v>204</v>
      </c>
      <c r="L196" s="15" t="n">
        <f aca="false">IF(AND(OR(Search!$C$4="",Search!$C$4="All",B196=Search!$C$4),OR(Search!$C$5="",Search!$C$5="All",C196=Search!$C$5),OR(Search!$C$6="",Search!$C$6="All",D196=Search!$C$6),OR(Search!$C$7="",ISNUMBER(SEARCH(Search!$C$7,D196&amp;" "&amp;E196&amp;" "&amp;F196&amp;" "&amp;G196&amp;" "&amp;H196&amp;" "&amp;J196))),OR(Search!$C$8="",ISNUMBER(SEARCH(Search!$C$8,G196)))),1,0)</f>
        <v>1</v>
      </c>
      <c r="M196" s="15" t="n">
        <f aca="false">M195+L196</f>
        <v>195</v>
      </c>
    </row>
    <row r="197" customFormat="false" ht="15" hidden="false" customHeight="false" outlineLevel="0" collapsed="false">
      <c r="A197" s="14" t="n">
        <v>196</v>
      </c>
      <c r="B197" s="15" t="s">
        <v>199</v>
      </c>
      <c r="C197" s="15" t="s">
        <v>293</v>
      </c>
      <c r="D197" s="16" t="s">
        <v>299</v>
      </c>
      <c r="E197" s="16"/>
      <c r="F197" s="15" t="s">
        <v>314</v>
      </c>
      <c r="G197" s="15" t="s">
        <v>296</v>
      </c>
      <c r="H197" s="15" t="s">
        <v>203</v>
      </c>
      <c r="I197" s="17" t="n">
        <v>12.5</v>
      </c>
      <c r="J197" s="16"/>
      <c r="K197" s="15" t="s">
        <v>204</v>
      </c>
      <c r="L197" s="15" t="n">
        <f aca="false">IF(AND(OR(Search!$C$4="",Search!$C$4="All",B197=Search!$C$4),OR(Search!$C$5="",Search!$C$5="All",C197=Search!$C$5),OR(Search!$C$6="",Search!$C$6="All",D197=Search!$C$6),OR(Search!$C$7="",ISNUMBER(SEARCH(Search!$C$7,D197&amp;" "&amp;E197&amp;" "&amp;F197&amp;" "&amp;G197&amp;" "&amp;H197&amp;" "&amp;J197))),OR(Search!$C$8="",ISNUMBER(SEARCH(Search!$C$8,G197)))),1,0)</f>
        <v>1</v>
      </c>
      <c r="M197" s="15" t="n">
        <f aca="false">M196+L197</f>
        <v>196</v>
      </c>
    </row>
    <row r="198" customFormat="false" ht="15" hidden="false" customHeight="false" outlineLevel="0" collapsed="false">
      <c r="A198" s="14" t="n">
        <v>197</v>
      </c>
      <c r="B198" s="15" t="s">
        <v>199</v>
      </c>
      <c r="C198" s="15" t="s">
        <v>293</v>
      </c>
      <c r="D198" s="16" t="s">
        <v>300</v>
      </c>
      <c r="E198" s="16"/>
      <c r="F198" s="15" t="s">
        <v>314</v>
      </c>
      <c r="G198" s="15" t="s">
        <v>296</v>
      </c>
      <c r="H198" s="15" t="s">
        <v>203</v>
      </c>
      <c r="I198" s="17" t="n">
        <v>13.2</v>
      </c>
      <c r="J198" s="16"/>
      <c r="K198" s="15" t="s">
        <v>204</v>
      </c>
      <c r="L198" s="15" t="n">
        <f aca="false">IF(AND(OR(Search!$C$4="",Search!$C$4="All",B198=Search!$C$4),OR(Search!$C$5="",Search!$C$5="All",C198=Search!$C$5),OR(Search!$C$6="",Search!$C$6="All",D198=Search!$C$6),OR(Search!$C$7="",ISNUMBER(SEARCH(Search!$C$7,D198&amp;" "&amp;E198&amp;" "&amp;F198&amp;" "&amp;G198&amp;" "&amp;H198&amp;" "&amp;J198))),OR(Search!$C$8="",ISNUMBER(SEARCH(Search!$C$8,G198)))),1,0)</f>
        <v>1</v>
      </c>
      <c r="M198" s="15" t="n">
        <f aca="false">M197+L198</f>
        <v>197</v>
      </c>
    </row>
    <row r="199" customFormat="false" ht="15" hidden="false" customHeight="false" outlineLevel="0" collapsed="false">
      <c r="A199" s="14" t="n">
        <v>198</v>
      </c>
      <c r="B199" s="15" t="s">
        <v>199</v>
      </c>
      <c r="C199" s="15" t="s">
        <v>293</v>
      </c>
      <c r="D199" s="16" t="s">
        <v>309</v>
      </c>
      <c r="E199" s="16"/>
      <c r="F199" s="15" t="s">
        <v>314</v>
      </c>
      <c r="G199" s="15" t="s">
        <v>296</v>
      </c>
      <c r="H199" s="15" t="s">
        <v>203</v>
      </c>
      <c r="I199" s="17" t="n">
        <v>9.3</v>
      </c>
      <c r="J199" s="16"/>
      <c r="K199" s="15" t="s">
        <v>204</v>
      </c>
      <c r="L199" s="15" t="n">
        <f aca="false">IF(AND(OR(Search!$C$4="",Search!$C$4="All",B199=Search!$C$4),OR(Search!$C$5="",Search!$C$5="All",C199=Search!$C$5),OR(Search!$C$6="",Search!$C$6="All",D199=Search!$C$6),OR(Search!$C$7="",ISNUMBER(SEARCH(Search!$C$7,D199&amp;" "&amp;E199&amp;" "&amp;F199&amp;" "&amp;G199&amp;" "&amp;H199&amp;" "&amp;J199))),OR(Search!$C$8="",ISNUMBER(SEARCH(Search!$C$8,G199)))),1,0)</f>
        <v>1</v>
      </c>
      <c r="M199" s="15" t="n">
        <f aca="false">M198+L199</f>
        <v>198</v>
      </c>
    </row>
    <row r="200" customFormat="false" ht="15" hidden="false" customHeight="false" outlineLevel="0" collapsed="false">
      <c r="A200" s="14" t="n">
        <v>199</v>
      </c>
      <c r="B200" s="15" t="s">
        <v>199</v>
      </c>
      <c r="C200" s="15" t="s">
        <v>293</v>
      </c>
      <c r="D200" s="16" t="s">
        <v>294</v>
      </c>
      <c r="E200" s="16"/>
      <c r="F200" s="15" t="s">
        <v>315</v>
      </c>
      <c r="G200" s="15" t="s">
        <v>296</v>
      </c>
      <c r="H200" s="15" t="s">
        <v>203</v>
      </c>
      <c r="I200" s="17" t="n">
        <v>7.9</v>
      </c>
      <c r="J200" s="16"/>
      <c r="K200" s="15" t="s">
        <v>204</v>
      </c>
      <c r="L200" s="15" t="n">
        <f aca="false">IF(AND(OR(Search!$C$4="",Search!$C$4="All",B200=Search!$C$4),OR(Search!$C$5="",Search!$C$5="All",C200=Search!$C$5),OR(Search!$C$6="",Search!$C$6="All",D200=Search!$C$6),OR(Search!$C$7="",ISNUMBER(SEARCH(Search!$C$7,D200&amp;" "&amp;E200&amp;" "&amp;F200&amp;" "&amp;G200&amp;" "&amp;H200&amp;" "&amp;J200))),OR(Search!$C$8="",ISNUMBER(SEARCH(Search!$C$8,G200)))),1,0)</f>
        <v>1</v>
      </c>
      <c r="M200" s="15" t="n">
        <f aca="false">M199+L200</f>
        <v>199</v>
      </c>
    </row>
    <row r="201" customFormat="false" ht="15" hidden="false" customHeight="false" outlineLevel="0" collapsed="false">
      <c r="A201" s="14" t="n">
        <v>200</v>
      </c>
      <c r="B201" s="15" t="s">
        <v>199</v>
      </c>
      <c r="C201" s="15" t="s">
        <v>293</v>
      </c>
      <c r="D201" s="16" t="s">
        <v>299</v>
      </c>
      <c r="E201" s="16"/>
      <c r="F201" s="15" t="s">
        <v>315</v>
      </c>
      <c r="G201" s="15" t="s">
        <v>296</v>
      </c>
      <c r="H201" s="15" t="s">
        <v>203</v>
      </c>
      <c r="I201" s="17" t="n">
        <v>13.4</v>
      </c>
      <c r="J201" s="16"/>
      <c r="K201" s="15" t="s">
        <v>204</v>
      </c>
      <c r="L201" s="15" t="n">
        <f aca="false">IF(AND(OR(Search!$C$4="",Search!$C$4="All",B201=Search!$C$4),OR(Search!$C$5="",Search!$C$5="All",C201=Search!$C$5),OR(Search!$C$6="",Search!$C$6="All",D201=Search!$C$6),OR(Search!$C$7="",ISNUMBER(SEARCH(Search!$C$7,D201&amp;" "&amp;E201&amp;" "&amp;F201&amp;" "&amp;G201&amp;" "&amp;H201&amp;" "&amp;J201))),OR(Search!$C$8="",ISNUMBER(SEARCH(Search!$C$8,G201)))),1,0)</f>
        <v>1</v>
      </c>
      <c r="M201" s="15" t="n">
        <f aca="false">M200+L201</f>
        <v>200</v>
      </c>
    </row>
    <row r="202" customFormat="false" ht="15" hidden="false" customHeight="false" outlineLevel="0" collapsed="false">
      <c r="A202" s="14" t="n">
        <v>201</v>
      </c>
      <c r="B202" s="15" t="s">
        <v>199</v>
      </c>
      <c r="C202" s="15" t="s">
        <v>293</v>
      </c>
      <c r="D202" s="16" t="s">
        <v>299</v>
      </c>
      <c r="E202" s="16"/>
      <c r="F202" s="15" t="s">
        <v>316</v>
      </c>
      <c r="G202" s="15" t="s">
        <v>296</v>
      </c>
      <c r="H202" s="15" t="s">
        <v>203</v>
      </c>
      <c r="I202" s="17" t="n">
        <v>13.8</v>
      </c>
      <c r="J202" s="16"/>
      <c r="K202" s="15" t="s">
        <v>204</v>
      </c>
      <c r="L202" s="15" t="n">
        <f aca="false">IF(AND(OR(Search!$C$4="",Search!$C$4="All",B202=Search!$C$4),OR(Search!$C$5="",Search!$C$5="All",C202=Search!$C$5),OR(Search!$C$6="",Search!$C$6="All",D202=Search!$C$6),OR(Search!$C$7="",ISNUMBER(SEARCH(Search!$C$7,D202&amp;" "&amp;E202&amp;" "&amp;F202&amp;" "&amp;G202&amp;" "&amp;H202&amp;" "&amp;J202))),OR(Search!$C$8="",ISNUMBER(SEARCH(Search!$C$8,G202)))),1,0)</f>
        <v>1</v>
      </c>
      <c r="M202" s="15" t="n">
        <f aca="false">M201+L202</f>
        <v>201</v>
      </c>
    </row>
    <row r="203" customFormat="false" ht="15" hidden="false" customHeight="false" outlineLevel="0" collapsed="false">
      <c r="A203" s="14" t="n">
        <v>202</v>
      </c>
      <c r="B203" s="15" t="s">
        <v>199</v>
      </c>
      <c r="C203" s="15" t="s">
        <v>293</v>
      </c>
      <c r="D203" s="16" t="s">
        <v>299</v>
      </c>
      <c r="E203" s="16"/>
      <c r="F203" s="15" t="s">
        <v>317</v>
      </c>
      <c r="G203" s="15" t="s">
        <v>296</v>
      </c>
      <c r="H203" s="15" t="s">
        <v>203</v>
      </c>
      <c r="I203" s="17" t="n">
        <v>14.3</v>
      </c>
      <c r="J203" s="16"/>
      <c r="K203" s="15" t="s">
        <v>204</v>
      </c>
      <c r="L203" s="15" t="n">
        <f aca="false">IF(AND(OR(Search!$C$4="",Search!$C$4="All",B203=Search!$C$4),OR(Search!$C$5="",Search!$C$5="All",C203=Search!$C$5),OR(Search!$C$6="",Search!$C$6="All",D203=Search!$C$6),OR(Search!$C$7="",ISNUMBER(SEARCH(Search!$C$7,D203&amp;" "&amp;E203&amp;" "&amp;F203&amp;" "&amp;G203&amp;" "&amp;H203&amp;" "&amp;J203))),OR(Search!$C$8="",ISNUMBER(SEARCH(Search!$C$8,G203)))),1,0)</f>
        <v>1</v>
      </c>
      <c r="M203" s="15" t="n">
        <f aca="false">M202+L203</f>
        <v>202</v>
      </c>
    </row>
    <row r="204" customFormat="false" ht="15" hidden="false" customHeight="false" outlineLevel="0" collapsed="false">
      <c r="A204" s="14" t="n">
        <v>203</v>
      </c>
      <c r="B204" s="15" t="s">
        <v>199</v>
      </c>
      <c r="C204" s="15" t="s">
        <v>293</v>
      </c>
      <c r="D204" s="16" t="s">
        <v>294</v>
      </c>
      <c r="E204" s="16"/>
      <c r="F204" s="15" t="s">
        <v>318</v>
      </c>
      <c r="G204" s="15" t="s">
        <v>296</v>
      </c>
      <c r="H204" s="15" t="s">
        <v>203</v>
      </c>
      <c r="I204" s="17" t="n">
        <v>8.9</v>
      </c>
      <c r="J204" s="16"/>
      <c r="K204" s="15" t="s">
        <v>204</v>
      </c>
      <c r="L204" s="15" t="n">
        <f aca="false">IF(AND(OR(Search!$C$4="",Search!$C$4="All",B204=Search!$C$4),OR(Search!$C$5="",Search!$C$5="All",C204=Search!$C$5),OR(Search!$C$6="",Search!$C$6="All",D204=Search!$C$6),OR(Search!$C$7="",ISNUMBER(SEARCH(Search!$C$7,D204&amp;" "&amp;E204&amp;" "&amp;F204&amp;" "&amp;G204&amp;" "&amp;H204&amp;" "&amp;J204))),OR(Search!$C$8="",ISNUMBER(SEARCH(Search!$C$8,G204)))),1,0)</f>
        <v>1</v>
      </c>
      <c r="M204" s="15" t="n">
        <f aca="false">M203+L204</f>
        <v>203</v>
      </c>
    </row>
    <row r="205" customFormat="false" ht="15" hidden="false" customHeight="false" outlineLevel="0" collapsed="false">
      <c r="A205" s="14" t="n">
        <v>204</v>
      </c>
      <c r="B205" s="15" t="s">
        <v>199</v>
      </c>
      <c r="C205" s="15" t="s">
        <v>293</v>
      </c>
      <c r="D205" s="16" t="s">
        <v>299</v>
      </c>
      <c r="E205" s="16"/>
      <c r="F205" s="15" t="s">
        <v>318</v>
      </c>
      <c r="G205" s="15" t="s">
        <v>296</v>
      </c>
      <c r="H205" s="15" t="s">
        <v>203</v>
      </c>
      <c r="I205" s="17" t="n">
        <v>15.2</v>
      </c>
      <c r="J205" s="16"/>
      <c r="K205" s="15" t="s">
        <v>204</v>
      </c>
      <c r="L205" s="15" t="n">
        <f aca="false">IF(AND(OR(Search!$C$4="",Search!$C$4="All",B205=Search!$C$4),OR(Search!$C$5="",Search!$C$5="All",C205=Search!$C$5),OR(Search!$C$6="",Search!$C$6="All",D205=Search!$C$6),OR(Search!$C$7="",ISNUMBER(SEARCH(Search!$C$7,D205&amp;" "&amp;E205&amp;" "&amp;F205&amp;" "&amp;G205&amp;" "&amp;H205&amp;" "&amp;J205))),OR(Search!$C$8="",ISNUMBER(SEARCH(Search!$C$8,G205)))),1,0)</f>
        <v>1</v>
      </c>
      <c r="M205" s="15" t="n">
        <f aca="false">M204+L205</f>
        <v>204</v>
      </c>
    </row>
    <row r="206" customFormat="false" ht="15" hidden="false" customHeight="false" outlineLevel="0" collapsed="false">
      <c r="A206" s="14" t="n">
        <v>205</v>
      </c>
      <c r="B206" s="15" t="s">
        <v>199</v>
      </c>
      <c r="C206" s="15" t="s">
        <v>293</v>
      </c>
      <c r="D206" s="16" t="s">
        <v>299</v>
      </c>
      <c r="E206" s="16"/>
      <c r="F206" s="15" t="s">
        <v>319</v>
      </c>
      <c r="G206" s="15" t="s">
        <v>296</v>
      </c>
      <c r="H206" s="15" t="s">
        <v>203</v>
      </c>
      <c r="I206" s="17" t="n">
        <v>15.6</v>
      </c>
      <c r="J206" s="16"/>
      <c r="K206" s="15" t="s">
        <v>204</v>
      </c>
      <c r="L206" s="15" t="n">
        <f aca="false">IF(AND(OR(Search!$C$4="",Search!$C$4="All",B206=Search!$C$4),OR(Search!$C$5="",Search!$C$5="All",C206=Search!$C$5),OR(Search!$C$6="",Search!$C$6="All",D206=Search!$C$6),OR(Search!$C$7="",ISNUMBER(SEARCH(Search!$C$7,D206&amp;" "&amp;E206&amp;" "&amp;F206&amp;" "&amp;G206&amp;" "&amp;H206&amp;" "&amp;J206))),OR(Search!$C$8="",ISNUMBER(SEARCH(Search!$C$8,G206)))),1,0)</f>
        <v>1</v>
      </c>
      <c r="M206" s="15" t="n">
        <f aca="false">M205+L206</f>
        <v>205</v>
      </c>
    </row>
    <row r="207" customFormat="false" ht="15" hidden="false" customHeight="false" outlineLevel="0" collapsed="false">
      <c r="A207" s="14" t="n">
        <v>206</v>
      </c>
      <c r="B207" s="15" t="s">
        <v>199</v>
      </c>
      <c r="C207" s="15" t="s">
        <v>293</v>
      </c>
      <c r="D207" s="16" t="s">
        <v>294</v>
      </c>
      <c r="E207" s="16"/>
      <c r="F207" s="15" t="s">
        <v>320</v>
      </c>
      <c r="G207" s="15" t="s">
        <v>296</v>
      </c>
      <c r="H207" s="15" t="s">
        <v>203</v>
      </c>
      <c r="I207" s="17" t="n">
        <v>10.5</v>
      </c>
      <c r="J207" s="16"/>
      <c r="K207" s="15" t="s">
        <v>204</v>
      </c>
      <c r="L207" s="15" t="n">
        <f aca="false">IF(AND(OR(Search!$C$4="",Search!$C$4="All",B207=Search!$C$4),OR(Search!$C$5="",Search!$C$5="All",C207=Search!$C$5),OR(Search!$C$6="",Search!$C$6="All",D207=Search!$C$6),OR(Search!$C$7="",ISNUMBER(SEARCH(Search!$C$7,D207&amp;" "&amp;E207&amp;" "&amp;F207&amp;" "&amp;G207&amp;" "&amp;H207&amp;" "&amp;J207))),OR(Search!$C$8="",ISNUMBER(SEARCH(Search!$C$8,G207)))),1,0)</f>
        <v>1</v>
      </c>
      <c r="M207" s="15" t="n">
        <f aca="false">M206+L207</f>
        <v>206</v>
      </c>
    </row>
    <row r="208" customFormat="false" ht="15" hidden="false" customHeight="false" outlineLevel="0" collapsed="false">
      <c r="A208" s="14" t="n">
        <v>207</v>
      </c>
      <c r="B208" s="15" t="s">
        <v>199</v>
      </c>
      <c r="C208" s="15" t="s">
        <v>293</v>
      </c>
      <c r="D208" s="16" t="s">
        <v>294</v>
      </c>
      <c r="E208" s="16"/>
      <c r="F208" s="15" t="s">
        <v>321</v>
      </c>
      <c r="G208" s="15" t="s">
        <v>296</v>
      </c>
      <c r="H208" s="15" t="s">
        <v>203</v>
      </c>
      <c r="I208" s="17" t="n">
        <v>13.1</v>
      </c>
      <c r="J208" s="16"/>
      <c r="K208" s="15" t="s">
        <v>204</v>
      </c>
      <c r="L208" s="15" t="n">
        <f aca="false">IF(AND(OR(Search!$C$4="",Search!$C$4="All",B208=Search!$C$4),OR(Search!$C$5="",Search!$C$5="All",C208=Search!$C$5),OR(Search!$C$6="",Search!$C$6="All",D208=Search!$C$6),OR(Search!$C$7="",ISNUMBER(SEARCH(Search!$C$7,D208&amp;" "&amp;E208&amp;" "&amp;F208&amp;" "&amp;G208&amp;" "&amp;H208&amp;" "&amp;J208))),OR(Search!$C$8="",ISNUMBER(SEARCH(Search!$C$8,G208)))),1,0)</f>
        <v>1</v>
      </c>
      <c r="M208" s="15" t="n">
        <f aca="false">M207+L208</f>
        <v>207</v>
      </c>
    </row>
    <row r="209" customFormat="false" ht="15" hidden="false" customHeight="false" outlineLevel="0" collapsed="false">
      <c r="A209" s="14" t="n">
        <v>208</v>
      </c>
      <c r="B209" s="15" t="s">
        <v>199</v>
      </c>
      <c r="C209" s="15" t="s">
        <v>293</v>
      </c>
      <c r="D209" s="16" t="s">
        <v>309</v>
      </c>
      <c r="E209" s="16"/>
      <c r="F209" s="15" t="s">
        <v>321</v>
      </c>
      <c r="G209" s="15" t="s">
        <v>296</v>
      </c>
      <c r="H209" s="15" t="s">
        <v>203</v>
      </c>
      <c r="I209" s="17" t="n">
        <v>16.5</v>
      </c>
      <c r="J209" s="16"/>
      <c r="K209" s="15" t="s">
        <v>204</v>
      </c>
      <c r="L209" s="15" t="n">
        <f aca="false">IF(AND(OR(Search!$C$4="",Search!$C$4="All",B209=Search!$C$4),OR(Search!$C$5="",Search!$C$5="All",C209=Search!$C$5),OR(Search!$C$6="",Search!$C$6="All",D209=Search!$C$6),OR(Search!$C$7="",ISNUMBER(SEARCH(Search!$C$7,D209&amp;" "&amp;E209&amp;" "&amp;F209&amp;" "&amp;G209&amp;" "&amp;H209&amp;" "&amp;J209))),OR(Search!$C$8="",ISNUMBER(SEARCH(Search!$C$8,G209)))),1,0)</f>
        <v>1</v>
      </c>
      <c r="M209" s="15" t="n">
        <f aca="false">M208+L209</f>
        <v>208</v>
      </c>
    </row>
    <row r="210" customFormat="false" ht="15" hidden="false" customHeight="false" outlineLevel="0" collapsed="false">
      <c r="A210" s="14" t="n">
        <v>209</v>
      </c>
      <c r="B210" s="15" t="s">
        <v>199</v>
      </c>
      <c r="C210" s="15" t="s">
        <v>293</v>
      </c>
      <c r="D210" s="16" t="s">
        <v>294</v>
      </c>
      <c r="E210" s="16"/>
      <c r="F210" s="15" t="s">
        <v>322</v>
      </c>
      <c r="G210" s="15" t="s">
        <v>296</v>
      </c>
      <c r="H210" s="15" t="s">
        <v>203</v>
      </c>
      <c r="I210" s="17" t="n">
        <v>15.7</v>
      </c>
      <c r="J210" s="16"/>
      <c r="K210" s="15" t="s">
        <v>204</v>
      </c>
      <c r="L210" s="15" t="n">
        <f aca="false">IF(AND(OR(Search!$C$4="",Search!$C$4="All",B210=Search!$C$4),OR(Search!$C$5="",Search!$C$5="All",C210=Search!$C$5),OR(Search!$C$6="",Search!$C$6="All",D210=Search!$C$6),OR(Search!$C$7="",ISNUMBER(SEARCH(Search!$C$7,D210&amp;" "&amp;E210&amp;" "&amp;F210&amp;" "&amp;G210&amp;" "&amp;H210&amp;" "&amp;J210))),OR(Search!$C$8="",ISNUMBER(SEARCH(Search!$C$8,G210)))),1,0)</f>
        <v>1</v>
      </c>
      <c r="M210" s="15" t="n">
        <f aca="false">M209+L210</f>
        <v>209</v>
      </c>
    </row>
    <row r="211" customFormat="false" ht="35.05" hidden="false" customHeight="false" outlineLevel="0" collapsed="false">
      <c r="A211" s="14" t="n">
        <v>210</v>
      </c>
      <c r="B211" s="15" t="s">
        <v>199</v>
      </c>
      <c r="C211" s="15" t="s">
        <v>293</v>
      </c>
      <c r="D211" s="16" t="s">
        <v>294</v>
      </c>
      <c r="E211" s="16" t="s">
        <v>323</v>
      </c>
      <c r="F211" s="15"/>
      <c r="G211" s="15"/>
      <c r="H211" s="15" t="s">
        <v>324</v>
      </c>
      <c r="I211" s="17" t="n">
        <v>47</v>
      </c>
      <c r="J211" s="16" t="s">
        <v>325</v>
      </c>
      <c r="K211" s="15" t="s">
        <v>204</v>
      </c>
      <c r="L211" s="15" t="n">
        <f aca="false">IF(AND(OR(Search!$C$4="",Search!$C$4="All",B211=Search!$C$4),OR(Search!$C$5="",Search!$C$5="All",C211=Search!$C$5),OR(Search!$C$6="",Search!$C$6="All",D211=Search!$C$6),OR(Search!$C$7="",ISNUMBER(SEARCH(Search!$C$7,D211&amp;" "&amp;E211&amp;" "&amp;F211&amp;" "&amp;G211&amp;" "&amp;H211&amp;" "&amp;J211))),OR(Search!$C$8="",ISNUMBER(SEARCH(Search!$C$8,G211)))),1,0)</f>
        <v>1</v>
      </c>
      <c r="M211" s="15" t="n">
        <f aca="false">M210+L211</f>
        <v>210</v>
      </c>
    </row>
    <row r="212" customFormat="false" ht="35.05" hidden="false" customHeight="false" outlineLevel="0" collapsed="false">
      <c r="A212" s="14" t="n">
        <v>211</v>
      </c>
      <c r="B212" s="15" t="s">
        <v>199</v>
      </c>
      <c r="C212" s="15" t="s">
        <v>293</v>
      </c>
      <c r="D212" s="16" t="s">
        <v>299</v>
      </c>
      <c r="E212" s="16" t="s">
        <v>323</v>
      </c>
      <c r="F212" s="15"/>
      <c r="G212" s="15"/>
      <c r="H212" s="15" t="s">
        <v>324</v>
      </c>
      <c r="I212" s="17" t="n">
        <v>80</v>
      </c>
      <c r="J212" s="16" t="s">
        <v>325</v>
      </c>
      <c r="K212" s="15" t="s">
        <v>204</v>
      </c>
      <c r="L212" s="15" t="n">
        <f aca="false">IF(AND(OR(Search!$C$4="",Search!$C$4="All",B212=Search!$C$4),OR(Search!$C$5="",Search!$C$5="All",C212=Search!$C$5),OR(Search!$C$6="",Search!$C$6="All",D212=Search!$C$6),OR(Search!$C$7="",ISNUMBER(SEARCH(Search!$C$7,D212&amp;" "&amp;E212&amp;" "&amp;F212&amp;" "&amp;G212&amp;" "&amp;H212&amp;" "&amp;J212))),OR(Search!$C$8="",ISNUMBER(SEARCH(Search!$C$8,G212)))),1,0)</f>
        <v>1</v>
      </c>
      <c r="M212" s="15" t="n">
        <f aca="false">M211+L212</f>
        <v>211</v>
      </c>
    </row>
    <row r="213" customFormat="false" ht="35.05" hidden="false" customHeight="false" outlineLevel="0" collapsed="false">
      <c r="A213" s="14" t="n">
        <v>212</v>
      </c>
      <c r="B213" s="15" t="s">
        <v>199</v>
      </c>
      <c r="C213" s="15" t="s">
        <v>293</v>
      </c>
      <c r="D213" s="16" t="s">
        <v>300</v>
      </c>
      <c r="E213" s="16" t="s">
        <v>323</v>
      </c>
      <c r="F213" s="15"/>
      <c r="G213" s="15"/>
      <c r="H213" s="15" t="s">
        <v>324</v>
      </c>
      <c r="I213" s="17" t="n">
        <v>84</v>
      </c>
      <c r="J213" s="16" t="s">
        <v>325</v>
      </c>
      <c r="K213" s="15" t="s">
        <v>204</v>
      </c>
      <c r="L213" s="15" t="n">
        <f aca="false">IF(AND(OR(Search!$C$4="",Search!$C$4="All",B213=Search!$C$4),OR(Search!$C$5="",Search!$C$5="All",C213=Search!$C$5),OR(Search!$C$6="",Search!$C$6="All",D213=Search!$C$6),OR(Search!$C$7="",ISNUMBER(SEARCH(Search!$C$7,D213&amp;" "&amp;E213&amp;" "&amp;F213&amp;" "&amp;G213&amp;" "&amp;H213&amp;" "&amp;J213))),OR(Search!$C$8="",ISNUMBER(SEARCH(Search!$C$8,G213)))),1,0)</f>
        <v>1</v>
      </c>
      <c r="M213" s="15" t="n">
        <f aca="false">M212+L213</f>
        <v>212</v>
      </c>
    </row>
    <row r="214" customFormat="false" ht="35.05" hidden="false" customHeight="false" outlineLevel="0" collapsed="false">
      <c r="A214" s="14" t="n">
        <v>213</v>
      </c>
      <c r="B214" s="15" t="s">
        <v>199</v>
      </c>
      <c r="C214" s="15" t="s">
        <v>293</v>
      </c>
      <c r="D214" s="16" t="s">
        <v>309</v>
      </c>
      <c r="E214" s="16" t="s">
        <v>323</v>
      </c>
      <c r="F214" s="15"/>
      <c r="G214" s="15"/>
      <c r="H214" s="15" t="s">
        <v>324</v>
      </c>
      <c r="I214" s="17" t="n">
        <v>62</v>
      </c>
      <c r="J214" s="16" t="s">
        <v>325</v>
      </c>
      <c r="K214" s="15" t="s">
        <v>204</v>
      </c>
      <c r="L214" s="15" t="n">
        <f aca="false">IF(AND(OR(Search!$C$4="",Search!$C$4="All",B214=Search!$C$4),OR(Search!$C$5="",Search!$C$5="All",C214=Search!$C$5),OR(Search!$C$6="",Search!$C$6="All",D214=Search!$C$6),OR(Search!$C$7="",ISNUMBER(SEARCH(Search!$C$7,D214&amp;" "&amp;E214&amp;" "&amp;F214&amp;" "&amp;G214&amp;" "&amp;H214&amp;" "&amp;J214))),OR(Search!$C$8="",ISNUMBER(SEARCH(Search!$C$8,G214)))),1,0)</f>
        <v>1</v>
      </c>
      <c r="M214" s="15" t="n">
        <f aca="false">M213+L214</f>
        <v>213</v>
      </c>
    </row>
    <row r="215" customFormat="false" ht="15" hidden="false" customHeight="false" outlineLevel="0" collapsed="false">
      <c r="A215" s="14" t="n">
        <v>214</v>
      </c>
      <c r="B215" s="15" t="s">
        <v>199</v>
      </c>
      <c r="C215" s="15" t="s">
        <v>326</v>
      </c>
      <c r="D215" s="16" t="s">
        <v>327</v>
      </c>
      <c r="E215" s="16"/>
      <c r="F215" s="15"/>
      <c r="G215" s="15" t="s">
        <v>164</v>
      </c>
      <c r="H215" s="15" t="s">
        <v>161</v>
      </c>
      <c r="I215" s="17" t="n">
        <v>1550</v>
      </c>
      <c r="J215" s="16"/>
      <c r="K215" s="15" t="s">
        <v>204</v>
      </c>
      <c r="L215" s="15" t="n">
        <f aca="false">IF(AND(OR(Search!$C$4="",Search!$C$4="All",B215=Search!$C$4),OR(Search!$C$5="",Search!$C$5="All",C215=Search!$C$5),OR(Search!$C$6="",Search!$C$6="All",D215=Search!$C$6),OR(Search!$C$7="",ISNUMBER(SEARCH(Search!$C$7,D215&amp;" "&amp;E215&amp;" "&amp;F215&amp;" "&amp;G215&amp;" "&amp;H215&amp;" "&amp;J215))),OR(Search!$C$8="",ISNUMBER(SEARCH(Search!$C$8,G215)))),1,0)</f>
        <v>1</v>
      </c>
      <c r="M215" s="15" t="n">
        <f aca="false">M214+L215</f>
        <v>214</v>
      </c>
    </row>
    <row r="216" customFormat="false" ht="15" hidden="false" customHeight="false" outlineLevel="0" collapsed="false">
      <c r="A216" s="14" t="n">
        <v>215</v>
      </c>
      <c r="B216" s="15" t="s">
        <v>199</v>
      </c>
      <c r="C216" s="15" t="s">
        <v>326</v>
      </c>
      <c r="D216" s="16" t="s">
        <v>327</v>
      </c>
      <c r="E216" s="16"/>
      <c r="F216" s="15"/>
      <c r="G216" s="15" t="s">
        <v>163</v>
      </c>
      <c r="H216" s="15" t="s">
        <v>161</v>
      </c>
      <c r="I216" s="17" t="n">
        <v>1950</v>
      </c>
      <c r="J216" s="16"/>
      <c r="K216" s="15" t="s">
        <v>204</v>
      </c>
      <c r="L216" s="15" t="n">
        <f aca="false">IF(AND(OR(Search!$C$4="",Search!$C$4="All",B216=Search!$C$4),OR(Search!$C$5="",Search!$C$5="All",C216=Search!$C$5),OR(Search!$C$6="",Search!$C$6="All",D216=Search!$C$6),OR(Search!$C$7="",ISNUMBER(SEARCH(Search!$C$7,D216&amp;" "&amp;E216&amp;" "&amp;F216&amp;" "&amp;G216&amp;" "&amp;H216&amp;" "&amp;J216))),OR(Search!$C$8="",ISNUMBER(SEARCH(Search!$C$8,G216)))),1,0)</f>
        <v>1</v>
      </c>
      <c r="M216" s="15" t="n">
        <f aca="false">M215+L216</f>
        <v>215</v>
      </c>
    </row>
    <row r="217" customFormat="false" ht="15" hidden="false" customHeight="false" outlineLevel="0" collapsed="false">
      <c r="A217" s="14" t="n">
        <v>216</v>
      </c>
      <c r="B217" s="15" t="s">
        <v>199</v>
      </c>
      <c r="C217" s="15" t="s">
        <v>326</v>
      </c>
      <c r="D217" s="16" t="s">
        <v>328</v>
      </c>
      <c r="E217" s="16"/>
      <c r="F217" s="15"/>
      <c r="G217" s="15" t="s">
        <v>164</v>
      </c>
      <c r="H217" s="15" t="s">
        <v>161</v>
      </c>
      <c r="I217" s="17" t="n">
        <v>1800</v>
      </c>
      <c r="J217" s="16"/>
      <c r="K217" s="15" t="s">
        <v>204</v>
      </c>
      <c r="L217" s="15" t="n">
        <f aca="false">IF(AND(OR(Search!$C$4="",Search!$C$4="All",B217=Search!$C$4),OR(Search!$C$5="",Search!$C$5="All",C217=Search!$C$5),OR(Search!$C$6="",Search!$C$6="All",D217=Search!$C$6),OR(Search!$C$7="",ISNUMBER(SEARCH(Search!$C$7,D217&amp;" "&amp;E217&amp;" "&amp;F217&amp;" "&amp;G217&amp;" "&amp;H217&amp;" "&amp;J217))),OR(Search!$C$8="",ISNUMBER(SEARCH(Search!$C$8,G217)))),1,0)</f>
        <v>1</v>
      </c>
      <c r="M217" s="15" t="n">
        <f aca="false">M216+L217</f>
        <v>216</v>
      </c>
    </row>
    <row r="218" customFormat="false" ht="15" hidden="false" customHeight="false" outlineLevel="0" collapsed="false">
      <c r="A218" s="14" t="n">
        <v>217</v>
      </c>
      <c r="B218" s="15" t="s">
        <v>199</v>
      </c>
      <c r="C218" s="15" t="s">
        <v>326</v>
      </c>
      <c r="D218" s="16" t="s">
        <v>328</v>
      </c>
      <c r="E218" s="16"/>
      <c r="F218" s="15"/>
      <c r="G218" s="15" t="s">
        <v>163</v>
      </c>
      <c r="H218" s="15" t="s">
        <v>161</v>
      </c>
      <c r="I218" s="17" t="n">
        <v>2250</v>
      </c>
      <c r="J218" s="16"/>
      <c r="K218" s="15" t="s">
        <v>204</v>
      </c>
      <c r="L218" s="15" t="n">
        <f aca="false">IF(AND(OR(Search!$C$4="",Search!$C$4="All",B218=Search!$C$4),OR(Search!$C$5="",Search!$C$5="All",C218=Search!$C$5),OR(Search!$C$6="",Search!$C$6="All",D218=Search!$C$6),OR(Search!$C$7="",ISNUMBER(SEARCH(Search!$C$7,D218&amp;" "&amp;E218&amp;" "&amp;F218&amp;" "&amp;G218&amp;" "&amp;H218&amp;" "&amp;J218))),OR(Search!$C$8="",ISNUMBER(SEARCH(Search!$C$8,G218)))),1,0)</f>
        <v>1</v>
      </c>
      <c r="M218" s="15" t="n">
        <f aca="false">M217+L218</f>
        <v>217</v>
      </c>
    </row>
    <row r="219" customFormat="false" ht="15" hidden="false" customHeight="false" outlineLevel="0" collapsed="false">
      <c r="A219" s="14" t="n">
        <v>218</v>
      </c>
      <c r="B219" s="15" t="s">
        <v>199</v>
      </c>
      <c r="C219" s="15" t="s">
        <v>326</v>
      </c>
      <c r="D219" s="16" t="s">
        <v>329</v>
      </c>
      <c r="E219" s="16"/>
      <c r="F219" s="15"/>
      <c r="G219" s="15" t="s">
        <v>164</v>
      </c>
      <c r="H219" s="15" t="s">
        <v>161</v>
      </c>
      <c r="I219" s="17" t="n">
        <v>1650</v>
      </c>
      <c r="J219" s="16"/>
      <c r="K219" s="15" t="s">
        <v>204</v>
      </c>
      <c r="L219" s="15" t="n">
        <f aca="false">IF(AND(OR(Search!$C$4="",Search!$C$4="All",B219=Search!$C$4),OR(Search!$C$5="",Search!$C$5="All",C219=Search!$C$5),OR(Search!$C$6="",Search!$C$6="All",D219=Search!$C$6),OR(Search!$C$7="",ISNUMBER(SEARCH(Search!$C$7,D219&amp;" "&amp;E219&amp;" "&amp;F219&amp;" "&amp;G219&amp;" "&amp;H219&amp;" "&amp;J219))),OR(Search!$C$8="",ISNUMBER(SEARCH(Search!$C$8,G219)))),1,0)</f>
        <v>1</v>
      </c>
      <c r="M219" s="15" t="n">
        <f aca="false">M218+L219</f>
        <v>218</v>
      </c>
    </row>
    <row r="220" customFormat="false" ht="15" hidden="false" customHeight="false" outlineLevel="0" collapsed="false">
      <c r="A220" s="14" t="n">
        <v>219</v>
      </c>
      <c r="B220" s="15" t="s">
        <v>199</v>
      </c>
      <c r="C220" s="15" t="s">
        <v>326</v>
      </c>
      <c r="D220" s="16" t="s">
        <v>329</v>
      </c>
      <c r="E220" s="16"/>
      <c r="F220" s="15"/>
      <c r="G220" s="15" t="s">
        <v>163</v>
      </c>
      <c r="H220" s="15" t="s">
        <v>161</v>
      </c>
      <c r="I220" s="17" t="n">
        <v>2100</v>
      </c>
      <c r="J220" s="16"/>
      <c r="K220" s="15" t="s">
        <v>204</v>
      </c>
      <c r="L220" s="15" t="n">
        <f aca="false">IF(AND(OR(Search!$C$4="",Search!$C$4="All",B220=Search!$C$4),OR(Search!$C$5="",Search!$C$5="All",C220=Search!$C$5),OR(Search!$C$6="",Search!$C$6="All",D220=Search!$C$6),OR(Search!$C$7="",ISNUMBER(SEARCH(Search!$C$7,D220&amp;" "&amp;E220&amp;" "&amp;F220&amp;" "&amp;G220&amp;" "&amp;H220&amp;" "&amp;J220))),OR(Search!$C$8="",ISNUMBER(SEARCH(Search!$C$8,G220)))),1,0)</f>
        <v>1</v>
      </c>
      <c r="M220" s="15" t="n">
        <f aca="false">M219+L220</f>
        <v>219</v>
      </c>
    </row>
    <row r="221" customFormat="false" ht="15" hidden="false" customHeight="false" outlineLevel="0" collapsed="false">
      <c r="A221" s="14" t="n">
        <v>220</v>
      </c>
      <c r="B221" s="15" t="s">
        <v>199</v>
      </c>
      <c r="C221" s="15" t="s">
        <v>326</v>
      </c>
      <c r="D221" s="16" t="s">
        <v>330</v>
      </c>
      <c r="E221" s="16"/>
      <c r="F221" s="15"/>
      <c r="G221" s="15" t="s">
        <v>164</v>
      </c>
      <c r="H221" s="15" t="s">
        <v>161</v>
      </c>
      <c r="I221" s="17" t="n">
        <v>1550</v>
      </c>
      <c r="J221" s="16"/>
      <c r="K221" s="15" t="s">
        <v>204</v>
      </c>
      <c r="L221" s="15" t="n">
        <f aca="false">IF(AND(OR(Search!$C$4="",Search!$C$4="All",B221=Search!$C$4),OR(Search!$C$5="",Search!$C$5="All",C221=Search!$C$5),OR(Search!$C$6="",Search!$C$6="All",D221=Search!$C$6),OR(Search!$C$7="",ISNUMBER(SEARCH(Search!$C$7,D221&amp;" "&amp;E221&amp;" "&amp;F221&amp;" "&amp;G221&amp;" "&amp;H221&amp;" "&amp;J221))),OR(Search!$C$8="",ISNUMBER(SEARCH(Search!$C$8,G221)))),1,0)</f>
        <v>1</v>
      </c>
      <c r="M221" s="15" t="n">
        <f aca="false">M220+L221</f>
        <v>220</v>
      </c>
    </row>
    <row r="222" customFormat="false" ht="15" hidden="false" customHeight="false" outlineLevel="0" collapsed="false">
      <c r="A222" s="14" t="n">
        <v>221</v>
      </c>
      <c r="B222" s="15" t="s">
        <v>199</v>
      </c>
      <c r="C222" s="15" t="s">
        <v>326</v>
      </c>
      <c r="D222" s="16" t="s">
        <v>330</v>
      </c>
      <c r="E222" s="16"/>
      <c r="F222" s="15"/>
      <c r="G222" s="15" t="s">
        <v>163</v>
      </c>
      <c r="H222" s="15" t="s">
        <v>161</v>
      </c>
      <c r="I222" s="17" t="n">
        <v>1950</v>
      </c>
      <c r="J222" s="16"/>
      <c r="K222" s="15" t="s">
        <v>204</v>
      </c>
      <c r="L222" s="15" t="n">
        <f aca="false">IF(AND(OR(Search!$C$4="",Search!$C$4="All",B222=Search!$C$4),OR(Search!$C$5="",Search!$C$5="All",C222=Search!$C$5),OR(Search!$C$6="",Search!$C$6="All",D222=Search!$C$6),OR(Search!$C$7="",ISNUMBER(SEARCH(Search!$C$7,D222&amp;" "&amp;E222&amp;" "&amp;F222&amp;" "&amp;G222&amp;" "&amp;H222&amp;" "&amp;J222))),OR(Search!$C$8="",ISNUMBER(SEARCH(Search!$C$8,G222)))),1,0)</f>
        <v>1</v>
      </c>
      <c r="M222" s="15" t="n">
        <f aca="false">M221+L222</f>
        <v>221</v>
      </c>
    </row>
    <row r="223" customFormat="false" ht="15" hidden="false" customHeight="false" outlineLevel="0" collapsed="false">
      <c r="A223" s="14" t="n">
        <v>222</v>
      </c>
      <c r="B223" s="15" t="s">
        <v>199</v>
      </c>
      <c r="C223" s="15" t="s">
        <v>331</v>
      </c>
      <c r="D223" s="16" t="s">
        <v>332</v>
      </c>
      <c r="E223" s="16"/>
      <c r="F223" s="15" t="s">
        <v>232</v>
      </c>
      <c r="G223" s="15"/>
      <c r="H223" s="15" t="s">
        <v>161</v>
      </c>
      <c r="I223" s="17" t="n">
        <v>2600</v>
      </c>
      <c r="J223" s="16"/>
      <c r="K223" s="15" t="s">
        <v>204</v>
      </c>
      <c r="L223" s="15" t="n">
        <f aca="false">IF(AND(OR(Search!$C$4="",Search!$C$4="All",B223=Search!$C$4),OR(Search!$C$5="",Search!$C$5="All",C223=Search!$C$5),OR(Search!$C$6="",Search!$C$6="All",D223=Search!$C$6),OR(Search!$C$7="",ISNUMBER(SEARCH(Search!$C$7,D223&amp;" "&amp;E223&amp;" "&amp;F223&amp;" "&amp;G223&amp;" "&amp;H223&amp;" "&amp;J223))),OR(Search!$C$8="",ISNUMBER(SEARCH(Search!$C$8,G223)))),1,0)</f>
        <v>1</v>
      </c>
      <c r="M223" s="15" t="n">
        <f aca="false">M222+L223</f>
        <v>222</v>
      </c>
    </row>
    <row r="224" customFormat="false" ht="15" hidden="false" customHeight="false" outlineLevel="0" collapsed="false">
      <c r="A224" s="14" t="n">
        <v>223</v>
      </c>
      <c r="B224" s="15" t="s">
        <v>199</v>
      </c>
      <c r="C224" s="15" t="s">
        <v>331</v>
      </c>
      <c r="D224" s="16" t="s">
        <v>332</v>
      </c>
      <c r="E224" s="16"/>
      <c r="F224" s="15" t="s">
        <v>333</v>
      </c>
      <c r="G224" s="15"/>
      <c r="H224" s="15" t="s">
        <v>161</v>
      </c>
      <c r="I224" s="17" t="n">
        <v>19</v>
      </c>
      <c r="J224" s="16" t="s">
        <v>334</v>
      </c>
      <c r="K224" s="15" t="s">
        <v>204</v>
      </c>
      <c r="L224" s="15" t="n">
        <f aca="false">IF(AND(OR(Search!$C$4="",Search!$C$4="All",B224=Search!$C$4),OR(Search!$C$5="",Search!$C$5="All",C224=Search!$C$5),OR(Search!$C$6="",Search!$C$6="All",D224=Search!$C$6),OR(Search!$C$7="",ISNUMBER(SEARCH(Search!$C$7,D224&amp;" "&amp;E224&amp;" "&amp;F224&amp;" "&amp;G224&amp;" "&amp;H224&amp;" "&amp;J224))),OR(Search!$C$8="",ISNUMBER(SEARCH(Search!$C$8,G224)))),1,0)</f>
        <v>1</v>
      </c>
      <c r="M224" s="15" t="n">
        <f aca="false">M223+L224</f>
        <v>223</v>
      </c>
    </row>
    <row r="225" customFormat="false" ht="15" hidden="false" customHeight="false" outlineLevel="0" collapsed="false">
      <c r="A225" s="14" t="n">
        <v>224</v>
      </c>
      <c r="B225" s="15" t="s">
        <v>199</v>
      </c>
      <c r="C225" s="15" t="s">
        <v>335</v>
      </c>
      <c r="D225" s="16" t="s">
        <v>336</v>
      </c>
      <c r="E225" s="16"/>
      <c r="F225" s="15"/>
      <c r="G225" s="15" t="s">
        <v>160</v>
      </c>
      <c r="H225" s="15" t="s">
        <v>203</v>
      </c>
      <c r="I225" s="17" t="n">
        <v>13</v>
      </c>
      <c r="J225" s="16"/>
      <c r="K225" s="15" t="s">
        <v>204</v>
      </c>
      <c r="L225" s="15" t="n">
        <f aca="false">IF(AND(OR(Search!$C$4="",Search!$C$4="All",B225=Search!$C$4),OR(Search!$C$5="",Search!$C$5="All",C225=Search!$C$5),OR(Search!$C$6="",Search!$C$6="All",D225=Search!$C$6),OR(Search!$C$7="",ISNUMBER(SEARCH(Search!$C$7,D225&amp;" "&amp;E225&amp;" "&amp;F225&amp;" "&amp;G225&amp;" "&amp;H225&amp;" "&amp;J225))),OR(Search!$C$8="",ISNUMBER(SEARCH(Search!$C$8,G225)))),1,0)</f>
        <v>1</v>
      </c>
      <c r="M225" s="15" t="n">
        <f aca="false">M224+L225</f>
        <v>224</v>
      </c>
    </row>
    <row r="226" customFormat="false" ht="15" hidden="false" customHeight="false" outlineLevel="0" collapsed="false">
      <c r="A226" s="14" t="n">
        <v>225</v>
      </c>
      <c r="B226" s="15" t="s">
        <v>199</v>
      </c>
      <c r="C226" s="15" t="s">
        <v>335</v>
      </c>
      <c r="D226" s="16" t="s">
        <v>337</v>
      </c>
      <c r="E226" s="16"/>
      <c r="F226" s="15"/>
      <c r="G226" s="15" t="s">
        <v>160</v>
      </c>
      <c r="H226" s="15" t="s">
        <v>203</v>
      </c>
      <c r="I226" s="17" t="n">
        <v>14</v>
      </c>
      <c r="J226" s="16"/>
      <c r="K226" s="15" t="s">
        <v>204</v>
      </c>
      <c r="L226" s="15" t="n">
        <f aca="false">IF(AND(OR(Search!$C$4="",Search!$C$4="All",B226=Search!$C$4),OR(Search!$C$5="",Search!$C$5="All",C226=Search!$C$5),OR(Search!$C$6="",Search!$C$6="All",D226=Search!$C$6),OR(Search!$C$7="",ISNUMBER(SEARCH(Search!$C$7,D226&amp;" "&amp;E226&amp;" "&amp;F226&amp;" "&amp;G226&amp;" "&amp;H226&amp;" "&amp;J226))),OR(Search!$C$8="",ISNUMBER(SEARCH(Search!$C$8,G226)))),1,0)</f>
        <v>1</v>
      </c>
      <c r="M226" s="15" t="n">
        <f aca="false">M225+L226</f>
        <v>225</v>
      </c>
    </row>
    <row r="227" customFormat="false" ht="15" hidden="false" customHeight="false" outlineLevel="0" collapsed="false">
      <c r="A227" s="14" t="n">
        <v>226</v>
      </c>
      <c r="B227" s="15" t="s">
        <v>199</v>
      </c>
      <c r="C227" s="15" t="s">
        <v>335</v>
      </c>
      <c r="D227" s="16" t="s">
        <v>338</v>
      </c>
      <c r="E227" s="16"/>
      <c r="F227" s="15"/>
      <c r="G227" s="15" t="s">
        <v>160</v>
      </c>
      <c r="H227" s="15" t="s">
        <v>203</v>
      </c>
      <c r="I227" s="17" t="n">
        <v>15</v>
      </c>
      <c r="J227" s="16"/>
      <c r="K227" s="15" t="s">
        <v>204</v>
      </c>
      <c r="L227" s="15" t="n">
        <f aca="false">IF(AND(OR(Search!$C$4="",Search!$C$4="All",B227=Search!$C$4),OR(Search!$C$5="",Search!$C$5="All",C227=Search!$C$5),OR(Search!$C$6="",Search!$C$6="All",D227=Search!$C$6),OR(Search!$C$7="",ISNUMBER(SEARCH(Search!$C$7,D227&amp;" "&amp;E227&amp;" "&amp;F227&amp;" "&amp;G227&amp;" "&amp;H227&amp;" "&amp;J227))),OR(Search!$C$8="",ISNUMBER(SEARCH(Search!$C$8,G227)))),1,0)</f>
        <v>1</v>
      </c>
      <c r="M227" s="15" t="n">
        <f aca="false">M226+L227</f>
        <v>226</v>
      </c>
    </row>
    <row r="228" customFormat="false" ht="15" hidden="false" customHeight="false" outlineLevel="0" collapsed="false">
      <c r="A228" s="14" t="n">
        <v>227</v>
      </c>
      <c r="B228" s="15" t="s">
        <v>199</v>
      </c>
      <c r="C228" s="15" t="s">
        <v>339</v>
      </c>
      <c r="D228" s="16" t="s">
        <v>340</v>
      </c>
      <c r="E228" s="16"/>
      <c r="F228" s="15" t="s">
        <v>341</v>
      </c>
      <c r="G228" s="15" t="s">
        <v>160</v>
      </c>
      <c r="H228" s="15" t="s">
        <v>161</v>
      </c>
      <c r="I228" s="17" t="n">
        <v>975</v>
      </c>
      <c r="J228" s="16"/>
      <c r="K228" s="15" t="s">
        <v>204</v>
      </c>
      <c r="L228" s="15" t="n">
        <f aca="false">IF(AND(OR(Search!$C$4="",Search!$C$4="All",B228=Search!$C$4),OR(Search!$C$5="",Search!$C$5="All",C228=Search!$C$5),OR(Search!$C$6="",Search!$C$6="All",D228=Search!$C$6),OR(Search!$C$7="",ISNUMBER(SEARCH(Search!$C$7,D228&amp;" "&amp;E228&amp;" "&amp;F228&amp;" "&amp;G228&amp;" "&amp;H228&amp;" "&amp;J228))),OR(Search!$C$8="",ISNUMBER(SEARCH(Search!$C$8,G228)))),1,0)</f>
        <v>1</v>
      </c>
      <c r="M228" s="15" t="n">
        <f aca="false">M227+L228</f>
        <v>227</v>
      </c>
    </row>
    <row r="229" customFormat="false" ht="15" hidden="false" customHeight="false" outlineLevel="0" collapsed="false">
      <c r="A229" s="14" t="n">
        <v>228</v>
      </c>
      <c r="B229" s="15" t="s">
        <v>199</v>
      </c>
      <c r="C229" s="15" t="s">
        <v>339</v>
      </c>
      <c r="D229" s="16" t="s">
        <v>340</v>
      </c>
      <c r="E229" s="16"/>
      <c r="F229" s="15" t="s">
        <v>342</v>
      </c>
      <c r="G229" s="15" t="s">
        <v>160</v>
      </c>
      <c r="H229" s="15" t="s">
        <v>161</v>
      </c>
      <c r="I229" s="17" t="n">
        <v>1125</v>
      </c>
      <c r="J229" s="16"/>
      <c r="K229" s="15" t="s">
        <v>204</v>
      </c>
      <c r="L229" s="15" t="n">
        <f aca="false">IF(AND(OR(Search!$C$4="",Search!$C$4="All",B229=Search!$C$4),OR(Search!$C$5="",Search!$C$5="All",C229=Search!$C$5),OR(Search!$C$6="",Search!$C$6="All",D229=Search!$C$6),OR(Search!$C$7="",ISNUMBER(SEARCH(Search!$C$7,D229&amp;" "&amp;E229&amp;" "&amp;F229&amp;" "&amp;G229&amp;" "&amp;H229&amp;" "&amp;J229))),OR(Search!$C$8="",ISNUMBER(SEARCH(Search!$C$8,G229)))),1,0)</f>
        <v>1</v>
      </c>
      <c r="M229" s="15" t="n">
        <f aca="false">M228+L229</f>
        <v>228</v>
      </c>
    </row>
    <row r="230" customFormat="false" ht="15" hidden="false" customHeight="false" outlineLevel="0" collapsed="false">
      <c r="A230" s="14" t="n">
        <v>229</v>
      </c>
      <c r="B230" s="15" t="s">
        <v>199</v>
      </c>
      <c r="C230" s="15" t="s">
        <v>339</v>
      </c>
      <c r="D230" s="16" t="s">
        <v>340</v>
      </c>
      <c r="E230" s="16"/>
      <c r="F230" s="15" t="s">
        <v>343</v>
      </c>
      <c r="G230" s="15" t="s">
        <v>160</v>
      </c>
      <c r="H230" s="15" t="s">
        <v>161</v>
      </c>
      <c r="I230" s="17" t="n">
        <v>1270</v>
      </c>
      <c r="J230" s="16"/>
      <c r="K230" s="15" t="s">
        <v>204</v>
      </c>
      <c r="L230" s="15" t="n">
        <f aca="false">IF(AND(OR(Search!$C$4="",Search!$C$4="All",B230=Search!$C$4),OR(Search!$C$5="",Search!$C$5="All",C230=Search!$C$5),OR(Search!$C$6="",Search!$C$6="All",D230=Search!$C$6),OR(Search!$C$7="",ISNUMBER(SEARCH(Search!$C$7,D230&amp;" "&amp;E230&amp;" "&amp;F230&amp;" "&amp;G230&amp;" "&amp;H230&amp;" "&amp;J230))),OR(Search!$C$8="",ISNUMBER(SEARCH(Search!$C$8,G230)))),1,0)</f>
        <v>1</v>
      </c>
      <c r="M230" s="15" t="n">
        <f aca="false">M229+L230</f>
        <v>229</v>
      </c>
    </row>
    <row r="231" customFormat="false" ht="15" hidden="false" customHeight="false" outlineLevel="0" collapsed="false">
      <c r="A231" s="14" t="n">
        <v>230</v>
      </c>
      <c r="B231" s="15" t="s">
        <v>199</v>
      </c>
      <c r="C231" s="15" t="s">
        <v>339</v>
      </c>
      <c r="D231" s="16" t="s">
        <v>340</v>
      </c>
      <c r="E231" s="16"/>
      <c r="F231" s="15" t="s">
        <v>344</v>
      </c>
      <c r="G231" s="15" t="s">
        <v>160</v>
      </c>
      <c r="H231" s="15" t="s">
        <v>161</v>
      </c>
      <c r="I231" s="17" t="n">
        <v>1450</v>
      </c>
      <c r="J231" s="16"/>
      <c r="K231" s="15" t="s">
        <v>204</v>
      </c>
      <c r="L231" s="15" t="n">
        <f aca="false">IF(AND(OR(Search!$C$4="",Search!$C$4="All",B231=Search!$C$4),OR(Search!$C$5="",Search!$C$5="All",C231=Search!$C$5),OR(Search!$C$6="",Search!$C$6="All",D231=Search!$C$6),OR(Search!$C$7="",ISNUMBER(SEARCH(Search!$C$7,D231&amp;" "&amp;E231&amp;" "&amp;F231&amp;" "&amp;G231&amp;" "&amp;H231&amp;" "&amp;J231))),OR(Search!$C$8="",ISNUMBER(SEARCH(Search!$C$8,G231)))),1,0)</f>
        <v>1</v>
      </c>
      <c r="M231" s="15" t="n">
        <f aca="false">M230+L231</f>
        <v>230</v>
      </c>
    </row>
    <row r="232" customFormat="false" ht="15" hidden="false" customHeight="false" outlineLevel="0" collapsed="false">
      <c r="A232" s="14" t="n">
        <v>231</v>
      </c>
      <c r="B232" s="15" t="s">
        <v>199</v>
      </c>
      <c r="C232" s="15" t="s">
        <v>339</v>
      </c>
      <c r="D232" s="16" t="s">
        <v>340</v>
      </c>
      <c r="E232" s="16"/>
      <c r="F232" s="15" t="s">
        <v>345</v>
      </c>
      <c r="G232" s="15" t="s">
        <v>160</v>
      </c>
      <c r="H232" s="15" t="s">
        <v>161</v>
      </c>
      <c r="I232" s="17" t="n">
        <v>1350</v>
      </c>
      <c r="J232" s="16"/>
      <c r="K232" s="15" t="s">
        <v>204</v>
      </c>
      <c r="L232" s="15" t="n">
        <f aca="false">IF(AND(OR(Search!$C$4="",Search!$C$4="All",B232=Search!$C$4),OR(Search!$C$5="",Search!$C$5="All",C232=Search!$C$5),OR(Search!$C$6="",Search!$C$6="All",D232=Search!$C$6),OR(Search!$C$7="",ISNUMBER(SEARCH(Search!$C$7,D232&amp;" "&amp;E232&amp;" "&amp;F232&amp;" "&amp;G232&amp;" "&amp;H232&amp;" "&amp;J232))),OR(Search!$C$8="",ISNUMBER(SEARCH(Search!$C$8,G232)))),1,0)</f>
        <v>1</v>
      </c>
      <c r="M232" s="15" t="n">
        <f aca="false">M231+L232</f>
        <v>231</v>
      </c>
    </row>
    <row r="233" customFormat="false" ht="15" hidden="false" customHeight="false" outlineLevel="0" collapsed="false">
      <c r="A233" s="14" t="n">
        <v>232</v>
      </c>
      <c r="B233" s="15" t="s">
        <v>199</v>
      </c>
      <c r="C233" s="15" t="s">
        <v>339</v>
      </c>
      <c r="D233" s="16" t="s">
        <v>340</v>
      </c>
      <c r="E233" s="16"/>
      <c r="F233" s="15" t="s">
        <v>346</v>
      </c>
      <c r="G233" s="15" t="s">
        <v>160</v>
      </c>
      <c r="H233" s="15" t="s">
        <v>161</v>
      </c>
      <c r="I233" s="17" t="n">
        <v>2295</v>
      </c>
      <c r="J233" s="16"/>
      <c r="K233" s="15" t="s">
        <v>204</v>
      </c>
      <c r="L233" s="15" t="n">
        <f aca="false">IF(AND(OR(Search!$C$4="",Search!$C$4="All",B233=Search!$C$4),OR(Search!$C$5="",Search!$C$5="All",C233=Search!$C$5),OR(Search!$C$6="",Search!$C$6="All",D233=Search!$C$6),OR(Search!$C$7="",ISNUMBER(SEARCH(Search!$C$7,D233&amp;" "&amp;E233&amp;" "&amp;F233&amp;" "&amp;G233&amp;" "&amp;H233&amp;" "&amp;J233))),OR(Search!$C$8="",ISNUMBER(SEARCH(Search!$C$8,G233)))),1,0)</f>
        <v>1</v>
      </c>
      <c r="M233" s="15" t="n">
        <f aca="false">M232+L233</f>
        <v>232</v>
      </c>
    </row>
    <row r="234" customFormat="false" ht="15" hidden="false" customHeight="false" outlineLevel="0" collapsed="false">
      <c r="A234" s="14" t="n">
        <v>233</v>
      </c>
      <c r="B234" s="15" t="s">
        <v>347</v>
      </c>
      <c r="C234" s="15" t="s">
        <v>200</v>
      </c>
      <c r="D234" s="16" t="s">
        <v>201</v>
      </c>
      <c r="E234" s="16"/>
      <c r="F234" s="15" t="s">
        <v>202</v>
      </c>
      <c r="G234" s="15"/>
      <c r="H234" s="15" t="s">
        <v>203</v>
      </c>
      <c r="I234" s="17" t="n">
        <v>10</v>
      </c>
      <c r="J234" s="16"/>
      <c r="K234" s="15" t="s">
        <v>348</v>
      </c>
      <c r="L234" s="15" t="n">
        <f aca="false">IF(AND(OR(Search!$C$4="",Search!$C$4="All",B234=Search!$C$4),OR(Search!$C$5="",Search!$C$5="All",C234=Search!$C$5),OR(Search!$C$6="",Search!$C$6="All",D234=Search!$C$6),OR(Search!$C$7="",ISNUMBER(SEARCH(Search!$C$7,D234&amp;" "&amp;E234&amp;" "&amp;F234&amp;" "&amp;G234&amp;" "&amp;H234&amp;" "&amp;J234))),OR(Search!$C$8="",ISNUMBER(SEARCH(Search!$C$8,G234)))),1,0)</f>
        <v>1</v>
      </c>
      <c r="M234" s="15" t="n">
        <f aca="false">M233+L234</f>
        <v>233</v>
      </c>
    </row>
    <row r="235" customFormat="false" ht="15" hidden="false" customHeight="false" outlineLevel="0" collapsed="false">
      <c r="A235" s="14" t="n">
        <v>234</v>
      </c>
      <c r="B235" s="15" t="s">
        <v>347</v>
      </c>
      <c r="C235" s="15" t="s">
        <v>200</v>
      </c>
      <c r="D235" s="16" t="s">
        <v>205</v>
      </c>
      <c r="E235" s="16"/>
      <c r="F235" s="15" t="s">
        <v>202</v>
      </c>
      <c r="G235" s="15"/>
      <c r="H235" s="15" t="s">
        <v>203</v>
      </c>
      <c r="I235" s="17" t="n">
        <v>18.5</v>
      </c>
      <c r="J235" s="16"/>
      <c r="K235" s="15" t="s">
        <v>348</v>
      </c>
      <c r="L235" s="15" t="n">
        <f aca="false">IF(AND(OR(Search!$C$4="",Search!$C$4="All",B235=Search!$C$4),OR(Search!$C$5="",Search!$C$5="All",C235=Search!$C$5),OR(Search!$C$6="",Search!$C$6="All",D235=Search!$C$6),OR(Search!$C$7="",ISNUMBER(SEARCH(Search!$C$7,D235&amp;" "&amp;E235&amp;" "&amp;F235&amp;" "&amp;G235&amp;" "&amp;H235&amp;" "&amp;J235))),OR(Search!$C$8="",ISNUMBER(SEARCH(Search!$C$8,G235)))),1,0)</f>
        <v>1</v>
      </c>
      <c r="M235" s="15" t="n">
        <f aca="false">M234+L235</f>
        <v>234</v>
      </c>
    </row>
    <row r="236" customFormat="false" ht="15" hidden="false" customHeight="false" outlineLevel="0" collapsed="false">
      <c r="A236" s="14" t="n">
        <v>235</v>
      </c>
      <c r="B236" s="15" t="s">
        <v>347</v>
      </c>
      <c r="C236" s="15" t="s">
        <v>200</v>
      </c>
      <c r="D236" s="16" t="s">
        <v>206</v>
      </c>
      <c r="E236" s="16" t="s">
        <v>349</v>
      </c>
      <c r="F236" s="15" t="s">
        <v>202</v>
      </c>
      <c r="G236" s="15"/>
      <c r="H236" s="15" t="s">
        <v>203</v>
      </c>
      <c r="I236" s="17" t="n">
        <v>10.5</v>
      </c>
      <c r="J236" s="16" t="s">
        <v>350</v>
      </c>
      <c r="K236" s="15" t="s">
        <v>348</v>
      </c>
      <c r="L236" s="15" t="n">
        <f aca="false">IF(AND(OR(Search!$C$4="",Search!$C$4="All",B236=Search!$C$4),OR(Search!$C$5="",Search!$C$5="All",C236=Search!$C$5),OR(Search!$C$6="",Search!$C$6="All",D236=Search!$C$6),OR(Search!$C$7="",ISNUMBER(SEARCH(Search!$C$7,D236&amp;" "&amp;E236&amp;" "&amp;F236&amp;" "&amp;G236&amp;" "&amp;H236&amp;" "&amp;J236))),OR(Search!$C$8="",ISNUMBER(SEARCH(Search!$C$8,G236)))),1,0)</f>
        <v>1</v>
      </c>
      <c r="M236" s="15" t="n">
        <f aca="false">M235+L236</f>
        <v>235</v>
      </c>
    </row>
    <row r="237" customFormat="false" ht="15" hidden="false" customHeight="false" outlineLevel="0" collapsed="false">
      <c r="A237" s="14" t="n">
        <v>236</v>
      </c>
      <c r="B237" s="15" t="s">
        <v>347</v>
      </c>
      <c r="C237" s="15" t="s">
        <v>200</v>
      </c>
      <c r="D237" s="16" t="s">
        <v>208</v>
      </c>
      <c r="E237" s="16"/>
      <c r="F237" s="15" t="s">
        <v>202</v>
      </c>
      <c r="G237" s="15"/>
      <c r="H237" s="15" t="s">
        <v>203</v>
      </c>
      <c r="I237" s="17" t="n">
        <v>11.5</v>
      </c>
      <c r="J237" s="16"/>
      <c r="K237" s="15" t="s">
        <v>348</v>
      </c>
      <c r="L237" s="15" t="n">
        <f aca="false">IF(AND(OR(Search!$C$4="",Search!$C$4="All",B237=Search!$C$4),OR(Search!$C$5="",Search!$C$5="All",C237=Search!$C$5),OR(Search!$C$6="",Search!$C$6="All",D237=Search!$C$6),OR(Search!$C$7="",ISNUMBER(SEARCH(Search!$C$7,D237&amp;" "&amp;E237&amp;" "&amp;F237&amp;" "&amp;G237&amp;" "&amp;H237&amp;" "&amp;J237))),OR(Search!$C$8="",ISNUMBER(SEARCH(Search!$C$8,G237)))),1,0)</f>
        <v>1</v>
      </c>
      <c r="M237" s="15" t="n">
        <f aca="false">M236+L237</f>
        <v>236</v>
      </c>
    </row>
    <row r="238" customFormat="false" ht="15" hidden="false" customHeight="false" outlineLevel="0" collapsed="false">
      <c r="A238" s="14" t="n">
        <v>237</v>
      </c>
      <c r="B238" s="15" t="s">
        <v>347</v>
      </c>
      <c r="C238" s="15" t="s">
        <v>200</v>
      </c>
      <c r="D238" s="16" t="s">
        <v>201</v>
      </c>
      <c r="E238" s="16"/>
      <c r="F238" s="15" t="s">
        <v>209</v>
      </c>
      <c r="G238" s="15"/>
      <c r="H238" s="15" t="s">
        <v>203</v>
      </c>
      <c r="I238" s="17" t="n">
        <v>11</v>
      </c>
      <c r="J238" s="16"/>
      <c r="K238" s="15" t="s">
        <v>348</v>
      </c>
      <c r="L238" s="15" t="n">
        <f aca="false">IF(AND(OR(Search!$C$4="",Search!$C$4="All",B238=Search!$C$4),OR(Search!$C$5="",Search!$C$5="All",C238=Search!$C$5),OR(Search!$C$6="",Search!$C$6="All",D238=Search!$C$6),OR(Search!$C$7="",ISNUMBER(SEARCH(Search!$C$7,D238&amp;" "&amp;E238&amp;" "&amp;F238&amp;" "&amp;G238&amp;" "&amp;H238&amp;" "&amp;J238))),OR(Search!$C$8="",ISNUMBER(SEARCH(Search!$C$8,G238)))),1,0)</f>
        <v>1</v>
      </c>
      <c r="M238" s="15" t="n">
        <f aca="false">M237+L238</f>
        <v>237</v>
      </c>
    </row>
    <row r="239" customFormat="false" ht="15" hidden="false" customHeight="false" outlineLevel="0" collapsed="false">
      <c r="A239" s="14" t="n">
        <v>238</v>
      </c>
      <c r="B239" s="15" t="s">
        <v>347</v>
      </c>
      <c r="C239" s="15" t="s">
        <v>200</v>
      </c>
      <c r="D239" s="16" t="s">
        <v>205</v>
      </c>
      <c r="E239" s="16"/>
      <c r="F239" s="15" t="s">
        <v>209</v>
      </c>
      <c r="G239" s="15"/>
      <c r="H239" s="15" t="s">
        <v>203</v>
      </c>
      <c r="I239" s="17" t="n">
        <v>20.5</v>
      </c>
      <c r="J239" s="16"/>
      <c r="K239" s="15" t="s">
        <v>348</v>
      </c>
      <c r="L239" s="15" t="n">
        <f aca="false">IF(AND(OR(Search!$C$4="",Search!$C$4="All",B239=Search!$C$4),OR(Search!$C$5="",Search!$C$5="All",C239=Search!$C$5),OR(Search!$C$6="",Search!$C$6="All",D239=Search!$C$6),OR(Search!$C$7="",ISNUMBER(SEARCH(Search!$C$7,D239&amp;" "&amp;E239&amp;" "&amp;F239&amp;" "&amp;G239&amp;" "&amp;H239&amp;" "&amp;J239))),OR(Search!$C$8="",ISNUMBER(SEARCH(Search!$C$8,G239)))),1,0)</f>
        <v>1</v>
      </c>
      <c r="M239" s="15" t="n">
        <f aca="false">M238+L239</f>
        <v>238</v>
      </c>
    </row>
    <row r="240" customFormat="false" ht="15" hidden="false" customHeight="false" outlineLevel="0" collapsed="false">
      <c r="A240" s="14" t="n">
        <v>239</v>
      </c>
      <c r="B240" s="15" t="s">
        <v>347</v>
      </c>
      <c r="C240" s="15" t="s">
        <v>200</v>
      </c>
      <c r="D240" s="16" t="s">
        <v>206</v>
      </c>
      <c r="E240" s="16" t="s">
        <v>349</v>
      </c>
      <c r="F240" s="15" t="s">
        <v>209</v>
      </c>
      <c r="G240" s="15"/>
      <c r="H240" s="15" t="s">
        <v>203</v>
      </c>
      <c r="I240" s="17" t="n">
        <v>11</v>
      </c>
      <c r="J240" s="16" t="s">
        <v>350</v>
      </c>
      <c r="K240" s="15" t="s">
        <v>348</v>
      </c>
      <c r="L240" s="15" t="n">
        <f aca="false">IF(AND(OR(Search!$C$4="",Search!$C$4="All",B240=Search!$C$4),OR(Search!$C$5="",Search!$C$5="All",C240=Search!$C$5),OR(Search!$C$6="",Search!$C$6="All",D240=Search!$C$6),OR(Search!$C$7="",ISNUMBER(SEARCH(Search!$C$7,D240&amp;" "&amp;E240&amp;" "&amp;F240&amp;" "&amp;G240&amp;" "&amp;H240&amp;" "&amp;J240))),OR(Search!$C$8="",ISNUMBER(SEARCH(Search!$C$8,G240)))),1,0)</f>
        <v>1</v>
      </c>
      <c r="M240" s="15" t="n">
        <f aca="false">M239+L240</f>
        <v>239</v>
      </c>
    </row>
    <row r="241" customFormat="false" ht="15" hidden="false" customHeight="false" outlineLevel="0" collapsed="false">
      <c r="A241" s="14" t="n">
        <v>240</v>
      </c>
      <c r="B241" s="15" t="s">
        <v>347</v>
      </c>
      <c r="C241" s="15" t="s">
        <v>200</v>
      </c>
      <c r="D241" s="16" t="s">
        <v>208</v>
      </c>
      <c r="E241" s="16"/>
      <c r="F241" s="15" t="s">
        <v>209</v>
      </c>
      <c r="G241" s="15"/>
      <c r="H241" s="15" t="s">
        <v>203</v>
      </c>
      <c r="I241" s="17" t="n">
        <v>12</v>
      </c>
      <c r="J241" s="16" t="s">
        <v>351</v>
      </c>
      <c r="K241" s="15" t="s">
        <v>348</v>
      </c>
      <c r="L241" s="15" t="n">
        <f aca="false">IF(AND(OR(Search!$C$4="",Search!$C$4="All",B241=Search!$C$4),OR(Search!$C$5="",Search!$C$5="All",C241=Search!$C$5),OR(Search!$C$6="",Search!$C$6="All",D241=Search!$C$6),OR(Search!$C$7="",ISNUMBER(SEARCH(Search!$C$7,D241&amp;" "&amp;E241&amp;" "&amp;F241&amp;" "&amp;G241&amp;" "&amp;H241&amp;" "&amp;J241))),OR(Search!$C$8="",ISNUMBER(SEARCH(Search!$C$8,G241)))),1,0)</f>
        <v>1</v>
      </c>
      <c r="M241" s="15" t="n">
        <f aca="false">M240+L241</f>
        <v>240</v>
      </c>
    </row>
    <row r="242" customFormat="false" ht="15" hidden="false" customHeight="false" outlineLevel="0" collapsed="false">
      <c r="A242" s="14" t="n">
        <v>241</v>
      </c>
      <c r="B242" s="15" t="s">
        <v>347</v>
      </c>
      <c r="C242" s="15" t="s">
        <v>200</v>
      </c>
      <c r="D242" s="16" t="s">
        <v>201</v>
      </c>
      <c r="E242" s="16"/>
      <c r="F242" s="15" t="s">
        <v>210</v>
      </c>
      <c r="G242" s="15"/>
      <c r="H242" s="15" t="s">
        <v>203</v>
      </c>
      <c r="I242" s="17" t="n">
        <v>13</v>
      </c>
      <c r="J242" s="16"/>
      <c r="K242" s="15" t="s">
        <v>348</v>
      </c>
      <c r="L242" s="15" t="n">
        <f aca="false">IF(AND(OR(Search!$C$4="",Search!$C$4="All",B242=Search!$C$4),OR(Search!$C$5="",Search!$C$5="All",C242=Search!$C$5),OR(Search!$C$6="",Search!$C$6="All",D242=Search!$C$6),OR(Search!$C$7="",ISNUMBER(SEARCH(Search!$C$7,D242&amp;" "&amp;E242&amp;" "&amp;F242&amp;" "&amp;G242&amp;" "&amp;H242&amp;" "&amp;J242))),OR(Search!$C$8="",ISNUMBER(SEARCH(Search!$C$8,G242)))),1,0)</f>
        <v>1</v>
      </c>
      <c r="M242" s="15" t="n">
        <f aca="false">M241+L242</f>
        <v>241</v>
      </c>
    </row>
    <row r="243" customFormat="false" ht="15" hidden="false" customHeight="false" outlineLevel="0" collapsed="false">
      <c r="A243" s="14" t="n">
        <v>242</v>
      </c>
      <c r="B243" s="15" t="s">
        <v>347</v>
      </c>
      <c r="C243" s="15" t="s">
        <v>200</v>
      </c>
      <c r="D243" s="16" t="s">
        <v>205</v>
      </c>
      <c r="E243" s="16"/>
      <c r="F243" s="15" t="s">
        <v>210</v>
      </c>
      <c r="G243" s="15"/>
      <c r="H243" s="15" t="s">
        <v>203</v>
      </c>
      <c r="I243" s="17" t="n">
        <v>24</v>
      </c>
      <c r="J243" s="16"/>
      <c r="K243" s="15" t="s">
        <v>348</v>
      </c>
      <c r="L243" s="15" t="n">
        <f aca="false">IF(AND(OR(Search!$C$4="",Search!$C$4="All",B243=Search!$C$4),OR(Search!$C$5="",Search!$C$5="All",C243=Search!$C$5),OR(Search!$C$6="",Search!$C$6="All",D243=Search!$C$6),OR(Search!$C$7="",ISNUMBER(SEARCH(Search!$C$7,D243&amp;" "&amp;E243&amp;" "&amp;F243&amp;" "&amp;G243&amp;" "&amp;H243&amp;" "&amp;J243))),OR(Search!$C$8="",ISNUMBER(SEARCH(Search!$C$8,G243)))),1,0)</f>
        <v>1</v>
      </c>
      <c r="M243" s="15" t="n">
        <f aca="false">M242+L243</f>
        <v>242</v>
      </c>
    </row>
    <row r="244" customFormat="false" ht="15" hidden="false" customHeight="false" outlineLevel="0" collapsed="false">
      <c r="A244" s="14" t="n">
        <v>243</v>
      </c>
      <c r="B244" s="15" t="s">
        <v>347</v>
      </c>
      <c r="C244" s="15" t="s">
        <v>200</v>
      </c>
      <c r="D244" s="16" t="s">
        <v>206</v>
      </c>
      <c r="E244" s="16" t="s">
        <v>349</v>
      </c>
      <c r="F244" s="15" t="s">
        <v>210</v>
      </c>
      <c r="G244" s="15"/>
      <c r="H244" s="15" t="s">
        <v>203</v>
      </c>
      <c r="I244" s="17" t="n">
        <v>12.5</v>
      </c>
      <c r="J244" s="16" t="s">
        <v>350</v>
      </c>
      <c r="K244" s="15" t="s">
        <v>348</v>
      </c>
      <c r="L244" s="15" t="n">
        <f aca="false">IF(AND(OR(Search!$C$4="",Search!$C$4="All",B244=Search!$C$4),OR(Search!$C$5="",Search!$C$5="All",C244=Search!$C$5),OR(Search!$C$6="",Search!$C$6="All",D244=Search!$C$6),OR(Search!$C$7="",ISNUMBER(SEARCH(Search!$C$7,D244&amp;" "&amp;E244&amp;" "&amp;F244&amp;" "&amp;G244&amp;" "&amp;H244&amp;" "&amp;J244))),OR(Search!$C$8="",ISNUMBER(SEARCH(Search!$C$8,G244)))),1,0)</f>
        <v>1</v>
      </c>
      <c r="M244" s="15" t="n">
        <f aca="false">M243+L244</f>
        <v>243</v>
      </c>
    </row>
    <row r="245" customFormat="false" ht="15" hidden="false" customHeight="false" outlineLevel="0" collapsed="false">
      <c r="A245" s="14" t="n">
        <v>244</v>
      </c>
      <c r="B245" s="15" t="s">
        <v>347</v>
      </c>
      <c r="C245" s="15" t="s">
        <v>200</v>
      </c>
      <c r="D245" s="16" t="s">
        <v>208</v>
      </c>
      <c r="E245" s="16"/>
      <c r="F245" s="15" t="s">
        <v>210</v>
      </c>
      <c r="G245" s="15"/>
      <c r="H245" s="15" t="s">
        <v>203</v>
      </c>
      <c r="I245" s="17" t="n">
        <v>14</v>
      </c>
      <c r="J245" s="16" t="s">
        <v>352</v>
      </c>
      <c r="K245" s="15" t="s">
        <v>348</v>
      </c>
      <c r="L245" s="15" t="n">
        <f aca="false">IF(AND(OR(Search!$C$4="",Search!$C$4="All",B245=Search!$C$4),OR(Search!$C$5="",Search!$C$5="All",C245=Search!$C$5),OR(Search!$C$6="",Search!$C$6="All",D245=Search!$C$6),OR(Search!$C$7="",ISNUMBER(SEARCH(Search!$C$7,D245&amp;" "&amp;E245&amp;" "&amp;F245&amp;" "&amp;G245&amp;" "&amp;H245&amp;" "&amp;J245))),OR(Search!$C$8="",ISNUMBER(SEARCH(Search!$C$8,G245)))),1,0)</f>
        <v>1</v>
      </c>
      <c r="M245" s="15" t="n">
        <f aca="false">M244+L245</f>
        <v>244</v>
      </c>
    </row>
    <row r="246" customFormat="false" ht="15" hidden="false" customHeight="false" outlineLevel="0" collapsed="false">
      <c r="A246" s="14" t="n">
        <v>245</v>
      </c>
      <c r="B246" s="15" t="s">
        <v>347</v>
      </c>
      <c r="C246" s="15" t="s">
        <v>200</v>
      </c>
      <c r="D246" s="16" t="s">
        <v>201</v>
      </c>
      <c r="E246" s="16"/>
      <c r="F246" s="15" t="s">
        <v>212</v>
      </c>
      <c r="G246" s="15"/>
      <c r="H246" s="15" t="s">
        <v>203</v>
      </c>
      <c r="I246" s="17" t="n">
        <v>15.5</v>
      </c>
      <c r="J246" s="16"/>
      <c r="K246" s="15" t="s">
        <v>348</v>
      </c>
      <c r="L246" s="15" t="n">
        <f aca="false">IF(AND(OR(Search!$C$4="",Search!$C$4="All",B246=Search!$C$4),OR(Search!$C$5="",Search!$C$5="All",C246=Search!$C$5),OR(Search!$C$6="",Search!$C$6="All",D246=Search!$C$6),OR(Search!$C$7="",ISNUMBER(SEARCH(Search!$C$7,D246&amp;" "&amp;E246&amp;" "&amp;F246&amp;" "&amp;G246&amp;" "&amp;H246&amp;" "&amp;J246))),OR(Search!$C$8="",ISNUMBER(SEARCH(Search!$C$8,G246)))),1,0)</f>
        <v>1</v>
      </c>
      <c r="M246" s="15" t="n">
        <f aca="false">M245+L246</f>
        <v>245</v>
      </c>
    </row>
    <row r="247" customFormat="false" ht="15" hidden="false" customHeight="false" outlineLevel="0" collapsed="false">
      <c r="A247" s="14" t="n">
        <v>246</v>
      </c>
      <c r="B247" s="15" t="s">
        <v>347</v>
      </c>
      <c r="C247" s="15" t="s">
        <v>200</v>
      </c>
      <c r="D247" s="16" t="s">
        <v>205</v>
      </c>
      <c r="E247" s="16"/>
      <c r="F247" s="15" t="s">
        <v>212</v>
      </c>
      <c r="G247" s="15"/>
      <c r="H247" s="15" t="s">
        <v>203</v>
      </c>
      <c r="I247" s="17" t="n">
        <v>28</v>
      </c>
      <c r="J247" s="16"/>
      <c r="K247" s="15" t="s">
        <v>348</v>
      </c>
      <c r="L247" s="15" t="n">
        <f aca="false">IF(AND(OR(Search!$C$4="",Search!$C$4="All",B247=Search!$C$4),OR(Search!$C$5="",Search!$C$5="All",C247=Search!$C$5),OR(Search!$C$6="",Search!$C$6="All",D247=Search!$C$6),OR(Search!$C$7="",ISNUMBER(SEARCH(Search!$C$7,D247&amp;" "&amp;E247&amp;" "&amp;F247&amp;" "&amp;G247&amp;" "&amp;H247&amp;" "&amp;J247))),OR(Search!$C$8="",ISNUMBER(SEARCH(Search!$C$8,G247)))),1,0)</f>
        <v>1</v>
      </c>
      <c r="M247" s="15" t="n">
        <f aca="false">M246+L247</f>
        <v>246</v>
      </c>
    </row>
    <row r="248" customFormat="false" ht="15" hidden="false" customHeight="false" outlineLevel="0" collapsed="false">
      <c r="A248" s="14" t="n">
        <v>247</v>
      </c>
      <c r="B248" s="15" t="s">
        <v>347</v>
      </c>
      <c r="C248" s="15" t="s">
        <v>200</v>
      </c>
      <c r="D248" s="16" t="s">
        <v>206</v>
      </c>
      <c r="E248" s="16" t="s">
        <v>349</v>
      </c>
      <c r="F248" s="15" t="s">
        <v>212</v>
      </c>
      <c r="G248" s="15"/>
      <c r="H248" s="15" t="s">
        <v>203</v>
      </c>
      <c r="I248" s="17" t="n">
        <v>14</v>
      </c>
      <c r="J248" s="16" t="s">
        <v>350</v>
      </c>
      <c r="K248" s="15" t="s">
        <v>348</v>
      </c>
      <c r="L248" s="15" t="n">
        <f aca="false">IF(AND(OR(Search!$C$4="",Search!$C$4="All",B248=Search!$C$4),OR(Search!$C$5="",Search!$C$5="All",C248=Search!$C$5),OR(Search!$C$6="",Search!$C$6="All",D248=Search!$C$6),OR(Search!$C$7="",ISNUMBER(SEARCH(Search!$C$7,D248&amp;" "&amp;E248&amp;" "&amp;F248&amp;" "&amp;G248&amp;" "&amp;H248&amp;" "&amp;J248))),OR(Search!$C$8="",ISNUMBER(SEARCH(Search!$C$8,G248)))),1,0)</f>
        <v>1</v>
      </c>
      <c r="M248" s="15" t="n">
        <f aca="false">M247+L248</f>
        <v>247</v>
      </c>
    </row>
    <row r="249" customFormat="false" ht="15" hidden="false" customHeight="false" outlineLevel="0" collapsed="false">
      <c r="A249" s="14" t="n">
        <v>248</v>
      </c>
      <c r="B249" s="15" t="s">
        <v>347</v>
      </c>
      <c r="C249" s="15" t="s">
        <v>200</v>
      </c>
      <c r="D249" s="16" t="s">
        <v>208</v>
      </c>
      <c r="E249" s="16"/>
      <c r="F249" s="15" t="s">
        <v>212</v>
      </c>
      <c r="G249" s="15"/>
      <c r="H249" s="15" t="s">
        <v>203</v>
      </c>
      <c r="I249" s="17" t="n">
        <v>15</v>
      </c>
      <c r="J249" s="16" t="s">
        <v>353</v>
      </c>
      <c r="K249" s="15" t="s">
        <v>348</v>
      </c>
      <c r="L249" s="15" t="n">
        <f aca="false">IF(AND(OR(Search!$C$4="",Search!$C$4="All",B249=Search!$C$4),OR(Search!$C$5="",Search!$C$5="All",C249=Search!$C$5),OR(Search!$C$6="",Search!$C$6="All",D249=Search!$C$6),OR(Search!$C$7="",ISNUMBER(SEARCH(Search!$C$7,D249&amp;" "&amp;E249&amp;" "&amp;F249&amp;" "&amp;G249&amp;" "&amp;H249&amp;" "&amp;J249))),OR(Search!$C$8="",ISNUMBER(SEARCH(Search!$C$8,G249)))),1,0)</f>
        <v>1</v>
      </c>
      <c r="M249" s="15" t="n">
        <f aca="false">M248+L249</f>
        <v>248</v>
      </c>
    </row>
    <row r="250" customFormat="false" ht="15" hidden="false" customHeight="false" outlineLevel="0" collapsed="false">
      <c r="A250" s="14" t="n">
        <v>249</v>
      </c>
      <c r="B250" s="15" t="s">
        <v>347</v>
      </c>
      <c r="C250" s="15" t="s">
        <v>200</v>
      </c>
      <c r="D250" s="16" t="s">
        <v>201</v>
      </c>
      <c r="E250" s="16"/>
      <c r="F250" s="15" t="s">
        <v>214</v>
      </c>
      <c r="G250" s="15"/>
      <c r="H250" s="15" t="s">
        <v>203</v>
      </c>
      <c r="I250" s="17" t="n">
        <v>17</v>
      </c>
      <c r="J250" s="16"/>
      <c r="K250" s="15" t="s">
        <v>348</v>
      </c>
      <c r="L250" s="15" t="n">
        <f aca="false">IF(AND(OR(Search!$C$4="",Search!$C$4="All",B250=Search!$C$4),OR(Search!$C$5="",Search!$C$5="All",C250=Search!$C$5),OR(Search!$C$6="",Search!$C$6="All",D250=Search!$C$6),OR(Search!$C$7="",ISNUMBER(SEARCH(Search!$C$7,D250&amp;" "&amp;E250&amp;" "&amp;F250&amp;" "&amp;G250&amp;" "&amp;H250&amp;" "&amp;J250))),OR(Search!$C$8="",ISNUMBER(SEARCH(Search!$C$8,G250)))),1,0)</f>
        <v>1</v>
      </c>
      <c r="M250" s="15" t="n">
        <f aca="false">M249+L250</f>
        <v>249</v>
      </c>
    </row>
    <row r="251" customFormat="false" ht="15" hidden="false" customHeight="false" outlineLevel="0" collapsed="false">
      <c r="A251" s="14" t="n">
        <v>250</v>
      </c>
      <c r="B251" s="15" t="s">
        <v>347</v>
      </c>
      <c r="C251" s="15" t="s">
        <v>200</v>
      </c>
      <c r="D251" s="16" t="s">
        <v>205</v>
      </c>
      <c r="E251" s="16"/>
      <c r="F251" s="15" t="s">
        <v>214</v>
      </c>
      <c r="G251" s="15"/>
      <c r="H251" s="15" t="s">
        <v>203</v>
      </c>
      <c r="I251" s="17" t="n">
        <v>31</v>
      </c>
      <c r="J251" s="16"/>
      <c r="K251" s="15" t="s">
        <v>348</v>
      </c>
      <c r="L251" s="15" t="n">
        <f aca="false">IF(AND(OR(Search!$C$4="",Search!$C$4="All",B251=Search!$C$4),OR(Search!$C$5="",Search!$C$5="All",C251=Search!$C$5),OR(Search!$C$6="",Search!$C$6="All",D251=Search!$C$6),OR(Search!$C$7="",ISNUMBER(SEARCH(Search!$C$7,D251&amp;" "&amp;E251&amp;" "&amp;F251&amp;" "&amp;G251&amp;" "&amp;H251&amp;" "&amp;J251))),OR(Search!$C$8="",ISNUMBER(SEARCH(Search!$C$8,G251)))),1,0)</f>
        <v>1</v>
      </c>
      <c r="M251" s="15" t="n">
        <f aca="false">M250+L251</f>
        <v>250</v>
      </c>
    </row>
    <row r="252" customFormat="false" ht="15" hidden="false" customHeight="false" outlineLevel="0" collapsed="false">
      <c r="A252" s="14" t="n">
        <v>251</v>
      </c>
      <c r="B252" s="15" t="s">
        <v>347</v>
      </c>
      <c r="C252" s="15" t="s">
        <v>200</v>
      </c>
      <c r="D252" s="16" t="s">
        <v>206</v>
      </c>
      <c r="E252" s="16" t="s">
        <v>349</v>
      </c>
      <c r="F252" s="15" t="s">
        <v>214</v>
      </c>
      <c r="G252" s="15"/>
      <c r="H252" s="15" t="s">
        <v>203</v>
      </c>
      <c r="I252" s="17" t="n">
        <v>15.5</v>
      </c>
      <c r="J252" s="16" t="s">
        <v>350</v>
      </c>
      <c r="K252" s="15" t="s">
        <v>348</v>
      </c>
      <c r="L252" s="15" t="n">
        <f aca="false">IF(AND(OR(Search!$C$4="",Search!$C$4="All",B252=Search!$C$4),OR(Search!$C$5="",Search!$C$5="All",C252=Search!$C$5),OR(Search!$C$6="",Search!$C$6="All",D252=Search!$C$6),OR(Search!$C$7="",ISNUMBER(SEARCH(Search!$C$7,D252&amp;" "&amp;E252&amp;" "&amp;F252&amp;" "&amp;G252&amp;" "&amp;H252&amp;" "&amp;J252))),OR(Search!$C$8="",ISNUMBER(SEARCH(Search!$C$8,G252)))),1,0)</f>
        <v>1</v>
      </c>
      <c r="M252" s="15" t="n">
        <f aca="false">M251+L252</f>
        <v>251</v>
      </c>
    </row>
    <row r="253" customFormat="false" ht="15" hidden="false" customHeight="false" outlineLevel="0" collapsed="false">
      <c r="A253" s="14" t="n">
        <v>252</v>
      </c>
      <c r="B253" s="15" t="s">
        <v>347</v>
      </c>
      <c r="C253" s="15" t="s">
        <v>200</v>
      </c>
      <c r="D253" s="16" t="s">
        <v>208</v>
      </c>
      <c r="E253" s="16"/>
      <c r="F253" s="15" t="s">
        <v>214</v>
      </c>
      <c r="G253" s="15"/>
      <c r="H253" s="15" t="s">
        <v>203</v>
      </c>
      <c r="I253" s="17" t="n">
        <v>16</v>
      </c>
      <c r="J253" s="16" t="s">
        <v>354</v>
      </c>
      <c r="K253" s="15" t="s">
        <v>348</v>
      </c>
      <c r="L253" s="15" t="n">
        <f aca="false">IF(AND(OR(Search!$C$4="",Search!$C$4="All",B253=Search!$C$4),OR(Search!$C$5="",Search!$C$5="All",C253=Search!$C$5),OR(Search!$C$6="",Search!$C$6="All",D253=Search!$C$6),OR(Search!$C$7="",ISNUMBER(SEARCH(Search!$C$7,D253&amp;" "&amp;E253&amp;" "&amp;F253&amp;" "&amp;G253&amp;" "&amp;H253&amp;" "&amp;J253))),OR(Search!$C$8="",ISNUMBER(SEARCH(Search!$C$8,G253)))),1,0)</f>
        <v>1</v>
      </c>
      <c r="M253" s="15" t="n">
        <f aca="false">M252+L253</f>
        <v>252</v>
      </c>
    </row>
    <row r="254" customFormat="false" ht="15" hidden="false" customHeight="false" outlineLevel="0" collapsed="false">
      <c r="A254" s="14" t="n">
        <v>253</v>
      </c>
      <c r="B254" s="15" t="s">
        <v>347</v>
      </c>
      <c r="C254" s="15" t="s">
        <v>200</v>
      </c>
      <c r="D254" s="16" t="s">
        <v>208</v>
      </c>
      <c r="E254" s="16"/>
      <c r="F254" s="15" t="s">
        <v>216</v>
      </c>
      <c r="G254" s="15"/>
      <c r="H254" s="15" t="s">
        <v>203</v>
      </c>
      <c r="I254" s="17" t="n">
        <v>17.5</v>
      </c>
      <c r="J254" s="16"/>
      <c r="K254" s="15" t="s">
        <v>348</v>
      </c>
      <c r="L254" s="15" t="n">
        <f aca="false">IF(AND(OR(Search!$C$4="",Search!$C$4="All",B254=Search!$C$4),OR(Search!$C$5="",Search!$C$5="All",C254=Search!$C$5),OR(Search!$C$6="",Search!$C$6="All",D254=Search!$C$6),OR(Search!$C$7="",ISNUMBER(SEARCH(Search!$C$7,D254&amp;" "&amp;E254&amp;" "&amp;F254&amp;" "&amp;G254&amp;" "&amp;H254&amp;" "&amp;J254))),OR(Search!$C$8="",ISNUMBER(SEARCH(Search!$C$8,G254)))),1,0)</f>
        <v>1</v>
      </c>
      <c r="M254" s="15" t="n">
        <f aca="false">M253+L254</f>
        <v>253</v>
      </c>
    </row>
    <row r="255" customFormat="false" ht="15" hidden="false" customHeight="false" outlineLevel="0" collapsed="false">
      <c r="A255" s="14" t="n">
        <v>254</v>
      </c>
      <c r="B255" s="15" t="s">
        <v>347</v>
      </c>
      <c r="C255" s="15" t="s">
        <v>200</v>
      </c>
      <c r="D255" s="16" t="s">
        <v>201</v>
      </c>
      <c r="E255" s="16"/>
      <c r="F255" s="15" t="s">
        <v>217</v>
      </c>
      <c r="G255" s="15"/>
      <c r="H255" s="15" t="s">
        <v>203</v>
      </c>
      <c r="I255" s="17" t="n">
        <v>18.5</v>
      </c>
      <c r="J255" s="16"/>
      <c r="K255" s="15" t="s">
        <v>348</v>
      </c>
      <c r="L255" s="15" t="n">
        <f aca="false">IF(AND(OR(Search!$C$4="",Search!$C$4="All",B255=Search!$C$4),OR(Search!$C$5="",Search!$C$5="All",C255=Search!$C$5),OR(Search!$C$6="",Search!$C$6="All",D255=Search!$C$6),OR(Search!$C$7="",ISNUMBER(SEARCH(Search!$C$7,D255&amp;" "&amp;E255&amp;" "&amp;F255&amp;" "&amp;G255&amp;" "&amp;H255&amp;" "&amp;J255))),OR(Search!$C$8="",ISNUMBER(SEARCH(Search!$C$8,G255)))),1,0)</f>
        <v>1</v>
      </c>
      <c r="M255" s="15" t="n">
        <f aca="false">M254+L255</f>
        <v>254</v>
      </c>
    </row>
    <row r="256" customFormat="false" ht="15" hidden="false" customHeight="false" outlineLevel="0" collapsed="false">
      <c r="A256" s="14" t="n">
        <v>255</v>
      </c>
      <c r="B256" s="15" t="s">
        <v>347</v>
      </c>
      <c r="C256" s="15" t="s">
        <v>200</v>
      </c>
      <c r="D256" s="16" t="s">
        <v>206</v>
      </c>
      <c r="E256" s="16" t="s">
        <v>349</v>
      </c>
      <c r="F256" s="15" t="s">
        <v>217</v>
      </c>
      <c r="G256" s="15"/>
      <c r="H256" s="15" t="s">
        <v>203</v>
      </c>
      <c r="I256" s="17" t="n">
        <v>17.5</v>
      </c>
      <c r="J256" s="16" t="s">
        <v>350</v>
      </c>
      <c r="K256" s="15" t="s">
        <v>348</v>
      </c>
      <c r="L256" s="15" t="n">
        <f aca="false">IF(AND(OR(Search!$C$4="",Search!$C$4="All",B256=Search!$C$4),OR(Search!$C$5="",Search!$C$5="All",C256=Search!$C$5),OR(Search!$C$6="",Search!$C$6="All",D256=Search!$C$6),OR(Search!$C$7="",ISNUMBER(SEARCH(Search!$C$7,D256&amp;" "&amp;E256&amp;" "&amp;F256&amp;" "&amp;G256&amp;" "&amp;H256&amp;" "&amp;J256))),OR(Search!$C$8="",ISNUMBER(SEARCH(Search!$C$8,G256)))),1,0)</f>
        <v>1</v>
      </c>
      <c r="M256" s="15" t="n">
        <f aca="false">M255+L256</f>
        <v>255</v>
      </c>
    </row>
    <row r="257" customFormat="false" ht="15" hidden="false" customHeight="false" outlineLevel="0" collapsed="false">
      <c r="A257" s="14" t="n">
        <v>256</v>
      </c>
      <c r="B257" s="15" t="s">
        <v>347</v>
      </c>
      <c r="C257" s="15" t="s">
        <v>200</v>
      </c>
      <c r="D257" s="16" t="s">
        <v>208</v>
      </c>
      <c r="E257" s="16"/>
      <c r="F257" s="15" t="s">
        <v>217</v>
      </c>
      <c r="G257" s="15"/>
      <c r="H257" s="15" t="s">
        <v>203</v>
      </c>
      <c r="I257" s="17" t="n">
        <v>18.5</v>
      </c>
      <c r="J257" s="16"/>
      <c r="K257" s="15" t="s">
        <v>348</v>
      </c>
      <c r="L257" s="15" t="n">
        <f aca="false">IF(AND(OR(Search!$C$4="",Search!$C$4="All",B257=Search!$C$4),OR(Search!$C$5="",Search!$C$5="All",C257=Search!$C$5),OR(Search!$C$6="",Search!$C$6="All",D257=Search!$C$6),OR(Search!$C$7="",ISNUMBER(SEARCH(Search!$C$7,D257&amp;" "&amp;E257&amp;" "&amp;F257&amp;" "&amp;G257&amp;" "&amp;H257&amp;" "&amp;J257))),OR(Search!$C$8="",ISNUMBER(SEARCH(Search!$C$8,G257)))),1,0)</f>
        <v>1</v>
      </c>
      <c r="M257" s="15" t="n">
        <f aca="false">M256+L257</f>
        <v>256</v>
      </c>
    </row>
    <row r="258" customFormat="false" ht="15" hidden="false" customHeight="false" outlineLevel="0" collapsed="false">
      <c r="A258" s="14" t="n">
        <v>257</v>
      </c>
      <c r="B258" s="15" t="s">
        <v>347</v>
      </c>
      <c r="C258" s="15" t="s">
        <v>200</v>
      </c>
      <c r="D258" s="16" t="s">
        <v>208</v>
      </c>
      <c r="E258" s="16"/>
      <c r="F258" s="15" t="s">
        <v>219</v>
      </c>
      <c r="G258" s="15"/>
      <c r="H258" s="15" t="s">
        <v>203</v>
      </c>
      <c r="I258" s="17" t="n">
        <v>22.5</v>
      </c>
      <c r="J258" s="16"/>
      <c r="K258" s="15" t="s">
        <v>348</v>
      </c>
      <c r="L258" s="15" t="n">
        <f aca="false">IF(AND(OR(Search!$C$4="",Search!$C$4="All",B258=Search!$C$4),OR(Search!$C$5="",Search!$C$5="All",C258=Search!$C$5),OR(Search!$C$6="",Search!$C$6="All",D258=Search!$C$6),OR(Search!$C$7="",ISNUMBER(SEARCH(Search!$C$7,D258&amp;" "&amp;E258&amp;" "&amp;F258&amp;" "&amp;G258&amp;" "&amp;H258&amp;" "&amp;J258))),OR(Search!$C$8="",ISNUMBER(SEARCH(Search!$C$8,G258)))),1,0)</f>
        <v>1</v>
      </c>
      <c r="M258" s="15" t="n">
        <f aca="false">M257+L258</f>
        <v>257</v>
      </c>
    </row>
    <row r="259" customFormat="false" ht="15" hidden="false" customHeight="false" outlineLevel="0" collapsed="false">
      <c r="A259" s="14" t="n">
        <v>258</v>
      </c>
      <c r="B259" s="15" t="s">
        <v>347</v>
      </c>
      <c r="C259" s="15" t="s">
        <v>200</v>
      </c>
      <c r="D259" s="16" t="s">
        <v>220</v>
      </c>
      <c r="E259" s="16" t="s">
        <v>221</v>
      </c>
      <c r="F259" s="15"/>
      <c r="G259" s="15"/>
      <c r="H259" s="15" t="s">
        <v>203</v>
      </c>
      <c r="I259" s="17"/>
      <c r="J259" s="16" t="s">
        <v>355</v>
      </c>
      <c r="K259" s="15" t="s">
        <v>348</v>
      </c>
      <c r="L259" s="15" t="n">
        <f aca="false">IF(AND(OR(Search!$C$4="",Search!$C$4="All",B259=Search!$C$4),OR(Search!$C$5="",Search!$C$5="All",C259=Search!$C$5),OR(Search!$C$6="",Search!$C$6="All",D259=Search!$C$6),OR(Search!$C$7="",ISNUMBER(SEARCH(Search!$C$7,D259&amp;" "&amp;E259&amp;" "&amp;F259&amp;" "&amp;G259&amp;" "&amp;H259&amp;" "&amp;J259))),OR(Search!$C$8="",ISNUMBER(SEARCH(Search!$C$8,G259)))),1,0)</f>
        <v>1</v>
      </c>
      <c r="M259" s="15" t="n">
        <f aca="false">M258+L259</f>
        <v>258</v>
      </c>
    </row>
    <row r="260" customFormat="false" ht="15" hidden="false" customHeight="false" outlineLevel="0" collapsed="false">
      <c r="A260" s="14" t="n">
        <v>259</v>
      </c>
      <c r="B260" s="15" t="s">
        <v>347</v>
      </c>
      <c r="C260" s="15" t="s">
        <v>200</v>
      </c>
      <c r="D260" s="16" t="s">
        <v>223</v>
      </c>
      <c r="E260" s="16" t="s">
        <v>224</v>
      </c>
      <c r="F260" s="15"/>
      <c r="G260" s="15" t="s">
        <v>225</v>
      </c>
      <c r="H260" s="15" t="s">
        <v>203</v>
      </c>
      <c r="I260" s="17"/>
      <c r="J260" s="16" t="s">
        <v>226</v>
      </c>
      <c r="K260" s="15" t="s">
        <v>348</v>
      </c>
      <c r="L260" s="15" t="n">
        <f aca="false">IF(AND(OR(Search!$C$4="",Search!$C$4="All",B260=Search!$C$4),OR(Search!$C$5="",Search!$C$5="All",C260=Search!$C$5),OR(Search!$C$6="",Search!$C$6="All",D260=Search!$C$6),OR(Search!$C$7="",ISNUMBER(SEARCH(Search!$C$7,D260&amp;" "&amp;E260&amp;" "&amp;F260&amp;" "&amp;G260&amp;" "&amp;H260&amp;" "&amp;J260))),OR(Search!$C$8="",ISNUMBER(SEARCH(Search!$C$8,G260)))),1,0)</f>
        <v>1</v>
      </c>
      <c r="M260" s="15" t="n">
        <f aca="false">M259+L260</f>
        <v>259</v>
      </c>
    </row>
    <row r="261" customFormat="false" ht="15" hidden="false" customHeight="false" outlineLevel="0" collapsed="false">
      <c r="A261" s="14" t="n">
        <v>260</v>
      </c>
      <c r="B261" s="15" t="s">
        <v>347</v>
      </c>
      <c r="C261" s="15" t="s">
        <v>200</v>
      </c>
      <c r="D261" s="16" t="s">
        <v>227</v>
      </c>
      <c r="E261" s="16"/>
      <c r="F261" s="15" t="s">
        <v>228</v>
      </c>
      <c r="G261" s="15"/>
      <c r="H261" s="15" t="s">
        <v>203</v>
      </c>
      <c r="I261" s="17" t="n">
        <v>28</v>
      </c>
      <c r="J261" s="16"/>
      <c r="K261" s="15" t="s">
        <v>348</v>
      </c>
      <c r="L261" s="15" t="n">
        <f aca="false">IF(AND(OR(Search!$C$4="",Search!$C$4="All",B261=Search!$C$4),OR(Search!$C$5="",Search!$C$5="All",C261=Search!$C$5),OR(Search!$C$6="",Search!$C$6="All",D261=Search!$C$6),OR(Search!$C$7="",ISNUMBER(SEARCH(Search!$C$7,D261&amp;" "&amp;E261&amp;" "&amp;F261&amp;" "&amp;G261&amp;" "&amp;H261&amp;" "&amp;J261))),OR(Search!$C$8="",ISNUMBER(SEARCH(Search!$C$8,G261)))),1,0)</f>
        <v>1</v>
      </c>
      <c r="M261" s="15" t="n">
        <f aca="false">M260+L261</f>
        <v>260</v>
      </c>
    </row>
    <row r="262" customFormat="false" ht="15" hidden="false" customHeight="false" outlineLevel="0" collapsed="false">
      <c r="A262" s="14" t="n">
        <v>261</v>
      </c>
      <c r="B262" s="15" t="s">
        <v>347</v>
      </c>
      <c r="C262" s="15" t="s">
        <v>229</v>
      </c>
      <c r="D262" s="16" t="s">
        <v>230</v>
      </c>
      <c r="E262" s="16"/>
      <c r="F262" s="15" t="s">
        <v>231</v>
      </c>
      <c r="G262" s="15"/>
      <c r="H262" s="15" t="s">
        <v>197</v>
      </c>
      <c r="I262" s="17" t="n">
        <v>28</v>
      </c>
      <c r="J262" s="16"/>
      <c r="K262" s="15" t="s">
        <v>348</v>
      </c>
      <c r="L262" s="15" t="n">
        <f aca="false">IF(AND(OR(Search!$C$4="",Search!$C$4="All",B262=Search!$C$4),OR(Search!$C$5="",Search!$C$5="All",C262=Search!$C$5),OR(Search!$C$6="",Search!$C$6="All",D262=Search!$C$6),OR(Search!$C$7="",ISNUMBER(SEARCH(Search!$C$7,D262&amp;" "&amp;E262&amp;" "&amp;F262&amp;" "&amp;G262&amp;" "&amp;H262&amp;" "&amp;J262))),OR(Search!$C$8="",ISNUMBER(SEARCH(Search!$C$8,G262)))),1,0)</f>
        <v>1</v>
      </c>
      <c r="M262" s="15" t="n">
        <f aca="false">M261+L262</f>
        <v>261</v>
      </c>
    </row>
    <row r="263" customFormat="false" ht="15" hidden="false" customHeight="false" outlineLevel="0" collapsed="false">
      <c r="A263" s="14" t="n">
        <v>262</v>
      </c>
      <c r="B263" s="15" t="s">
        <v>347</v>
      </c>
      <c r="C263" s="15" t="s">
        <v>229</v>
      </c>
      <c r="D263" s="16" t="s">
        <v>230</v>
      </c>
      <c r="E263" s="16"/>
      <c r="F263" s="15" t="s">
        <v>232</v>
      </c>
      <c r="G263" s="15"/>
      <c r="H263" s="15" t="s">
        <v>197</v>
      </c>
      <c r="I263" s="17" t="n">
        <v>28</v>
      </c>
      <c r="J263" s="16"/>
      <c r="K263" s="15" t="s">
        <v>348</v>
      </c>
      <c r="L263" s="15" t="n">
        <f aca="false">IF(AND(OR(Search!$C$4="",Search!$C$4="All",B263=Search!$C$4),OR(Search!$C$5="",Search!$C$5="All",C263=Search!$C$5),OR(Search!$C$6="",Search!$C$6="All",D263=Search!$C$6),OR(Search!$C$7="",ISNUMBER(SEARCH(Search!$C$7,D263&amp;" "&amp;E263&amp;" "&amp;F263&amp;" "&amp;G263&amp;" "&amp;H263&amp;" "&amp;J263))),OR(Search!$C$8="",ISNUMBER(SEARCH(Search!$C$8,G263)))),1,0)</f>
        <v>1</v>
      </c>
      <c r="M263" s="15" t="n">
        <f aca="false">M262+L263</f>
        <v>262</v>
      </c>
    </row>
    <row r="264" customFormat="false" ht="15" hidden="false" customHeight="false" outlineLevel="0" collapsed="false">
      <c r="A264" s="14" t="n">
        <v>263</v>
      </c>
      <c r="B264" s="15" t="s">
        <v>347</v>
      </c>
      <c r="C264" s="15" t="s">
        <v>229</v>
      </c>
      <c r="D264" s="16" t="s">
        <v>230</v>
      </c>
      <c r="E264" s="16"/>
      <c r="F264" s="15" t="s">
        <v>233</v>
      </c>
      <c r="G264" s="15"/>
      <c r="H264" s="15" t="s">
        <v>197</v>
      </c>
      <c r="I264" s="17" t="n">
        <v>27</v>
      </c>
      <c r="J264" s="16"/>
      <c r="K264" s="15" t="s">
        <v>348</v>
      </c>
      <c r="L264" s="15" t="n">
        <f aca="false">IF(AND(OR(Search!$C$4="",Search!$C$4="All",B264=Search!$C$4),OR(Search!$C$5="",Search!$C$5="All",C264=Search!$C$5),OR(Search!$C$6="",Search!$C$6="All",D264=Search!$C$6),OR(Search!$C$7="",ISNUMBER(SEARCH(Search!$C$7,D264&amp;" "&amp;E264&amp;" "&amp;F264&amp;" "&amp;G264&amp;" "&amp;H264&amp;" "&amp;J264))),OR(Search!$C$8="",ISNUMBER(SEARCH(Search!$C$8,G264)))),1,0)</f>
        <v>1</v>
      </c>
      <c r="M264" s="15" t="n">
        <f aca="false">M263+L264</f>
        <v>263</v>
      </c>
    </row>
    <row r="265" customFormat="false" ht="15" hidden="false" customHeight="false" outlineLevel="0" collapsed="false">
      <c r="A265" s="14" t="n">
        <v>264</v>
      </c>
      <c r="B265" s="15" t="s">
        <v>347</v>
      </c>
      <c r="C265" s="15" t="s">
        <v>229</v>
      </c>
      <c r="D265" s="16" t="s">
        <v>230</v>
      </c>
      <c r="E265" s="16"/>
      <c r="F265" s="15" t="s">
        <v>234</v>
      </c>
      <c r="G265" s="15"/>
      <c r="H265" s="15" t="s">
        <v>197</v>
      </c>
      <c r="I265" s="17" t="n">
        <v>27</v>
      </c>
      <c r="J265" s="16"/>
      <c r="K265" s="15" t="s">
        <v>348</v>
      </c>
      <c r="L265" s="15" t="n">
        <f aca="false">IF(AND(OR(Search!$C$4="",Search!$C$4="All",B265=Search!$C$4),OR(Search!$C$5="",Search!$C$5="All",C265=Search!$C$5),OR(Search!$C$6="",Search!$C$6="All",D265=Search!$C$6),OR(Search!$C$7="",ISNUMBER(SEARCH(Search!$C$7,D265&amp;" "&amp;E265&amp;" "&amp;F265&amp;" "&amp;G265&amp;" "&amp;H265&amp;" "&amp;J265))),OR(Search!$C$8="",ISNUMBER(SEARCH(Search!$C$8,G265)))),1,0)</f>
        <v>1</v>
      </c>
      <c r="M265" s="15" t="n">
        <f aca="false">M264+L265</f>
        <v>264</v>
      </c>
    </row>
    <row r="266" customFormat="false" ht="15" hidden="false" customHeight="false" outlineLevel="0" collapsed="false">
      <c r="A266" s="14" t="n">
        <v>265</v>
      </c>
      <c r="B266" s="15" t="s">
        <v>347</v>
      </c>
      <c r="C266" s="15" t="s">
        <v>229</v>
      </c>
      <c r="D266" s="16" t="s">
        <v>230</v>
      </c>
      <c r="E266" s="16"/>
      <c r="F266" s="15" t="s">
        <v>235</v>
      </c>
      <c r="G266" s="15"/>
      <c r="H266" s="15" t="s">
        <v>197</v>
      </c>
      <c r="I266" s="17" t="n">
        <v>27</v>
      </c>
      <c r="J266" s="16"/>
      <c r="K266" s="15" t="s">
        <v>348</v>
      </c>
      <c r="L266" s="15" t="n">
        <f aca="false">IF(AND(OR(Search!$C$4="",Search!$C$4="All",B266=Search!$C$4),OR(Search!$C$5="",Search!$C$5="All",C266=Search!$C$5),OR(Search!$C$6="",Search!$C$6="All",D266=Search!$C$6),OR(Search!$C$7="",ISNUMBER(SEARCH(Search!$C$7,D266&amp;" "&amp;E266&amp;" "&amp;F266&amp;" "&amp;G266&amp;" "&amp;H266&amp;" "&amp;J266))),OR(Search!$C$8="",ISNUMBER(SEARCH(Search!$C$8,G266)))),1,0)</f>
        <v>1</v>
      </c>
      <c r="M266" s="15" t="n">
        <f aca="false">M265+L266</f>
        <v>265</v>
      </c>
    </row>
    <row r="267" customFormat="false" ht="15" hidden="false" customHeight="false" outlineLevel="0" collapsed="false">
      <c r="A267" s="14" t="n">
        <v>266</v>
      </c>
      <c r="B267" s="15" t="s">
        <v>347</v>
      </c>
      <c r="C267" s="15" t="s">
        <v>229</v>
      </c>
      <c r="D267" s="16" t="s">
        <v>230</v>
      </c>
      <c r="E267" s="16"/>
      <c r="F267" s="15" t="s">
        <v>236</v>
      </c>
      <c r="G267" s="15"/>
      <c r="H267" s="15" t="s">
        <v>197</v>
      </c>
      <c r="I267" s="17" t="n">
        <v>7</v>
      </c>
      <c r="J267" s="16"/>
      <c r="K267" s="15" t="s">
        <v>348</v>
      </c>
      <c r="L267" s="15" t="n">
        <f aca="false">IF(AND(OR(Search!$C$4="",Search!$C$4="All",B267=Search!$C$4),OR(Search!$C$5="",Search!$C$5="All",C267=Search!$C$5),OR(Search!$C$6="",Search!$C$6="All",D267=Search!$C$6),OR(Search!$C$7="",ISNUMBER(SEARCH(Search!$C$7,D267&amp;" "&amp;E267&amp;" "&amp;F267&amp;" "&amp;G267&amp;" "&amp;H267&amp;" "&amp;J267))),OR(Search!$C$8="",ISNUMBER(SEARCH(Search!$C$8,G267)))),1,0)</f>
        <v>1</v>
      </c>
      <c r="M267" s="15" t="n">
        <f aca="false">M266+L267</f>
        <v>266</v>
      </c>
    </row>
    <row r="268" customFormat="false" ht="15" hidden="false" customHeight="false" outlineLevel="0" collapsed="false">
      <c r="A268" s="14" t="n">
        <v>267</v>
      </c>
      <c r="B268" s="15" t="s">
        <v>347</v>
      </c>
      <c r="C268" s="15" t="s">
        <v>229</v>
      </c>
      <c r="D268" s="16" t="s">
        <v>230</v>
      </c>
      <c r="E268" s="16"/>
      <c r="F268" s="15" t="s">
        <v>237</v>
      </c>
      <c r="G268" s="15"/>
      <c r="H268" s="15" t="s">
        <v>197</v>
      </c>
      <c r="I268" s="17" t="n">
        <v>8</v>
      </c>
      <c r="J268" s="16"/>
      <c r="K268" s="15" t="s">
        <v>348</v>
      </c>
      <c r="L268" s="15" t="n">
        <f aca="false">IF(AND(OR(Search!$C$4="",Search!$C$4="All",B268=Search!$C$4),OR(Search!$C$5="",Search!$C$5="All",C268=Search!$C$5),OR(Search!$C$6="",Search!$C$6="All",D268=Search!$C$6),OR(Search!$C$7="",ISNUMBER(SEARCH(Search!$C$7,D268&amp;" "&amp;E268&amp;" "&amp;F268&amp;" "&amp;G268&amp;" "&amp;H268&amp;" "&amp;J268))),OR(Search!$C$8="",ISNUMBER(SEARCH(Search!$C$8,G268)))),1,0)</f>
        <v>1</v>
      </c>
      <c r="M268" s="15" t="n">
        <f aca="false">M267+L268</f>
        <v>267</v>
      </c>
    </row>
    <row r="269" customFormat="false" ht="15" hidden="false" customHeight="false" outlineLevel="0" collapsed="false">
      <c r="A269" s="14" t="n">
        <v>268</v>
      </c>
      <c r="B269" s="15" t="s">
        <v>347</v>
      </c>
      <c r="C269" s="15" t="s">
        <v>229</v>
      </c>
      <c r="D269" s="16" t="s">
        <v>230</v>
      </c>
      <c r="E269" s="16"/>
      <c r="F269" s="15" t="s">
        <v>238</v>
      </c>
      <c r="G269" s="15"/>
      <c r="H269" s="15" t="s">
        <v>197</v>
      </c>
      <c r="I269" s="17" t="n">
        <v>9.5</v>
      </c>
      <c r="J269" s="16"/>
      <c r="K269" s="15" t="s">
        <v>348</v>
      </c>
      <c r="L269" s="15" t="n">
        <f aca="false">IF(AND(OR(Search!$C$4="",Search!$C$4="All",B269=Search!$C$4),OR(Search!$C$5="",Search!$C$5="All",C269=Search!$C$5),OR(Search!$C$6="",Search!$C$6="All",D269=Search!$C$6),OR(Search!$C$7="",ISNUMBER(SEARCH(Search!$C$7,D269&amp;" "&amp;E269&amp;" "&amp;F269&amp;" "&amp;G269&amp;" "&amp;H269&amp;" "&amp;J269))),OR(Search!$C$8="",ISNUMBER(SEARCH(Search!$C$8,G269)))),1,0)</f>
        <v>1</v>
      </c>
      <c r="M269" s="15" t="n">
        <f aca="false">M268+L269</f>
        <v>268</v>
      </c>
    </row>
    <row r="270" customFormat="false" ht="15" hidden="false" customHeight="false" outlineLevel="0" collapsed="false">
      <c r="A270" s="14" t="n">
        <v>269</v>
      </c>
      <c r="B270" s="15" t="s">
        <v>347</v>
      </c>
      <c r="C270" s="15" t="s">
        <v>229</v>
      </c>
      <c r="D270" s="16" t="s">
        <v>230</v>
      </c>
      <c r="E270" s="16"/>
      <c r="F270" s="15" t="s">
        <v>239</v>
      </c>
      <c r="G270" s="15"/>
      <c r="H270" s="15" t="s">
        <v>197</v>
      </c>
      <c r="I270" s="17" t="n">
        <v>10.5</v>
      </c>
      <c r="J270" s="16"/>
      <c r="K270" s="15" t="s">
        <v>348</v>
      </c>
      <c r="L270" s="15" t="n">
        <f aca="false">IF(AND(OR(Search!$C$4="",Search!$C$4="All",B270=Search!$C$4),OR(Search!$C$5="",Search!$C$5="All",C270=Search!$C$5),OR(Search!$C$6="",Search!$C$6="All",D270=Search!$C$6),OR(Search!$C$7="",ISNUMBER(SEARCH(Search!$C$7,D270&amp;" "&amp;E270&amp;" "&amp;F270&amp;" "&amp;G270&amp;" "&amp;H270&amp;" "&amp;J270))),OR(Search!$C$8="",ISNUMBER(SEARCH(Search!$C$8,G270)))),1,0)</f>
        <v>1</v>
      </c>
      <c r="M270" s="15" t="n">
        <f aca="false">M269+L270</f>
        <v>269</v>
      </c>
    </row>
    <row r="271" customFormat="false" ht="15" hidden="false" customHeight="false" outlineLevel="0" collapsed="false">
      <c r="A271" s="14" t="n">
        <v>270</v>
      </c>
      <c r="B271" s="15" t="s">
        <v>347</v>
      </c>
      <c r="C271" s="15" t="s">
        <v>229</v>
      </c>
      <c r="D271" s="16" t="s">
        <v>230</v>
      </c>
      <c r="E271" s="16"/>
      <c r="F271" s="15" t="s">
        <v>240</v>
      </c>
      <c r="G271" s="15"/>
      <c r="H271" s="15" t="s">
        <v>197</v>
      </c>
      <c r="I271" s="17" t="n">
        <v>12.5</v>
      </c>
      <c r="J271" s="16"/>
      <c r="K271" s="15" t="s">
        <v>348</v>
      </c>
      <c r="L271" s="15" t="n">
        <f aca="false">IF(AND(OR(Search!$C$4="",Search!$C$4="All",B271=Search!$C$4),OR(Search!$C$5="",Search!$C$5="All",C271=Search!$C$5),OR(Search!$C$6="",Search!$C$6="All",D271=Search!$C$6),OR(Search!$C$7="",ISNUMBER(SEARCH(Search!$C$7,D271&amp;" "&amp;E271&amp;" "&amp;F271&amp;" "&amp;G271&amp;" "&amp;H271&amp;" "&amp;J271))),OR(Search!$C$8="",ISNUMBER(SEARCH(Search!$C$8,G271)))),1,0)</f>
        <v>1</v>
      </c>
      <c r="M271" s="15" t="n">
        <f aca="false">M270+L271</f>
        <v>270</v>
      </c>
    </row>
    <row r="272" customFormat="false" ht="15" hidden="false" customHeight="false" outlineLevel="0" collapsed="false">
      <c r="A272" s="14" t="n">
        <v>271</v>
      </c>
      <c r="B272" s="15" t="s">
        <v>347</v>
      </c>
      <c r="C272" s="15" t="s">
        <v>229</v>
      </c>
      <c r="D272" s="16" t="s">
        <v>230</v>
      </c>
      <c r="E272" s="16"/>
      <c r="F272" s="15" t="s">
        <v>241</v>
      </c>
      <c r="G272" s="15"/>
      <c r="H272" s="15" t="s">
        <v>197</v>
      </c>
      <c r="I272" s="17" t="n">
        <v>16.5</v>
      </c>
      <c r="J272" s="16"/>
      <c r="K272" s="15" t="s">
        <v>348</v>
      </c>
      <c r="L272" s="15" t="n">
        <f aca="false">IF(AND(OR(Search!$C$4="",Search!$C$4="All",B272=Search!$C$4),OR(Search!$C$5="",Search!$C$5="All",C272=Search!$C$5),OR(Search!$C$6="",Search!$C$6="All",D272=Search!$C$6),OR(Search!$C$7="",ISNUMBER(SEARCH(Search!$C$7,D272&amp;" "&amp;E272&amp;" "&amp;F272&amp;" "&amp;G272&amp;" "&amp;H272&amp;" "&amp;J272))),OR(Search!$C$8="",ISNUMBER(SEARCH(Search!$C$8,G272)))),1,0)</f>
        <v>1</v>
      </c>
      <c r="M272" s="15" t="n">
        <f aca="false">M271+L272</f>
        <v>271</v>
      </c>
    </row>
    <row r="273" customFormat="false" ht="15" hidden="false" customHeight="false" outlineLevel="0" collapsed="false">
      <c r="A273" s="14" t="n">
        <v>272</v>
      </c>
      <c r="B273" s="15" t="s">
        <v>347</v>
      </c>
      <c r="C273" s="15" t="s">
        <v>242</v>
      </c>
      <c r="D273" s="16" t="s">
        <v>243</v>
      </c>
      <c r="E273" s="16"/>
      <c r="F273" s="15" t="s">
        <v>231</v>
      </c>
      <c r="G273" s="15"/>
      <c r="H273" s="15" t="s">
        <v>197</v>
      </c>
      <c r="I273" s="17" t="n">
        <v>31.5</v>
      </c>
      <c r="J273" s="16"/>
      <c r="K273" s="15" t="s">
        <v>348</v>
      </c>
      <c r="L273" s="15" t="n">
        <f aca="false">IF(AND(OR(Search!$C$4="",Search!$C$4="All",B273=Search!$C$4),OR(Search!$C$5="",Search!$C$5="All",C273=Search!$C$5),OR(Search!$C$6="",Search!$C$6="All",D273=Search!$C$6),OR(Search!$C$7="",ISNUMBER(SEARCH(Search!$C$7,D273&amp;" "&amp;E273&amp;" "&amp;F273&amp;" "&amp;G273&amp;" "&amp;H273&amp;" "&amp;J273))),OR(Search!$C$8="",ISNUMBER(SEARCH(Search!$C$8,G273)))),1,0)</f>
        <v>1</v>
      </c>
      <c r="M273" s="15" t="n">
        <f aca="false">M272+L273</f>
        <v>272</v>
      </c>
    </row>
    <row r="274" customFormat="false" ht="15" hidden="false" customHeight="false" outlineLevel="0" collapsed="false">
      <c r="A274" s="14" t="n">
        <v>273</v>
      </c>
      <c r="B274" s="15" t="s">
        <v>347</v>
      </c>
      <c r="C274" s="15" t="s">
        <v>242</v>
      </c>
      <c r="D274" s="16" t="s">
        <v>243</v>
      </c>
      <c r="E274" s="16"/>
      <c r="F274" s="15" t="s">
        <v>232</v>
      </c>
      <c r="G274" s="15"/>
      <c r="H274" s="15" t="s">
        <v>197</v>
      </c>
      <c r="I274" s="17" t="n">
        <v>33</v>
      </c>
      <c r="J274" s="16"/>
      <c r="K274" s="15" t="s">
        <v>348</v>
      </c>
      <c r="L274" s="15" t="n">
        <f aca="false">IF(AND(OR(Search!$C$4="",Search!$C$4="All",B274=Search!$C$4),OR(Search!$C$5="",Search!$C$5="All",C274=Search!$C$5),OR(Search!$C$6="",Search!$C$6="All",D274=Search!$C$6),OR(Search!$C$7="",ISNUMBER(SEARCH(Search!$C$7,D274&amp;" "&amp;E274&amp;" "&amp;F274&amp;" "&amp;G274&amp;" "&amp;H274&amp;" "&amp;J274))),OR(Search!$C$8="",ISNUMBER(SEARCH(Search!$C$8,G274)))),1,0)</f>
        <v>1</v>
      </c>
      <c r="M274" s="15" t="n">
        <f aca="false">M273+L274</f>
        <v>273</v>
      </c>
    </row>
    <row r="275" customFormat="false" ht="15" hidden="false" customHeight="false" outlineLevel="0" collapsed="false">
      <c r="A275" s="14" t="n">
        <v>274</v>
      </c>
      <c r="B275" s="15" t="s">
        <v>347</v>
      </c>
      <c r="C275" s="15" t="s">
        <v>166</v>
      </c>
      <c r="D275" s="16" t="s">
        <v>244</v>
      </c>
      <c r="E275" s="16"/>
      <c r="F275" s="15" t="s">
        <v>245</v>
      </c>
      <c r="G275" s="15"/>
      <c r="H275" s="15" t="s">
        <v>197</v>
      </c>
      <c r="I275" s="17" t="n">
        <v>29</v>
      </c>
      <c r="J275" s="16"/>
      <c r="K275" s="15" t="s">
        <v>348</v>
      </c>
      <c r="L275" s="15" t="n">
        <f aca="false">IF(AND(OR(Search!$C$4="",Search!$C$4="All",B275=Search!$C$4),OR(Search!$C$5="",Search!$C$5="All",C275=Search!$C$5),OR(Search!$C$6="",Search!$C$6="All",D275=Search!$C$6),OR(Search!$C$7="",ISNUMBER(SEARCH(Search!$C$7,D275&amp;" "&amp;E275&amp;" "&amp;F275&amp;" "&amp;G275&amp;" "&amp;H275&amp;" "&amp;J275))),OR(Search!$C$8="",ISNUMBER(SEARCH(Search!$C$8,G275)))),1,0)</f>
        <v>1</v>
      </c>
      <c r="M275" s="15" t="n">
        <f aca="false">M274+L275</f>
        <v>274</v>
      </c>
    </row>
    <row r="276" customFormat="false" ht="15" hidden="false" customHeight="false" outlineLevel="0" collapsed="false">
      <c r="A276" s="14" t="n">
        <v>275</v>
      </c>
      <c r="B276" s="15" t="s">
        <v>347</v>
      </c>
      <c r="C276" s="15" t="s">
        <v>166</v>
      </c>
      <c r="D276" s="16" t="s">
        <v>244</v>
      </c>
      <c r="E276" s="16"/>
      <c r="F276" s="15" t="s">
        <v>246</v>
      </c>
      <c r="G276" s="15"/>
      <c r="H276" s="15" t="s">
        <v>197</v>
      </c>
      <c r="I276" s="17" t="n">
        <v>27</v>
      </c>
      <c r="J276" s="16"/>
      <c r="K276" s="15" t="s">
        <v>348</v>
      </c>
      <c r="L276" s="15" t="n">
        <f aca="false">IF(AND(OR(Search!$C$4="",Search!$C$4="All",B276=Search!$C$4),OR(Search!$C$5="",Search!$C$5="All",C276=Search!$C$5),OR(Search!$C$6="",Search!$C$6="All",D276=Search!$C$6),OR(Search!$C$7="",ISNUMBER(SEARCH(Search!$C$7,D276&amp;" "&amp;E276&amp;" "&amp;F276&amp;" "&amp;G276&amp;" "&amp;H276&amp;" "&amp;J276))),OR(Search!$C$8="",ISNUMBER(SEARCH(Search!$C$8,G276)))),1,0)</f>
        <v>1</v>
      </c>
      <c r="M276" s="15" t="n">
        <f aca="false">M275+L276</f>
        <v>275</v>
      </c>
    </row>
    <row r="277" customFormat="false" ht="15" hidden="false" customHeight="false" outlineLevel="0" collapsed="false">
      <c r="A277" s="14" t="n">
        <v>276</v>
      </c>
      <c r="B277" s="15" t="s">
        <v>347</v>
      </c>
      <c r="C277" s="15" t="s">
        <v>166</v>
      </c>
      <c r="D277" s="16" t="s">
        <v>244</v>
      </c>
      <c r="E277" s="16"/>
      <c r="F277" s="15" t="s">
        <v>247</v>
      </c>
      <c r="G277" s="15"/>
      <c r="H277" s="15" t="s">
        <v>197</v>
      </c>
      <c r="I277" s="17" t="n">
        <v>27</v>
      </c>
      <c r="J277" s="16"/>
      <c r="K277" s="15" t="s">
        <v>348</v>
      </c>
      <c r="L277" s="15" t="n">
        <f aca="false">IF(AND(OR(Search!$C$4="",Search!$C$4="All",B277=Search!$C$4),OR(Search!$C$5="",Search!$C$5="All",C277=Search!$C$5),OR(Search!$C$6="",Search!$C$6="All",D277=Search!$C$6),OR(Search!$C$7="",ISNUMBER(SEARCH(Search!$C$7,D277&amp;" "&amp;E277&amp;" "&amp;F277&amp;" "&amp;G277&amp;" "&amp;H277&amp;" "&amp;J277))),OR(Search!$C$8="",ISNUMBER(SEARCH(Search!$C$8,G277)))),1,0)</f>
        <v>1</v>
      </c>
      <c r="M277" s="15" t="n">
        <f aca="false">M276+L277</f>
        <v>276</v>
      </c>
    </row>
    <row r="278" customFormat="false" ht="15" hidden="false" customHeight="false" outlineLevel="0" collapsed="false">
      <c r="A278" s="14" t="n">
        <v>277</v>
      </c>
      <c r="B278" s="15" t="s">
        <v>347</v>
      </c>
      <c r="C278" s="15" t="s">
        <v>166</v>
      </c>
      <c r="D278" s="16" t="s">
        <v>244</v>
      </c>
      <c r="E278" s="16"/>
      <c r="F278" s="15" t="s">
        <v>248</v>
      </c>
      <c r="G278" s="15"/>
      <c r="H278" s="15" t="s">
        <v>197</v>
      </c>
      <c r="I278" s="17" t="n">
        <v>27</v>
      </c>
      <c r="J278" s="16"/>
      <c r="K278" s="15" t="s">
        <v>348</v>
      </c>
      <c r="L278" s="15" t="n">
        <f aca="false">IF(AND(OR(Search!$C$4="",Search!$C$4="All",B278=Search!$C$4),OR(Search!$C$5="",Search!$C$5="All",C278=Search!$C$5),OR(Search!$C$6="",Search!$C$6="All",D278=Search!$C$6),OR(Search!$C$7="",ISNUMBER(SEARCH(Search!$C$7,D278&amp;" "&amp;E278&amp;" "&amp;F278&amp;" "&amp;G278&amp;" "&amp;H278&amp;" "&amp;J278))),OR(Search!$C$8="",ISNUMBER(SEARCH(Search!$C$8,G278)))),1,0)</f>
        <v>1</v>
      </c>
      <c r="M278" s="15" t="n">
        <f aca="false">M277+L278</f>
        <v>277</v>
      </c>
    </row>
    <row r="279" customFormat="false" ht="15" hidden="false" customHeight="false" outlineLevel="0" collapsed="false">
      <c r="A279" s="14" t="n">
        <v>278</v>
      </c>
      <c r="B279" s="15" t="s">
        <v>347</v>
      </c>
      <c r="C279" s="15" t="s">
        <v>166</v>
      </c>
      <c r="D279" s="16" t="s">
        <v>244</v>
      </c>
      <c r="E279" s="16"/>
      <c r="F279" s="15" t="s">
        <v>249</v>
      </c>
      <c r="G279" s="15"/>
      <c r="H279" s="15" t="s">
        <v>197</v>
      </c>
      <c r="I279" s="17" t="n">
        <v>27</v>
      </c>
      <c r="J279" s="16"/>
      <c r="K279" s="15" t="s">
        <v>348</v>
      </c>
      <c r="L279" s="15" t="n">
        <f aca="false">IF(AND(OR(Search!$C$4="",Search!$C$4="All",B279=Search!$C$4),OR(Search!$C$5="",Search!$C$5="All",C279=Search!$C$5),OR(Search!$C$6="",Search!$C$6="All",D279=Search!$C$6),OR(Search!$C$7="",ISNUMBER(SEARCH(Search!$C$7,D279&amp;" "&amp;E279&amp;" "&amp;F279&amp;" "&amp;G279&amp;" "&amp;H279&amp;" "&amp;J279))),OR(Search!$C$8="",ISNUMBER(SEARCH(Search!$C$8,G279)))),1,0)</f>
        <v>1</v>
      </c>
      <c r="M279" s="15" t="n">
        <f aca="false">M278+L279</f>
        <v>278</v>
      </c>
    </row>
    <row r="280" customFormat="false" ht="15" hidden="false" customHeight="false" outlineLevel="0" collapsed="false">
      <c r="A280" s="14" t="n">
        <v>279</v>
      </c>
      <c r="B280" s="15" t="s">
        <v>347</v>
      </c>
      <c r="C280" s="15" t="s">
        <v>166</v>
      </c>
      <c r="D280" s="16" t="s">
        <v>250</v>
      </c>
      <c r="E280" s="16"/>
      <c r="F280" s="15"/>
      <c r="G280" s="15"/>
      <c r="H280" s="15" t="s">
        <v>197</v>
      </c>
      <c r="I280" s="17" t="n">
        <v>38</v>
      </c>
      <c r="J280" s="16"/>
      <c r="K280" s="15" t="s">
        <v>348</v>
      </c>
      <c r="L280" s="15" t="n">
        <f aca="false">IF(AND(OR(Search!$C$4="",Search!$C$4="All",B280=Search!$C$4),OR(Search!$C$5="",Search!$C$5="All",C280=Search!$C$5),OR(Search!$C$6="",Search!$C$6="All",D280=Search!$C$6),OR(Search!$C$7="",ISNUMBER(SEARCH(Search!$C$7,D280&amp;" "&amp;E280&amp;" "&amp;F280&amp;" "&amp;G280&amp;" "&amp;H280&amp;" "&amp;J280))),OR(Search!$C$8="",ISNUMBER(SEARCH(Search!$C$8,G280)))),1,0)</f>
        <v>1</v>
      </c>
      <c r="M280" s="15" t="n">
        <f aca="false">M279+L280</f>
        <v>279</v>
      </c>
    </row>
    <row r="281" customFormat="false" ht="15" hidden="false" customHeight="false" outlineLevel="0" collapsed="false">
      <c r="A281" s="14" t="n">
        <v>280</v>
      </c>
      <c r="B281" s="15" t="s">
        <v>347</v>
      </c>
      <c r="C281" s="15" t="s">
        <v>251</v>
      </c>
      <c r="D281" s="16" t="s">
        <v>252</v>
      </c>
      <c r="E281" s="16"/>
      <c r="F281" s="15"/>
      <c r="G281" s="15"/>
      <c r="H281" s="15" t="s">
        <v>253</v>
      </c>
      <c r="I281" s="17" t="n">
        <v>2350</v>
      </c>
      <c r="J281" s="16"/>
      <c r="K281" s="15" t="s">
        <v>348</v>
      </c>
      <c r="L281" s="15" t="n">
        <f aca="false">IF(AND(OR(Search!$C$4="",Search!$C$4="All",B281=Search!$C$4),OR(Search!$C$5="",Search!$C$5="All",C281=Search!$C$5),OR(Search!$C$6="",Search!$C$6="All",D281=Search!$C$6),OR(Search!$C$7="",ISNUMBER(SEARCH(Search!$C$7,D281&amp;" "&amp;E281&amp;" "&amp;F281&amp;" "&amp;G281&amp;" "&amp;H281&amp;" "&amp;J281))),OR(Search!$C$8="",ISNUMBER(SEARCH(Search!$C$8,G281)))),1,0)</f>
        <v>1</v>
      </c>
      <c r="M281" s="15" t="n">
        <f aca="false">M280+L281</f>
        <v>280</v>
      </c>
    </row>
    <row r="282" customFormat="false" ht="15" hidden="false" customHeight="false" outlineLevel="0" collapsed="false">
      <c r="A282" s="14" t="n">
        <v>281</v>
      </c>
      <c r="B282" s="15" t="s">
        <v>347</v>
      </c>
      <c r="C282" s="15" t="s">
        <v>251</v>
      </c>
      <c r="D282" s="16" t="s">
        <v>254</v>
      </c>
      <c r="E282" s="16"/>
      <c r="F282" s="15"/>
      <c r="G282" s="15"/>
      <c r="H282" s="15" t="s">
        <v>253</v>
      </c>
      <c r="I282" s="17" t="n">
        <v>2000</v>
      </c>
      <c r="J282" s="16"/>
      <c r="K282" s="15" t="s">
        <v>348</v>
      </c>
      <c r="L282" s="15" t="n">
        <f aca="false">IF(AND(OR(Search!$C$4="",Search!$C$4="All",B282=Search!$C$4),OR(Search!$C$5="",Search!$C$5="All",C282=Search!$C$5),OR(Search!$C$6="",Search!$C$6="All",D282=Search!$C$6),OR(Search!$C$7="",ISNUMBER(SEARCH(Search!$C$7,D282&amp;" "&amp;E282&amp;" "&amp;F282&amp;" "&amp;G282&amp;" "&amp;H282&amp;" "&amp;J282))),OR(Search!$C$8="",ISNUMBER(SEARCH(Search!$C$8,G282)))),1,0)</f>
        <v>1</v>
      </c>
      <c r="M282" s="15" t="n">
        <f aca="false">M281+L282</f>
        <v>281</v>
      </c>
    </row>
    <row r="283" customFormat="false" ht="15" hidden="false" customHeight="false" outlineLevel="0" collapsed="false">
      <c r="A283" s="14" t="n">
        <v>282</v>
      </c>
      <c r="B283" s="15" t="s">
        <v>347</v>
      </c>
      <c r="C283" s="15" t="s">
        <v>251</v>
      </c>
      <c r="D283" s="16" t="s">
        <v>255</v>
      </c>
      <c r="E283" s="16"/>
      <c r="F283" s="15"/>
      <c r="G283" s="15"/>
      <c r="H283" s="15" t="s">
        <v>161</v>
      </c>
      <c r="I283" s="17" t="n">
        <v>425</v>
      </c>
      <c r="J283" s="16"/>
      <c r="K283" s="15" t="s">
        <v>348</v>
      </c>
      <c r="L283" s="15" t="n">
        <f aca="false">IF(AND(OR(Search!$C$4="",Search!$C$4="All",B283=Search!$C$4),OR(Search!$C$5="",Search!$C$5="All",C283=Search!$C$5),OR(Search!$C$6="",Search!$C$6="All",D283=Search!$C$6),OR(Search!$C$7="",ISNUMBER(SEARCH(Search!$C$7,D283&amp;" "&amp;E283&amp;" "&amp;F283&amp;" "&amp;G283&amp;" "&amp;H283&amp;" "&amp;J283))),OR(Search!$C$8="",ISNUMBER(SEARCH(Search!$C$8,G283)))),1,0)</f>
        <v>1</v>
      </c>
      <c r="M283" s="15" t="n">
        <f aca="false">M282+L283</f>
        <v>282</v>
      </c>
    </row>
    <row r="284" customFormat="false" ht="15" hidden="false" customHeight="false" outlineLevel="0" collapsed="false">
      <c r="A284" s="14" t="n">
        <v>283</v>
      </c>
      <c r="B284" s="15" t="s">
        <v>347</v>
      </c>
      <c r="C284" s="15" t="s">
        <v>251</v>
      </c>
      <c r="D284" s="16" t="s">
        <v>256</v>
      </c>
      <c r="E284" s="16"/>
      <c r="F284" s="15"/>
      <c r="G284" s="15"/>
      <c r="H284" s="15" t="s">
        <v>203</v>
      </c>
      <c r="I284" s="17" t="n">
        <v>14.5</v>
      </c>
      <c r="J284" s="16"/>
      <c r="K284" s="15" t="s">
        <v>348</v>
      </c>
      <c r="L284" s="15" t="n">
        <f aca="false">IF(AND(OR(Search!$C$4="",Search!$C$4="All",B284=Search!$C$4),OR(Search!$C$5="",Search!$C$5="All",C284=Search!$C$5),OR(Search!$C$6="",Search!$C$6="All",D284=Search!$C$6),OR(Search!$C$7="",ISNUMBER(SEARCH(Search!$C$7,D284&amp;" "&amp;E284&amp;" "&amp;F284&amp;" "&amp;G284&amp;" "&amp;H284&amp;" "&amp;J284))),OR(Search!$C$8="",ISNUMBER(SEARCH(Search!$C$8,G284)))),1,0)</f>
        <v>1</v>
      </c>
      <c r="M284" s="15" t="n">
        <f aca="false">M283+L284</f>
        <v>283</v>
      </c>
    </row>
    <row r="285" customFormat="false" ht="15" hidden="false" customHeight="false" outlineLevel="0" collapsed="false">
      <c r="A285" s="14" t="n">
        <v>284</v>
      </c>
      <c r="B285" s="15" t="s">
        <v>347</v>
      </c>
      <c r="C285" s="15" t="s">
        <v>251</v>
      </c>
      <c r="D285" s="16" t="s">
        <v>257</v>
      </c>
      <c r="E285" s="16"/>
      <c r="F285" s="15"/>
      <c r="G285" s="15"/>
      <c r="H285" s="15" t="s">
        <v>161</v>
      </c>
      <c r="I285" s="17" t="n">
        <v>850</v>
      </c>
      <c r="J285" s="16"/>
      <c r="K285" s="15" t="s">
        <v>348</v>
      </c>
      <c r="L285" s="15" t="n">
        <f aca="false">IF(AND(OR(Search!$C$4="",Search!$C$4="All",B285=Search!$C$4),OR(Search!$C$5="",Search!$C$5="All",C285=Search!$C$5),OR(Search!$C$6="",Search!$C$6="All",D285=Search!$C$6),OR(Search!$C$7="",ISNUMBER(SEARCH(Search!$C$7,D285&amp;" "&amp;E285&amp;" "&amp;F285&amp;" "&amp;G285&amp;" "&amp;H285&amp;" "&amp;J285))),OR(Search!$C$8="",ISNUMBER(SEARCH(Search!$C$8,G285)))),1,0)</f>
        <v>1</v>
      </c>
      <c r="M285" s="15" t="n">
        <f aca="false">M284+L285</f>
        <v>284</v>
      </c>
    </row>
    <row r="286" customFormat="false" ht="15" hidden="false" customHeight="false" outlineLevel="0" collapsed="false">
      <c r="A286" s="14" t="n">
        <v>285</v>
      </c>
      <c r="B286" s="15" t="s">
        <v>347</v>
      </c>
      <c r="C286" s="15" t="s">
        <v>258</v>
      </c>
      <c r="D286" s="16" t="s">
        <v>259</v>
      </c>
      <c r="E286" s="16"/>
      <c r="F286" s="15"/>
      <c r="G286" s="15"/>
      <c r="H286" s="15" t="s">
        <v>197</v>
      </c>
      <c r="I286" s="17" t="n">
        <v>22.5</v>
      </c>
      <c r="J286" s="16" t="s">
        <v>356</v>
      </c>
      <c r="K286" s="15" t="s">
        <v>348</v>
      </c>
      <c r="L286" s="15" t="n">
        <f aca="false">IF(AND(OR(Search!$C$4="",Search!$C$4="All",B286=Search!$C$4),OR(Search!$C$5="",Search!$C$5="All",C286=Search!$C$5),OR(Search!$C$6="",Search!$C$6="All",D286=Search!$C$6),OR(Search!$C$7="",ISNUMBER(SEARCH(Search!$C$7,D286&amp;" "&amp;E286&amp;" "&amp;F286&amp;" "&amp;G286&amp;" "&amp;H286&amp;" "&amp;J286))),OR(Search!$C$8="",ISNUMBER(SEARCH(Search!$C$8,G286)))),1,0)</f>
        <v>1</v>
      </c>
      <c r="M286" s="15" t="n">
        <f aca="false">M285+L286</f>
        <v>285</v>
      </c>
    </row>
    <row r="287" customFormat="false" ht="15" hidden="false" customHeight="false" outlineLevel="0" collapsed="false">
      <c r="A287" s="14" t="n">
        <v>286</v>
      </c>
      <c r="B287" s="15" t="s">
        <v>347</v>
      </c>
      <c r="C287" s="15" t="s">
        <v>258</v>
      </c>
      <c r="D287" s="16" t="s">
        <v>261</v>
      </c>
      <c r="E287" s="16"/>
      <c r="F287" s="15"/>
      <c r="G287" s="15"/>
      <c r="H287" s="15" t="s">
        <v>197</v>
      </c>
      <c r="I287" s="17" t="n">
        <v>23.5</v>
      </c>
      <c r="J287" s="16" t="s">
        <v>356</v>
      </c>
      <c r="K287" s="15" t="s">
        <v>348</v>
      </c>
      <c r="L287" s="15" t="n">
        <f aca="false">IF(AND(OR(Search!$C$4="",Search!$C$4="All",B287=Search!$C$4),OR(Search!$C$5="",Search!$C$5="All",C287=Search!$C$5),OR(Search!$C$6="",Search!$C$6="All",D287=Search!$C$6),OR(Search!$C$7="",ISNUMBER(SEARCH(Search!$C$7,D287&amp;" "&amp;E287&amp;" "&amp;F287&amp;" "&amp;G287&amp;" "&amp;H287&amp;" "&amp;J287))),OR(Search!$C$8="",ISNUMBER(SEARCH(Search!$C$8,G287)))),1,0)</f>
        <v>1</v>
      </c>
      <c r="M287" s="15" t="n">
        <f aca="false">M286+L287</f>
        <v>286</v>
      </c>
    </row>
    <row r="288" customFormat="false" ht="15" hidden="false" customHeight="false" outlineLevel="0" collapsed="false">
      <c r="A288" s="14" t="n">
        <v>287</v>
      </c>
      <c r="B288" s="15" t="s">
        <v>347</v>
      </c>
      <c r="C288" s="15" t="s">
        <v>258</v>
      </c>
      <c r="D288" s="16" t="s">
        <v>263</v>
      </c>
      <c r="E288" s="16"/>
      <c r="F288" s="15"/>
      <c r="G288" s="15"/>
      <c r="H288" s="15" t="s">
        <v>197</v>
      </c>
      <c r="I288" s="17" t="n">
        <v>24.5</v>
      </c>
      <c r="J288" s="16" t="s">
        <v>356</v>
      </c>
      <c r="K288" s="15" t="s">
        <v>348</v>
      </c>
      <c r="L288" s="15" t="n">
        <f aca="false">IF(AND(OR(Search!$C$4="",Search!$C$4="All",B288=Search!$C$4),OR(Search!$C$5="",Search!$C$5="All",C288=Search!$C$5),OR(Search!$C$6="",Search!$C$6="All",D288=Search!$C$6),OR(Search!$C$7="",ISNUMBER(SEARCH(Search!$C$7,D288&amp;" "&amp;E288&amp;" "&amp;F288&amp;" "&amp;G288&amp;" "&amp;H288&amp;" "&amp;J288))),OR(Search!$C$8="",ISNUMBER(SEARCH(Search!$C$8,G288)))),1,0)</f>
        <v>1</v>
      </c>
      <c r="M288" s="15" t="n">
        <f aca="false">M287+L288</f>
        <v>287</v>
      </c>
    </row>
    <row r="289" customFormat="false" ht="15" hidden="false" customHeight="false" outlineLevel="0" collapsed="false">
      <c r="A289" s="14" t="n">
        <v>288</v>
      </c>
      <c r="B289" s="15" t="s">
        <v>347</v>
      </c>
      <c r="C289" s="15" t="s">
        <v>258</v>
      </c>
      <c r="D289" s="16" t="s">
        <v>264</v>
      </c>
      <c r="E289" s="16"/>
      <c r="F289" s="15"/>
      <c r="G289" s="15"/>
      <c r="H289" s="15" t="s">
        <v>197</v>
      </c>
      <c r="I289" s="17" t="n">
        <v>25.5</v>
      </c>
      <c r="J289" s="16" t="s">
        <v>357</v>
      </c>
      <c r="K289" s="15" t="s">
        <v>348</v>
      </c>
      <c r="L289" s="15" t="n">
        <f aca="false">IF(AND(OR(Search!$C$4="",Search!$C$4="All",B289=Search!$C$4),OR(Search!$C$5="",Search!$C$5="All",C289=Search!$C$5),OR(Search!$C$6="",Search!$C$6="All",D289=Search!$C$6),OR(Search!$C$7="",ISNUMBER(SEARCH(Search!$C$7,D289&amp;" "&amp;E289&amp;" "&amp;F289&amp;" "&amp;G289&amp;" "&amp;H289&amp;" "&amp;J289))),OR(Search!$C$8="",ISNUMBER(SEARCH(Search!$C$8,G289)))),1,0)</f>
        <v>1</v>
      </c>
      <c r="M289" s="15" t="n">
        <f aca="false">M288+L289</f>
        <v>288</v>
      </c>
    </row>
    <row r="290" customFormat="false" ht="15" hidden="false" customHeight="false" outlineLevel="0" collapsed="false">
      <c r="A290" s="14" t="n">
        <v>289</v>
      </c>
      <c r="B290" s="15" t="s">
        <v>347</v>
      </c>
      <c r="C290" s="15" t="s">
        <v>258</v>
      </c>
      <c r="D290" s="16" t="s">
        <v>266</v>
      </c>
      <c r="E290" s="16"/>
      <c r="F290" s="15"/>
      <c r="G290" s="15"/>
      <c r="H290" s="15" t="s">
        <v>197</v>
      </c>
      <c r="I290" s="17" t="n">
        <v>27.5</v>
      </c>
      <c r="J290" s="16" t="s">
        <v>357</v>
      </c>
      <c r="K290" s="15" t="s">
        <v>348</v>
      </c>
      <c r="L290" s="15" t="n">
        <f aca="false">IF(AND(OR(Search!$C$4="",Search!$C$4="All",B290=Search!$C$4),OR(Search!$C$5="",Search!$C$5="All",C290=Search!$C$5),OR(Search!$C$6="",Search!$C$6="All",D290=Search!$C$6),OR(Search!$C$7="",ISNUMBER(SEARCH(Search!$C$7,D290&amp;" "&amp;E290&amp;" "&amp;F290&amp;" "&amp;G290&amp;" "&amp;H290&amp;" "&amp;J290))),OR(Search!$C$8="",ISNUMBER(SEARCH(Search!$C$8,G290)))),1,0)</f>
        <v>1</v>
      </c>
      <c r="M290" s="15" t="n">
        <f aca="false">M289+L290</f>
        <v>289</v>
      </c>
    </row>
    <row r="291" customFormat="false" ht="15" hidden="false" customHeight="false" outlineLevel="0" collapsed="false">
      <c r="A291" s="14" t="n">
        <v>290</v>
      </c>
      <c r="B291" s="15" t="s">
        <v>347</v>
      </c>
      <c r="C291" s="15" t="s">
        <v>258</v>
      </c>
      <c r="D291" s="16" t="s">
        <v>267</v>
      </c>
      <c r="E291" s="16"/>
      <c r="F291" s="15"/>
      <c r="G291" s="15"/>
      <c r="H291" s="15" t="s">
        <v>197</v>
      </c>
      <c r="I291" s="17" t="n">
        <v>28.5</v>
      </c>
      <c r="J291" s="16" t="s">
        <v>357</v>
      </c>
      <c r="K291" s="15" t="s">
        <v>348</v>
      </c>
      <c r="L291" s="15" t="n">
        <f aca="false">IF(AND(OR(Search!$C$4="",Search!$C$4="All",B291=Search!$C$4),OR(Search!$C$5="",Search!$C$5="All",C291=Search!$C$5),OR(Search!$C$6="",Search!$C$6="All",D291=Search!$C$6),OR(Search!$C$7="",ISNUMBER(SEARCH(Search!$C$7,D291&amp;" "&amp;E291&amp;" "&amp;F291&amp;" "&amp;G291&amp;" "&amp;H291&amp;" "&amp;J291))),OR(Search!$C$8="",ISNUMBER(SEARCH(Search!$C$8,G291)))),1,0)</f>
        <v>1</v>
      </c>
      <c r="M291" s="15" t="n">
        <f aca="false">M290+L291</f>
        <v>290</v>
      </c>
    </row>
    <row r="292" customFormat="false" ht="15" hidden="false" customHeight="false" outlineLevel="0" collapsed="false">
      <c r="A292" s="14" t="n">
        <v>291</v>
      </c>
      <c r="B292" s="15" t="s">
        <v>347</v>
      </c>
      <c r="C292" s="15" t="s">
        <v>258</v>
      </c>
      <c r="D292" s="16" t="s">
        <v>268</v>
      </c>
      <c r="E292" s="16"/>
      <c r="F292" s="15"/>
      <c r="G292" s="15"/>
      <c r="H292" s="15" t="s">
        <v>197</v>
      </c>
      <c r="I292" s="17" t="n">
        <v>28.5</v>
      </c>
      <c r="J292" s="16" t="s">
        <v>357</v>
      </c>
      <c r="K292" s="15" t="s">
        <v>348</v>
      </c>
      <c r="L292" s="15" t="n">
        <f aca="false">IF(AND(OR(Search!$C$4="",Search!$C$4="All",B292=Search!$C$4),OR(Search!$C$5="",Search!$C$5="All",C292=Search!$C$5),OR(Search!$C$6="",Search!$C$6="All",D292=Search!$C$6),OR(Search!$C$7="",ISNUMBER(SEARCH(Search!$C$7,D292&amp;" "&amp;E292&amp;" "&amp;F292&amp;" "&amp;G292&amp;" "&amp;H292&amp;" "&amp;J292))),OR(Search!$C$8="",ISNUMBER(SEARCH(Search!$C$8,G292)))),1,0)</f>
        <v>1</v>
      </c>
      <c r="M292" s="15" t="n">
        <f aca="false">M291+L292</f>
        <v>291</v>
      </c>
    </row>
    <row r="293" customFormat="false" ht="15" hidden="false" customHeight="false" outlineLevel="0" collapsed="false">
      <c r="A293" s="14" t="n">
        <v>292</v>
      </c>
      <c r="B293" s="15" t="s">
        <v>347</v>
      </c>
      <c r="C293" s="15" t="s">
        <v>258</v>
      </c>
      <c r="D293" s="16" t="s">
        <v>269</v>
      </c>
      <c r="E293" s="16"/>
      <c r="F293" s="15"/>
      <c r="G293" s="15"/>
      <c r="H293" s="15" t="s">
        <v>197</v>
      </c>
      <c r="I293" s="17" t="n">
        <v>38</v>
      </c>
      <c r="J293" s="16"/>
      <c r="K293" s="15" t="s">
        <v>348</v>
      </c>
      <c r="L293" s="15" t="n">
        <f aca="false">IF(AND(OR(Search!$C$4="",Search!$C$4="All",B293=Search!$C$4),OR(Search!$C$5="",Search!$C$5="All",C293=Search!$C$5),OR(Search!$C$6="",Search!$C$6="All",D293=Search!$C$6),OR(Search!$C$7="",ISNUMBER(SEARCH(Search!$C$7,D293&amp;" "&amp;E293&amp;" "&amp;F293&amp;" "&amp;G293&amp;" "&amp;H293&amp;" "&amp;J293))),OR(Search!$C$8="",ISNUMBER(SEARCH(Search!$C$8,G293)))),1,0)</f>
        <v>1</v>
      </c>
      <c r="M293" s="15" t="n">
        <f aca="false">M292+L293</f>
        <v>292</v>
      </c>
    </row>
    <row r="294" customFormat="false" ht="15" hidden="false" customHeight="false" outlineLevel="0" collapsed="false">
      <c r="A294" s="14" t="n">
        <v>293</v>
      </c>
      <c r="B294" s="15" t="s">
        <v>347</v>
      </c>
      <c r="C294" s="15" t="s">
        <v>258</v>
      </c>
      <c r="D294" s="16" t="s">
        <v>270</v>
      </c>
      <c r="E294" s="16"/>
      <c r="F294" s="15"/>
      <c r="G294" s="15"/>
      <c r="H294" s="15" t="s">
        <v>197</v>
      </c>
      <c r="I294" s="17" t="n">
        <v>31.5</v>
      </c>
      <c r="J294" s="16" t="s">
        <v>271</v>
      </c>
      <c r="K294" s="15" t="s">
        <v>348</v>
      </c>
      <c r="L294" s="15" t="n">
        <f aca="false">IF(AND(OR(Search!$C$4="",Search!$C$4="All",B294=Search!$C$4),OR(Search!$C$5="",Search!$C$5="All",C294=Search!$C$5),OR(Search!$C$6="",Search!$C$6="All",D294=Search!$C$6),OR(Search!$C$7="",ISNUMBER(SEARCH(Search!$C$7,D294&amp;" "&amp;E294&amp;" "&amp;F294&amp;" "&amp;G294&amp;" "&amp;H294&amp;" "&amp;J294))),OR(Search!$C$8="",ISNUMBER(SEARCH(Search!$C$8,G294)))),1,0)</f>
        <v>1</v>
      </c>
      <c r="M294" s="15" t="n">
        <f aca="false">M293+L294</f>
        <v>293</v>
      </c>
    </row>
    <row r="295" customFormat="false" ht="15" hidden="false" customHeight="false" outlineLevel="0" collapsed="false">
      <c r="A295" s="14" t="n">
        <v>294</v>
      </c>
      <c r="B295" s="15" t="s">
        <v>347</v>
      </c>
      <c r="C295" s="15" t="s">
        <v>258</v>
      </c>
      <c r="D295" s="16" t="s">
        <v>272</v>
      </c>
      <c r="E295" s="16"/>
      <c r="F295" s="15"/>
      <c r="G295" s="15"/>
      <c r="H295" s="15" t="s">
        <v>197</v>
      </c>
      <c r="I295" s="17" t="n">
        <v>32.5</v>
      </c>
      <c r="J295" s="16" t="s">
        <v>273</v>
      </c>
      <c r="K295" s="15" t="s">
        <v>348</v>
      </c>
      <c r="L295" s="15" t="n">
        <f aca="false">IF(AND(OR(Search!$C$4="",Search!$C$4="All",B295=Search!$C$4),OR(Search!$C$5="",Search!$C$5="All",C295=Search!$C$5),OR(Search!$C$6="",Search!$C$6="All",D295=Search!$C$6),OR(Search!$C$7="",ISNUMBER(SEARCH(Search!$C$7,D295&amp;" "&amp;E295&amp;" "&amp;F295&amp;" "&amp;G295&amp;" "&amp;H295&amp;" "&amp;J295))),OR(Search!$C$8="",ISNUMBER(SEARCH(Search!$C$8,G295)))),1,0)</f>
        <v>1</v>
      </c>
      <c r="M295" s="15" t="n">
        <f aca="false">M294+L295</f>
        <v>294</v>
      </c>
    </row>
    <row r="296" customFormat="false" ht="15" hidden="false" customHeight="false" outlineLevel="0" collapsed="false">
      <c r="A296" s="14" t="n">
        <v>295</v>
      </c>
      <c r="B296" s="15" t="s">
        <v>347</v>
      </c>
      <c r="C296" s="15" t="s">
        <v>258</v>
      </c>
      <c r="D296" s="16" t="s">
        <v>274</v>
      </c>
      <c r="E296" s="16"/>
      <c r="F296" s="15"/>
      <c r="G296" s="15"/>
      <c r="H296" s="15" t="s">
        <v>197</v>
      </c>
      <c r="I296" s="17" t="n">
        <v>34.5</v>
      </c>
      <c r="J296" s="16" t="s">
        <v>275</v>
      </c>
      <c r="K296" s="15" t="s">
        <v>348</v>
      </c>
      <c r="L296" s="15" t="n">
        <f aca="false">IF(AND(OR(Search!$C$4="",Search!$C$4="All",B296=Search!$C$4),OR(Search!$C$5="",Search!$C$5="All",C296=Search!$C$5),OR(Search!$C$6="",Search!$C$6="All",D296=Search!$C$6),OR(Search!$C$7="",ISNUMBER(SEARCH(Search!$C$7,D296&amp;" "&amp;E296&amp;" "&amp;F296&amp;" "&amp;G296&amp;" "&amp;H296&amp;" "&amp;J296))),OR(Search!$C$8="",ISNUMBER(SEARCH(Search!$C$8,G296)))),1,0)</f>
        <v>1</v>
      </c>
      <c r="M296" s="15" t="n">
        <f aca="false">M295+L296</f>
        <v>295</v>
      </c>
    </row>
    <row r="297" customFormat="false" ht="15" hidden="false" customHeight="false" outlineLevel="0" collapsed="false">
      <c r="A297" s="14" t="n">
        <v>296</v>
      </c>
      <c r="B297" s="15" t="s">
        <v>347</v>
      </c>
      <c r="C297" s="15" t="s">
        <v>158</v>
      </c>
      <c r="D297" s="16" t="s">
        <v>158</v>
      </c>
      <c r="E297" s="16"/>
      <c r="F297" s="15" t="s">
        <v>276</v>
      </c>
      <c r="G297" s="15" t="s">
        <v>160</v>
      </c>
      <c r="H297" s="15" t="s">
        <v>161</v>
      </c>
      <c r="I297" s="17" t="n">
        <v>680</v>
      </c>
      <c r="J297" s="16" t="s">
        <v>358</v>
      </c>
      <c r="K297" s="15" t="s">
        <v>348</v>
      </c>
      <c r="L297" s="15" t="n">
        <f aca="false">IF(AND(OR(Search!$C$4="",Search!$C$4="All",B297=Search!$C$4),OR(Search!$C$5="",Search!$C$5="All",C297=Search!$C$5),OR(Search!$C$6="",Search!$C$6="All",D297=Search!$C$6),OR(Search!$C$7="",ISNUMBER(SEARCH(Search!$C$7,D297&amp;" "&amp;E297&amp;" "&amp;F297&amp;" "&amp;G297&amp;" "&amp;H297&amp;" "&amp;J297))),OR(Search!$C$8="",ISNUMBER(SEARCH(Search!$C$8,G297)))),1,0)</f>
        <v>1</v>
      </c>
      <c r="M297" s="15" t="n">
        <f aca="false">M296+L297</f>
        <v>296</v>
      </c>
    </row>
    <row r="298" customFormat="false" ht="15" hidden="false" customHeight="false" outlineLevel="0" collapsed="false">
      <c r="A298" s="14" t="n">
        <v>297</v>
      </c>
      <c r="B298" s="15" t="s">
        <v>347</v>
      </c>
      <c r="C298" s="15" t="s">
        <v>158</v>
      </c>
      <c r="D298" s="16" t="s">
        <v>158</v>
      </c>
      <c r="E298" s="16"/>
      <c r="F298" s="15" t="s">
        <v>278</v>
      </c>
      <c r="G298" s="15" t="s">
        <v>160</v>
      </c>
      <c r="H298" s="15" t="s">
        <v>161</v>
      </c>
      <c r="I298" s="17" t="n">
        <v>720</v>
      </c>
      <c r="J298" s="16" t="s">
        <v>358</v>
      </c>
      <c r="K298" s="15" t="s">
        <v>348</v>
      </c>
      <c r="L298" s="15" t="n">
        <f aca="false">IF(AND(OR(Search!$C$4="",Search!$C$4="All",B298=Search!$C$4),OR(Search!$C$5="",Search!$C$5="All",C298=Search!$C$5),OR(Search!$C$6="",Search!$C$6="All",D298=Search!$C$6),OR(Search!$C$7="",ISNUMBER(SEARCH(Search!$C$7,D298&amp;" "&amp;E298&amp;" "&amp;F298&amp;" "&amp;G298&amp;" "&amp;H298&amp;" "&amp;J298))),OR(Search!$C$8="",ISNUMBER(SEARCH(Search!$C$8,G298)))),1,0)</f>
        <v>1</v>
      </c>
      <c r="M298" s="15" t="n">
        <f aca="false">M297+L298</f>
        <v>297</v>
      </c>
    </row>
    <row r="299" customFormat="false" ht="15" hidden="false" customHeight="false" outlineLevel="0" collapsed="false">
      <c r="A299" s="14" t="n">
        <v>298</v>
      </c>
      <c r="B299" s="15" t="s">
        <v>347</v>
      </c>
      <c r="C299" s="15" t="s">
        <v>158</v>
      </c>
      <c r="D299" s="16" t="s">
        <v>158</v>
      </c>
      <c r="E299" s="16"/>
      <c r="F299" s="15" t="s">
        <v>279</v>
      </c>
      <c r="G299" s="15" t="s">
        <v>160</v>
      </c>
      <c r="H299" s="15" t="s">
        <v>161</v>
      </c>
      <c r="I299" s="17" t="n">
        <v>790</v>
      </c>
      <c r="J299" s="16" t="s">
        <v>358</v>
      </c>
      <c r="K299" s="15" t="s">
        <v>348</v>
      </c>
      <c r="L299" s="15" t="n">
        <f aca="false">IF(AND(OR(Search!$C$4="",Search!$C$4="All",B299=Search!$C$4),OR(Search!$C$5="",Search!$C$5="All",C299=Search!$C$5),OR(Search!$C$6="",Search!$C$6="All",D299=Search!$C$6),OR(Search!$C$7="",ISNUMBER(SEARCH(Search!$C$7,D299&amp;" "&amp;E299&amp;" "&amp;F299&amp;" "&amp;G299&amp;" "&amp;H299&amp;" "&amp;J299))),OR(Search!$C$8="",ISNUMBER(SEARCH(Search!$C$8,G299)))),1,0)</f>
        <v>1</v>
      </c>
      <c r="M299" s="15" t="n">
        <f aca="false">M298+L299</f>
        <v>298</v>
      </c>
    </row>
    <row r="300" customFormat="false" ht="15" hidden="false" customHeight="false" outlineLevel="0" collapsed="false">
      <c r="A300" s="14" t="n">
        <v>299</v>
      </c>
      <c r="B300" s="15" t="s">
        <v>347</v>
      </c>
      <c r="C300" s="15" t="s">
        <v>158</v>
      </c>
      <c r="D300" s="16" t="s">
        <v>158</v>
      </c>
      <c r="E300" s="16"/>
      <c r="F300" s="15" t="s">
        <v>359</v>
      </c>
      <c r="G300" s="15" t="s">
        <v>160</v>
      </c>
      <c r="H300" s="15" t="s">
        <v>161</v>
      </c>
      <c r="I300" s="17" t="n">
        <v>820</v>
      </c>
      <c r="J300" s="16" t="s">
        <v>358</v>
      </c>
      <c r="K300" s="15" t="s">
        <v>348</v>
      </c>
      <c r="L300" s="15" t="n">
        <f aca="false">IF(AND(OR(Search!$C$4="",Search!$C$4="All",B300=Search!$C$4),OR(Search!$C$5="",Search!$C$5="All",C300=Search!$C$5),OR(Search!$C$6="",Search!$C$6="All",D300=Search!$C$6),OR(Search!$C$7="",ISNUMBER(SEARCH(Search!$C$7,D300&amp;" "&amp;E300&amp;" "&amp;F300&amp;" "&amp;G300&amp;" "&amp;H300&amp;" "&amp;J300))),OR(Search!$C$8="",ISNUMBER(SEARCH(Search!$C$8,G300)))),1,0)</f>
        <v>1</v>
      </c>
      <c r="M300" s="15" t="n">
        <f aca="false">M299+L300</f>
        <v>299</v>
      </c>
    </row>
    <row r="301" customFormat="false" ht="15" hidden="false" customHeight="false" outlineLevel="0" collapsed="false">
      <c r="A301" s="14" t="n">
        <v>300</v>
      </c>
      <c r="B301" s="15" t="s">
        <v>347</v>
      </c>
      <c r="C301" s="15" t="s">
        <v>158</v>
      </c>
      <c r="D301" s="16" t="s">
        <v>158</v>
      </c>
      <c r="E301" s="16"/>
      <c r="F301" s="15" t="s">
        <v>280</v>
      </c>
      <c r="G301" s="15" t="s">
        <v>160</v>
      </c>
      <c r="H301" s="15" t="s">
        <v>161</v>
      </c>
      <c r="I301" s="17" t="n">
        <v>850</v>
      </c>
      <c r="J301" s="16" t="s">
        <v>358</v>
      </c>
      <c r="K301" s="15" t="s">
        <v>348</v>
      </c>
      <c r="L301" s="15" t="n">
        <f aca="false">IF(AND(OR(Search!$C$4="",Search!$C$4="All",B301=Search!$C$4),OR(Search!$C$5="",Search!$C$5="All",C301=Search!$C$5),OR(Search!$C$6="",Search!$C$6="All",D301=Search!$C$6),OR(Search!$C$7="",ISNUMBER(SEARCH(Search!$C$7,D301&amp;" "&amp;E301&amp;" "&amp;F301&amp;" "&amp;G301&amp;" "&amp;H301&amp;" "&amp;J301))),OR(Search!$C$8="",ISNUMBER(SEARCH(Search!$C$8,G301)))),1,0)</f>
        <v>1</v>
      </c>
      <c r="M301" s="15" t="n">
        <f aca="false">M300+L301</f>
        <v>300</v>
      </c>
    </row>
    <row r="302" customFormat="false" ht="15" hidden="false" customHeight="false" outlineLevel="0" collapsed="false">
      <c r="A302" s="14" t="n">
        <v>301</v>
      </c>
      <c r="B302" s="15" t="s">
        <v>347</v>
      </c>
      <c r="C302" s="15" t="s">
        <v>282</v>
      </c>
      <c r="D302" s="16" t="s">
        <v>283</v>
      </c>
      <c r="E302" s="16"/>
      <c r="F302" s="15" t="s">
        <v>187</v>
      </c>
      <c r="G302" s="15" t="s">
        <v>284</v>
      </c>
      <c r="H302" s="15" t="s">
        <v>203</v>
      </c>
      <c r="I302" s="17" t="n">
        <v>3.5</v>
      </c>
      <c r="J302" s="16"/>
      <c r="K302" s="15" t="s">
        <v>348</v>
      </c>
      <c r="L302" s="15" t="n">
        <f aca="false">IF(AND(OR(Search!$C$4="",Search!$C$4="All",B302=Search!$C$4),OR(Search!$C$5="",Search!$C$5="All",C302=Search!$C$5),OR(Search!$C$6="",Search!$C$6="All",D302=Search!$C$6),OR(Search!$C$7="",ISNUMBER(SEARCH(Search!$C$7,D302&amp;" "&amp;E302&amp;" "&amp;F302&amp;" "&amp;G302&amp;" "&amp;H302&amp;" "&amp;J302))),OR(Search!$C$8="",ISNUMBER(SEARCH(Search!$C$8,G302)))),1,0)</f>
        <v>1</v>
      </c>
      <c r="M302" s="15" t="n">
        <f aca="false">M301+L302</f>
        <v>301</v>
      </c>
    </row>
    <row r="303" customFormat="false" ht="15" hidden="false" customHeight="false" outlineLevel="0" collapsed="false">
      <c r="A303" s="14" t="n">
        <v>302</v>
      </c>
      <c r="B303" s="15" t="s">
        <v>347</v>
      </c>
      <c r="C303" s="15" t="s">
        <v>282</v>
      </c>
      <c r="D303" s="16" t="s">
        <v>285</v>
      </c>
      <c r="E303" s="16"/>
      <c r="F303" s="15" t="s">
        <v>187</v>
      </c>
      <c r="G303" s="15" t="s">
        <v>284</v>
      </c>
      <c r="H303" s="15" t="s">
        <v>203</v>
      </c>
      <c r="I303" s="17" t="n">
        <v>3.3</v>
      </c>
      <c r="J303" s="16"/>
      <c r="K303" s="15" t="s">
        <v>348</v>
      </c>
      <c r="L303" s="15" t="n">
        <f aca="false">IF(AND(OR(Search!$C$4="",Search!$C$4="All",B303=Search!$C$4),OR(Search!$C$5="",Search!$C$5="All",C303=Search!$C$5),OR(Search!$C$6="",Search!$C$6="All",D303=Search!$C$6),OR(Search!$C$7="",ISNUMBER(SEARCH(Search!$C$7,D303&amp;" "&amp;E303&amp;" "&amp;F303&amp;" "&amp;G303&amp;" "&amp;H303&amp;" "&amp;J303))),OR(Search!$C$8="",ISNUMBER(SEARCH(Search!$C$8,G303)))),1,0)</f>
        <v>1</v>
      </c>
      <c r="M303" s="15" t="n">
        <f aca="false">M302+L303</f>
        <v>302</v>
      </c>
    </row>
    <row r="304" customFormat="false" ht="15" hidden="false" customHeight="false" outlineLevel="0" collapsed="false">
      <c r="A304" s="14" t="n">
        <v>303</v>
      </c>
      <c r="B304" s="15" t="s">
        <v>347</v>
      </c>
      <c r="C304" s="15" t="s">
        <v>282</v>
      </c>
      <c r="D304" s="16" t="s">
        <v>283</v>
      </c>
      <c r="E304" s="16"/>
      <c r="F304" s="15" t="s">
        <v>286</v>
      </c>
      <c r="G304" s="15" t="s">
        <v>284</v>
      </c>
      <c r="H304" s="15" t="s">
        <v>203</v>
      </c>
      <c r="I304" s="17" t="n">
        <v>4</v>
      </c>
      <c r="J304" s="16"/>
      <c r="K304" s="15" t="s">
        <v>348</v>
      </c>
      <c r="L304" s="15" t="n">
        <f aca="false">IF(AND(OR(Search!$C$4="",Search!$C$4="All",B304=Search!$C$4),OR(Search!$C$5="",Search!$C$5="All",C304=Search!$C$5),OR(Search!$C$6="",Search!$C$6="All",D304=Search!$C$6),OR(Search!$C$7="",ISNUMBER(SEARCH(Search!$C$7,D304&amp;" "&amp;E304&amp;" "&amp;F304&amp;" "&amp;G304&amp;" "&amp;H304&amp;" "&amp;J304))),OR(Search!$C$8="",ISNUMBER(SEARCH(Search!$C$8,G304)))),1,0)</f>
        <v>1</v>
      </c>
      <c r="M304" s="15" t="n">
        <f aca="false">M303+L304</f>
        <v>303</v>
      </c>
    </row>
    <row r="305" customFormat="false" ht="15" hidden="false" customHeight="false" outlineLevel="0" collapsed="false">
      <c r="A305" s="14" t="n">
        <v>304</v>
      </c>
      <c r="B305" s="15" t="s">
        <v>347</v>
      </c>
      <c r="C305" s="15" t="s">
        <v>282</v>
      </c>
      <c r="D305" s="16" t="s">
        <v>285</v>
      </c>
      <c r="E305" s="16"/>
      <c r="F305" s="15" t="s">
        <v>286</v>
      </c>
      <c r="G305" s="15" t="s">
        <v>284</v>
      </c>
      <c r="H305" s="15" t="s">
        <v>203</v>
      </c>
      <c r="I305" s="17" t="n">
        <v>3.5</v>
      </c>
      <c r="J305" s="16"/>
      <c r="K305" s="15" t="s">
        <v>348</v>
      </c>
      <c r="L305" s="15" t="n">
        <f aca="false">IF(AND(OR(Search!$C$4="",Search!$C$4="All",B305=Search!$C$4),OR(Search!$C$5="",Search!$C$5="All",C305=Search!$C$5),OR(Search!$C$6="",Search!$C$6="All",D305=Search!$C$6),OR(Search!$C$7="",ISNUMBER(SEARCH(Search!$C$7,D305&amp;" "&amp;E305&amp;" "&amp;F305&amp;" "&amp;G305&amp;" "&amp;H305&amp;" "&amp;J305))),OR(Search!$C$8="",ISNUMBER(SEARCH(Search!$C$8,G305)))),1,0)</f>
        <v>1</v>
      </c>
      <c r="M305" s="15" t="n">
        <f aca="false">M304+L305</f>
        <v>304</v>
      </c>
    </row>
    <row r="306" customFormat="false" ht="15" hidden="false" customHeight="false" outlineLevel="0" collapsed="false">
      <c r="A306" s="14" t="n">
        <v>305</v>
      </c>
      <c r="B306" s="15" t="s">
        <v>347</v>
      </c>
      <c r="C306" s="15" t="s">
        <v>282</v>
      </c>
      <c r="D306" s="16" t="s">
        <v>283</v>
      </c>
      <c r="E306" s="16"/>
      <c r="F306" s="15" t="s">
        <v>287</v>
      </c>
      <c r="G306" s="15" t="s">
        <v>284</v>
      </c>
      <c r="H306" s="15" t="s">
        <v>203</v>
      </c>
      <c r="I306" s="17" t="n">
        <v>5.5</v>
      </c>
      <c r="J306" s="16"/>
      <c r="K306" s="15" t="s">
        <v>348</v>
      </c>
      <c r="L306" s="15" t="n">
        <f aca="false">IF(AND(OR(Search!$C$4="",Search!$C$4="All",B306=Search!$C$4),OR(Search!$C$5="",Search!$C$5="All",C306=Search!$C$5),OR(Search!$C$6="",Search!$C$6="All",D306=Search!$C$6),OR(Search!$C$7="",ISNUMBER(SEARCH(Search!$C$7,D306&amp;" "&amp;E306&amp;" "&amp;F306&amp;" "&amp;G306&amp;" "&amp;H306&amp;" "&amp;J306))),OR(Search!$C$8="",ISNUMBER(SEARCH(Search!$C$8,G306)))),1,0)</f>
        <v>1</v>
      </c>
      <c r="M306" s="15" t="n">
        <f aca="false">M305+L306</f>
        <v>305</v>
      </c>
    </row>
    <row r="307" customFormat="false" ht="15" hidden="false" customHeight="false" outlineLevel="0" collapsed="false">
      <c r="A307" s="14" t="n">
        <v>306</v>
      </c>
      <c r="B307" s="15" t="s">
        <v>347</v>
      </c>
      <c r="C307" s="15" t="s">
        <v>282</v>
      </c>
      <c r="D307" s="16" t="s">
        <v>283</v>
      </c>
      <c r="E307" s="16"/>
      <c r="F307" s="15" t="s">
        <v>288</v>
      </c>
      <c r="G307" s="15" t="s">
        <v>284</v>
      </c>
      <c r="H307" s="15" t="s">
        <v>203</v>
      </c>
      <c r="I307" s="17" t="n">
        <v>6.5</v>
      </c>
      <c r="J307" s="16"/>
      <c r="K307" s="15" t="s">
        <v>348</v>
      </c>
      <c r="L307" s="15" t="n">
        <f aca="false">IF(AND(OR(Search!$C$4="",Search!$C$4="All",B307=Search!$C$4),OR(Search!$C$5="",Search!$C$5="All",C307=Search!$C$5),OR(Search!$C$6="",Search!$C$6="All",D307=Search!$C$6),OR(Search!$C$7="",ISNUMBER(SEARCH(Search!$C$7,D307&amp;" "&amp;E307&amp;" "&amp;F307&amp;" "&amp;G307&amp;" "&amp;H307&amp;" "&amp;J307))),OR(Search!$C$8="",ISNUMBER(SEARCH(Search!$C$8,G307)))),1,0)</f>
        <v>1</v>
      </c>
      <c r="M307" s="15" t="n">
        <f aca="false">M306+L307</f>
        <v>306</v>
      </c>
    </row>
    <row r="308" customFormat="false" ht="15" hidden="false" customHeight="false" outlineLevel="0" collapsed="false">
      <c r="A308" s="14" t="n">
        <v>307</v>
      </c>
      <c r="B308" s="15" t="s">
        <v>347</v>
      </c>
      <c r="C308" s="15" t="s">
        <v>282</v>
      </c>
      <c r="D308" s="16" t="s">
        <v>285</v>
      </c>
      <c r="E308" s="16"/>
      <c r="F308" s="15" t="s">
        <v>288</v>
      </c>
      <c r="G308" s="15" t="s">
        <v>284</v>
      </c>
      <c r="H308" s="15" t="s">
        <v>203</v>
      </c>
      <c r="I308" s="17" t="n">
        <v>5.5</v>
      </c>
      <c r="J308" s="16"/>
      <c r="K308" s="15" t="s">
        <v>348</v>
      </c>
      <c r="L308" s="15" t="n">
        <f aca="false">IF(AND(OR(Search!$C$4="",Search!$C$4="All",B308=Search!$C$4),OR(Search!$C$5="",Search!$C$5="All",C308=Search!$C$5),OR(Search!$C$6="",Search!$C$6="All",D308=Search!$C$6),OR(Search!$C$7="",ISNUMBER(SEARCH(Search!$C$7,D308&amp;" "&amp;E308&amp;" "&amp;F308&amp;" "&amp;G308&amp;" "&amp;H308&amp;" "&amp;J308))),OR(Search!$C$8="",ISNUMBER(SEARCH(Search!$C$8,G308)))),1,0)</f>
        <v>1</v>
      </c>
      <c r="M308" s="15" t="n">
        <f aca="false">M307+L308</f>
        <v>307</v>
      </c>
    </row>
    <row r="309" customFormat="false" ht="15" hidden="false" customHeight="false" outlineLevel="0" collapsed="false">
      <c r="A309" s="14" t="n">
        <v>308</v>
      </c>
      <c r="B309" s="15" t="s">
        <v>347</v>
      </c>
      <c r="C309" s="15" t="s">
        <v>282</v>
      </c>
      <c r="D309" s="16" t="s">
        <v>283</v>
      </c>
      <c r="E309" s="16"/>
      <c r="F309" s="15" t="s">
        <v>289</v>
      </c>
      <c r="G309" s="15" t="s">
        <v>284</v>
      </c>
      <c r="H309" s="15" t="s">
        <v>203</v>
      </c>
      <c r="I309" s="17" t="n">
        <v>8</v>
      </c>
      <c r="J309" s="16"/>
      <c r="K309" s="15" t="s">
        <v>348</v>
      </c>
      <c r="L309" s="15" t="n">
        <f aca="false">IF(AND(OR(Search!$C$4="",Search!$C$4="All",B309=Search!$C$4),OR(Search!$C$5="",Search!$C$5="All",C309=Search!$C$5),OR(Search!$C$6="",Search!$C$6="All",D309=Search!$C$6),OR(Search!$C$7="",ISNUMBER(SEARCH(Search!$C$7,D309&amp;" "&amp;E309&amp;" "&amp;F309&amp;" "&amp;G309&amp;" "&amp;H309&amp;" "&amp;J309))),OR(Search!$C$8="",ISNUMBER(SEARCH(Search!$C$8,G309)))),1,0)</f>
        <v>1</v>
      </c>
      <c r="M309" s="15" t="n">
        <f aca="false">M308+L309</f>
        <v>308</v>
      </c>
    </row>
    <row r="310" customFormat="false" ht="15" hidden="false" customHeight="false" outlineLevel="0" collapsed="false">
      <c r="A310" s="14" t="n">
        <v>309</v>
      </c>
      <c r="B310" s="15" t="s">
        <v>347</v>
      </c>
      <c r="C310" s="15" t="s">
        <v>282</v>
      </c>
      <c r="D310" s="16" t="s">
        <v>283</v>
      </c>
      <c r="E310" s="16"/>
      <c r="F310" s="15" t="s">
        <v>290</v>
      </c>
      <c r="G310" s="15" t="s">
        <v>284</v>
      </c>
      <c r="H310" s="15" t="s">
        <v>203</v>
      </c>
      <c r="I310" s="17" t="n">
        <v>10.75</v>
      </c>
      <c r="J310" s="16"/>
      <c r="K310" s="15" t="s">
        <v>348</v>
      </c>
      <c r="L310" s="15" t="n">
        <f aca="false">IF(AND(OR(Search!$C$4="",Search!$C$4="All",B310=Search!$C$4),OR(Search!$C$5="",Search!$C$5="All",C310=Search!$C$5),OR(Search!$C$6="",Search!$C$6="All",D310=Search!$C$6),OR(Search!$C$7="",ISNUMBER(SEARCH(Search!$C$7,D310&amp;" "&amp;E310&amp;" "&amp;F310&amp;" "&amp;G310&amp;" "&amp;H310&amp;" "&amp;J310))),OR(Search!$C$8="",ISNUMBER(SEARCH(Search!$C$8,G310)))),1,0)</f>
        <v>1</v>
      </c>
      <c r="M310" s="15" t="n">
        <f aca="false">M309+L310</f>
        <v>309</v>
      </c>
    </row>
    <row r="311" customFormat="false" ht="15" hidden="false" customHeight="false" outlineLevel="0" collapsed="false">
      <c r="A311" s="14" t="n">
        <v>310</v>
      </c>
      <c r="B311" s="15" t="s">
        <v>347</v>
      </c>
      <c r="C311" s="15" t="s">
        <v>282</v>
      </c>
      <c r="D311" s="16" t="s">
        <v>283</v>
      </c>
      <c r="E311" s="16"/>
      <c r="F311" s="15" t="s">
        <v>360</v>
      </c>
      <c r="G311" s="15" t="s">
        <v>284</v>
      </c>
      <c r="H311" s="15" t="s">
        <v>203</v>
      </c>
      <c r="I311" s="17" t="n">
        <v>8</v>
      </c>
      <c r="J311" s="16"/>
      <c r="K311" s="15" t="s">
        <v>348</v>
      </c>
      <c r="L311" s="15" t="n">
        <f aca="false">IF(AND(OR(Search!$C$4="",Search!$C$4="All",B311=Search!$C$4),OR(Search!$C$5="",Search!$C$5="All",C311=Search!$C$5),OR(Search!$C$6="",Search!$C$6="All",D311=Search!$C$6),OR(Search!$C$7="",ISNUMBER(SEARCH(Search!$C$7,D311&amp;" "&amp;E311&amp;" "&amp;F311&amp;" "&amp;G311&amp;" "&amp;H311&amp;" "&amp;J311))),OR(Search!$C$8="",ISNUMBER(SEARCH(Search!$C$8,G311)))),1,0)</f>
        <v>1</v>
      </c>
      <c r="M311" s="15" t="n">
        <f aca="false">M310+L311</f>
        <v>310</v>
      </c>
    </row>
    <row r="312" customFormat="false" ht="15" hidden="false" customHeight="false" outlineLevel="0" collapsed="false">
      <c r="A312" s="14" t="n">
        <v>311</v>
      </c>
      <c r="B312" s="15" t="s">
        <v>347</v>
      </c>
      <c r="C312" s="15" t="s">
        <v>282</v>
      </c>
      <c r="D312" s="16" t="s">
        <v>283</v>
      </c>
      <c r="E312" s="16"/>
      <c r="F312" s="15" t="s">
        <v>291</v>
      </c>
      <c r="G312" s="15" t="s">
        <v>284</v>
      </c>
      <c r="H312" s="15" t="s">
        <v>203</v>
      </c>
      <c r="I312" s="17" t="n">
        <v>6</v>
      </c>
      <c r="J312" s="16"/>
      <c r="K312" s="15" t="s">
        <v>348</v>
      </c>
      <c r="L312" s="15" t="n">
        <f aca="false">IF(AND(OR(Search!$C$4="",Search!$C$4="All",B312=Search!$C$4),OR(Search!$C$5="",Search!$C$5="All",C312=Search!$C$5),OR(Search!$C$6="",Search!$C$6="All",D312=Search!$C$6),OR(Search!$C$7="",ISNUMBER(SEARCH(Search!$C$7,D312&amp;" "&amp;E312&amp;" "&amp;F312&amp;" "&amp;G312&amp;" "&amp;H312&amp;" "&amp;J312))),OR(Search!$C$8="",ISNUMBER(SEARCH(Search!$C$8,G312)))),1,0)</f>
        <v>1</v>
      </c>
      <c r="M312" s="15" t="n">
        <f aca="false">M311+L312</f>
        <v>311</v>
      </c>
    </row>
    <row r="313" customFormat="false" ht="15" hidden="false" customHeight="false" outlineLevel="0" collapsed="false">
      <c r="A313" s="14" t="n">
        <v>312</v>
      </c>
      <c r="B313" s="15" t="s">
        <v>347</v>
      </c>
      <c r="C313" s="15" t="s">
        <v>282</v>
      </c>
      <c r="D313" s="16" t="s">
        <v>285</v>
      </c>
      <c r="E313" s="16"/>
      <c r="F313" s="15" t="s">
        <v>291</v>
      </c>
      <c r="G313" s="15" t="s">
        <v>284</v>
      </c>
      <c r="H313" s="15" t="s">
        <v>203</v>
      </c>
      <c r="I313" s="17" t="n">
        <v>5.5</v>
      </c>
      <c r="J313" s="16" t="s">
        <v>292</v>
      </c>
      <c r="K313" s="15" t="s">
        <v>348</v>
      </c>
      <c r="L313" s="15" t="n">
        <f aca="false">IF(AND(OR(Search!$C$4="",Search!$C$4="All",B313=Search!$C$4),OR(Search!$C$5="",Search!$C$5="All",C313=Search!$C$5),OR(Search!$C$6="",Search!$C$6="All",D313=Search!$C$6),OR(Search!$C$7="",ISNUMBER(SEARCH(Search!$C$7,D313&amp;" "&amp;E313&amp;" "&amp;F313&amp;" "&amp;G313&amp;" "&amp;H313&amp;" "&amp;J313))),OR(Search!$C$8="",ISNUMBER(SEARCH(Search!$C$8,G313)))),1,0)</f>
        <v>1</v>
      </c>
      <c r="M313" s="15" t="n">
        <f aca="false">M312+L313</f>
        <v>312</v>
      </c>
    </row>
    <row r="314" customFormat="false" ht="15" hidden="false" customHeight="false" outlineLevel="0" collapsed="false">
      <c r="A314" s="14" t="n">
        <v>313</v>
      </c>
      <c r="B314" s="15" t="s">
        <v>347</v>
      </c>
      <c r="C314" s="15" t="s">
        <v>293</v>
      </c>
      <c r="D314" s="16" t="s">
        <v>299</v>
      </c>
      <c r="E314" s="16"/>
      <c r="F314" s="15" t="s">
        <v>295</v>
      </c>
      <c r="G314" s="15" t="s">
        <v>296</v>
      </c>
      <c r="H314" s="15" t="s">
        <v>161</v>
      </c>
      <c r="I314" s="17" t="n">
        <v>1460</v>
      </c>
      <c r="J314" s="16"/>
      <c r="K314" s="15" t="s">
        <v>348</v>
      </c>
      <c r="L314" s="15" t="n">
        <f aca="false">IF(AND(OR(Search!$C$4="",Search!$C$4="All",B314=Search!$C$4),OR(Search!$C$5="",Search!$C$5="All",C314=Search!$C$5),OR(Search!$C$6="",Search!$C$6="All",D314=Search!$C$6),OR(Search!$C$7="",ISNUMBER(SEARCH(Search!$C$7,D314&amp;" "&amp;E314&amp;" "&amp;F314&amp;" "&amp;G314&amp;" "&amp;H314&amp;" "&amp;J314))),OR(Search!$C$8="",ISNUMBER(SEARCH(Search!$C$8,G314)))),1,0)</f>
        <v>1</v>
      </c>
      <c r="M314" s="15" t="n">
        <f aca="false">M313+L314</f>
        <v>313</v>
      </c>
    </row>
    <row r="315" customFormat="false" ht="15" hidden="false" customHeight="false" outlineLevel="0" collapsed="false">
      <c r="A315" s="14" t="n">
        <v>314</v>
      </c>
      <c r="B315" s="15" t="s">
        <v>347</v>
      </c>
      <c r="C315" s="15" t="s">
        <v>293</v>
      </c>
      <c r="D315" s="16" t="s">
        <v>299</v>
      </c>
      <c r="E315" s="16"/>
      <c r="F315" s="15" t="s">
        <v>297</v>
      </c>
      <c r="G315" s="15" t="s">
        <v>296</v>
      </c>
      <c r="H315" s="15" t="s">
        <v>161</v>
      </c>
      <c r="I315" s="17" t="n">
        <v>1670</v>
      </c>
      <c r="J315" s="16"/>
      <c r="K315" s="15" t="s">
        <v>348</v>
      </c>
      <c r="L315" s="15" t="n">
        <f aca="false">IF(AND(OR(Search!$C$4="",Search!$C$4="All",B315=Search!$C$4),OR(Search!$C$5="",Search!$C$5="All",C315=Search!$C$5),OR(Search!$C$6="",Search!$C$6="All",D315=Search!$C$6),OR(Search!$C$7="",ISNUMBER(SEARCH(Search!$C$7,D315&amp;" "&amp;E315&amp;" "&amp;F315&amp;" "&amp;G315&amp;" "&amp;H315&amp;" "&amp;J315))),OR(Search!$C$8="",ISNUMBER(SEARCH(Search!$C$8,G315)))),1,0)</f>
        <v>1</v>
      </c>
      <c r="M315" s="15" t="n">
        <f aca="false">M314+L315</f>
        <v>314</v>
      </c>
    </row>
    <row r="316" customFormat="false" ht="15" hidden="false" customHeight="false" outlineLevel="0" collapsed="false">
      <c r="A316" s="14" t="n">
        <v>315</v>
      </c>
      <c r="B316" s="15" t="s">
        <v>347</v>
      </c>
      <c r="C316" s="15" t="s">
        <v>293</v>
      </c>
      <c r="D316" s="16" t="s">
        <v>294</v>
      </c>
      <c r="E316" s="16"/>
      <c r="F316" s="15" t="s">
        <v>298</v>
      </c>
      <c r="G316" s="15" t="s">
        <v>296</v>
      </c>
      <c r="H316" s="15" t="s">
        <v>161</v>
      </c>
      <c r="I316" s="17" t="n">
        <v>1350</v>
      </c>
      <c r="J316" s="16"/>
      <c r="K316" s="15" t="s">
        <v>348</v>
      </c>
      <c r="L316" s="15" t="n">
        <f aca="false">IF(AND(OR(Search!$C$4="",Search!$C$4="All",B316=Search!$C$4),OR(Search!$C$5="",Search!$C$5="All",C316=Search!$C$5),OR(Search!$C$6="",Search!$C$6="All",D316=Search!$C$6),OR(Search!$C$7="",ISNUMBER(SEARCH(Search!$C$7,D316&amp;" "&amp;E316&amp;" "&amp;F316&amp;" "&amp;G316&amp;" "&amp;H316&amp;" "&amp;J316))),OR(Search!$C$8="",ISNUMBER(SEARCH(Search!$C$8,G316)))),1,0)</f>
        <v>1</v>
      </c>
      <c r="M316" s="15" t="n">
        <f aca="false">M315+L316</f>
        <v>315</v>
      </c>
    </row>
    <row r="317" customFormat="false" ht="15" hidden="false" customHeight="false" outlineLevel="0" collapsed="false">
      <c r="A317" s="14" t="n">
        <v>316</v>
      </c>
      <c r="B317" s="15" t="s">
        <v>347</v>
      </c>
      <c r="C317" s="15" t="s">
        <v>293</v>
      </c>
      <c r="D317" s="16" t="s">
        <v>299</v>
      </c>
      <c r="E317" s="16"/>
      <c r="F317" s="15" t="s">
        <v>298</v>
      </c>
      <c r="G317" s="15" t="s">
        <v>296</v>
      </c>
      <c r="H317" s="15" t="s">
        <v>161</v>
      </c>
      <c r="I317" s="17" t="n">
        <v>2200</v>
      </c>
      <c r="J317" s="16"/>
      <c r="K317" s="15" t="s">
        <v>348</v>
      </c>
      <c r="L317" s="15" t="n">
        <f aca="false">IF(AND(OR(Search!$C$4="",Search!$C$4="All",B317=Search!$C$4),OR(Search!$C$5="",Search!$C$5="All",C317=Search!$C$5),OR(Search!$C$6="",Search!$C$6="All",D317=Search!$C$6),OR(Search!$C$7="",ISNUMBER(SEARCH(Search!$C$7,D317&amp;" "&amp;E317&amp;" "&amp;F317&amp;" "&amp;G317&amp;" "&amp;H317&amp;" "&amp;J317))),OR(Search!$C$8="",ISNUMBER(SEARCH(Search!$C$8,G317)))),1,0)</f>
        <v>1</v>
      </c>
      <c r="M317" s="15" t="n">
        <f aca="false">M316+L317</f>
        <v>316</v>
      </c>
    </row>
    <row r="318" customFormat="false" ht="15" hidden="false" customHeight="false" outlineLevel="0" collapsed="false">
      <c r="A318" s="14" t="n">
        <v>317</v>
      </c>
      <c r="B318" s="15" t="s">
        <v>347</v>
      </c>
      <c r="C318" s="15" t="s">
        <v>293</v>
      </c>
      <c r="D318" s="16" t="s">
        <v>300</v>
      </c>
      <c r="E318" s="16"/>
      <c r="F318" s="15" t="s">
        <v>298</v>
      </c>
      <c r="G318" s="15" t="s">
        <v>296</v>
      </c>
      <c r="H318" s="15" t="s">
        <v>161</v>
      </c>
      <c r="I318" s="17" t="n">
        <v>2490</v>
      </c>
      <c r="J318" s="16"/>
      <c r="K318" s="15" t="s">
        <v>348</v>
      </c>
      <c r="L318" s="15" t="n">
        <f aca="false">IF(AND(OR(Search!$C$4="",Search!$C$4="All",B318=Search!$C$4),OR(Search!$C$5="",Search!$C$5="All",C318=Search!$C$5),OR(Search!$C$6="",Search!$C$6="All",D318=Search!$C$6),OR(Search!$C$7="",ISNUMBER(SEARCH(Search!$C$7,D318&amp;" "&amp;E318&amp;" "&amp;F318&amp;" "&amp;G318&amp;" "&amp;H318&amp;" "&amp;J318))),OR(Search!$C$8="",ISNUMBER(SEARCH(Search!$C$8,G318)))),1,0)</f>
        <v>1</v>
      </c>
      <c r="M318" s="15" t="n">
        <f aca="false">M317+L318</f>
        <v>317</v>
      </c>
    </row>
    <row r="319" customFormat="false" ht="15" hidden="false" customHeight="false" outlineLevel="0" collapsed="false">
      <c r="A319" s="14" t="n">
        <v>318</v>
      </c>
      <c r="B319" s="15" t="s">
        <v>347</v>
      </c>
      <c r="C319" s="15" t="s">
        <v>293</v>
      </c>
      <c r="D319" s="16" t="s">
        <v>299</v>
      </c>
      <c r="E319" s="16"/>
      <c r="F319" s="15" t="s">
        <v>301</v>
      </c>
      <c r="G319" s="15" t="s">
        <v>296</v>
      </c>
      <c r="H319" s="15" t="s">
        <v>161</v>
      </c>
      <c r="I319" s="17" t="n">
        <v>2500</v>
      </c>
      <c r="J319" s="16"/>
      <c r="K319" s="15" t="s">
        <v>348</v>
      </c>
      <c r="L319" s="15" t="n">
        <f aca="false">IF(AND(OR(Search!$C$4="",Search!$C$4="All",B319=Search!$C$4),OR(Search!$C$5="",Search!$C$5="All",C319=Search!$C$5),OR(Search!$C$6="",Search!$C$6="All",D319=Search!$C$6),OR(Search!$C$7="",ISNUMBER(SEARCH(Search!$C$7,D319&amp;" "&amp;E319&amp;" "&amp;F319&amp;" "&amp;G319&amp;" "&amp;H319&amp;" "&amp;J319))),OR(Search!$C$8="",ISNUMBER(SEARCH(Search!$C$8,G319)))),1,0)</f>
        <v>1</v>
      </c>
      <c r="M319" s="15" t="n">
        <f aca="false">M318+L319</f>
        <v>318</v>
      </c>
    </row>
    <row r="320" customFormat="false" ht="15" hidden="false" customHeight="false" outlineLevel="0" collapsed="false">
      <c r="A320" s="14" t="n">
        <v>319</v>
      </c>
      <c r="B320" s="15" t="s">
        <v>347</v>
      </c>
      <c r="C320" s="15" t="s">
        <v>293</v>
      </c>
      <c r="D320" s="16" t="s">
        <v>300</v>
      </c>
      <c r="E320" s="16"/>
      <c r="F320" s="15" t="s">
        <v>301</v>
      </c>
      <c r="G320" s="15" t="s">
        <v>296</v>
      </c>
      <c r="H320" s="15" t="s">
        <v>161</v>
      </c>
      <c r="I320" s="17" t="n">
        <v>2990</v>
      </c>
      <c r="J320" s="16"/>
      <c r="K320" s="15" t="s">
        <v>348</v>
      </c>
      <c r="L320" s="15" t="n">
        <f aca="false">IF(AND(OR(Search!$C$4="",Search!$C$4="All",B320=Search!$C$4),OR(Search!$C$5="",Search!$C$5="All",C320=Search!$C$5),OR(Search!$C$6="",Search!$C$6="All",D320=Search!$C$6),OR(Search!$C$7="",ISNUMBER(SEARCH(Search!$C$7,D320&amp;" "&amp;E320&amp;" "&amp;F320&amp;" "&amp;G320&amp;" "&amp;H320&amp;" "&amp;J320))),OR(Search!$C$8="",ISNUMBER(SEARCH(Search!$C$8,G320)))),1,0)</f>
        <v>1</v>
      </c>
      <c r="M320" s="15" t="n">
        <f aca="false">M319+L320</f>
        <v>319</v>
      </c>
    </row>
    <row r="321" customFormat="false" ht="15" hidden="false" customHeight="false" outlineLevel="0" collapsed="false">
      <c r="A321" s="14" t="n">
        <v>320</v>
      </c>
      <c r="B321" s="15" t="s">
        <v>347</v>
      </c>
      <c r="C321" s="15" t="s">
        <v>293</v>
      </c>
      <c r="D321" s="16" t="s">
        <v>294</v>
      </c>
      <c r="E321" s="16"/>
      <c r="F321" s="15" t="s">
        <v>302</v>
      </c>
      <c r="G321" s="15" t="s">
        <v>296</v>
      </c>
      <c r="H321" s="15" t="s">
        <v>161</v>
      </c>
      <c r="I321" s="17" t="n">
        <v>1450</v>
      </c>
      <c r="J321" s="16"/>
      <c r="K321" s="15" t="s">
        <v>348</v>
      </c>
      <c r="L321" s="15" t="n">
        <f aca="false">IF(AND(OR(Search!$C$4="",Search!$C$4="All",B321=Search!$C$4),OR(Search!$C$5="",Search!$C$5="All",C321=Search!$C$5),OR(Search!$C$6="",Search!$C$6="All",D321=Search!$C$6),OR(Search!$C$7="",ISNUMBER(SEARCH(Search!$C$7,D321&amp;" "&amp;E321&amp;" "&amp;F321&amp;" "&amp;G321&amp;" "&amp;H321&amp;" "&amp;J321))),OR(Search!$C$8="",ISNUMBER(SEARCH(Search!$C$8,G321)))),1,0)</f>
        <v>1</v>
      </c>
      <c r="M321" s="15" t="n">
        <f aca="false">M320+L321</f>
        <v>320</v>
      </c>
    </row>
    <row r="322" customFormat="false" ht="15" hidden="false" customHeight="false" outlineLevel="0" collapsed="false">
      <c r="A322" s="14" t="n">
        <v>321</v>
      </c>
      <c r="B322" s="15" t="s">
        <v>347</v>
      </c>
      <c r="C322" s="15" t="s">
        <v>293</v>
      </c>
      <c r="D322" s="16" t="s">
        <v>299</v>
      </c>
      <c r="E322" s="16"/>
      <c r="F322" s="15" t="s">
        <v>302</v>
      </c>
      <c r="G322" s="15" t="s">
        <v>296</v>
      </c>
      <c r="H322" s="15" t="s">
        <v>161</v>
      </c>
      <c r="I322" s="17" t="n">
        <v>2720</v>
      </c>
      <c r="J322" s="16"/>
      <c r="K322" s="15" t="s">
        <v>348</v>
      </c>
      <c r="L322" s="15" t="n">
        <f aca="false">IF(AND(OR(Search!$C$4="",Search!$C$4="All",B322=Search!$C$4),OR(Search!$C$5="",Search!$C$5="All",C322=Search!$C$5),OR(Search!$C$6="",Search!$C$6="All",D322=Search!$C$6),OR(Search!$C$7="",ISNUMBER(SEARCH(Search!$C$7,D322&amp;" "&amp;E322&amp;" "&amp;F322&amp;" "&amp;G322&amp;" "&amp;H322&amp;" "&amp;J322))),OR(Search!$C$8="",ISNUMBER(SEARCH(Search!$C$8,G322)))),1,0)</f>
        <v>1</v>
      </c>
      <c r="M322" s="15" t="n">
        <f aca="false">M321+L322</f>
        <v>321</v>
      </c>
    </row>
    <row r="323" customFormat="false" ht="15" hidden="false" customHeight="false" outlineLevel="0" collapsed="false">
      <c r="A323" s="14" t="n">
        <v>322</v>
      </c>
      <c r="B323" s="15" t="s">
        <v>347</v>
      </c>
      <c r="C323" s="15" t="s">
        <v>293</v>
      </c>
      <c r="D323" s="16" t="s">
        <v>300</v>
      </c>
      <c r="E323" s="16"/>
      <c r="F323" s="15" t="s">
        <v>302</v>
      </c>
      <c r="G323" s="15" t="s">
        <v>296</v>
      </c>
      <c r="H323" s="15" t="s">
        <v>161</v>
      </c>
      <c r="I323" s="17" t="n">
        <v>3240</v>
      </c>
      <c r="J323" s="16"/>
      <c r="K323" s="15" t="s">
        <v>348</v>
      </c>
      <c r="L323" s="15" t="n">
        <f aca="false">IF(AND(OR(Search!$C$4="",Search!$C$4="All",B323=Search!$C$4),OR(Search!$C$5="",Search!$C$5="All",C323=Search!$C$5),OR(Search!$C$6="",Search!$C$6="All",D323=Search!$C$6),OR(Search!$C$7="",ISNUMBER(SEARCH(Search!$C$7,D323&amp;" "&amp;E323&amp;" "&amp;F323&amp;" "&amp;G323&amp;" "&amp;H323&amp;" "&amp;J323))),OR(Search!$C$8="",ISNUMBER(SEARCH(Search!$C$8,G323)))),1,0)</f>
        <v>1</v>
      </c>
      <c r="M323" s="15" t="n">
        <f aca="false">M322+L323</f>
        <v>322</v>
      </c>
    </row>
    <row r="324" customFormat="false" ht="15" hidden="false" customHeight="false" outlineLevel="0" collapsed="false">
      <c r="A324" s="14" t="n">
        <v>323</v>
      </c>
      <c r="B324" s="15" t="s">
        <v>347</v>
      </c>
      <c r="C324" s="15" t="s">
        <v>293</v>
      </c>
      <c r="D324" s="16" t="s">
        <v>294</v>
      </c>
      <c r="E324" s="16"/>
      <c r="F324" s="15" t="s">
        <v>303</v>
      </c>
      <c r="G324" s="15" t="s">
        <v>296</v>
      </c>
      <c r="H324" s="15" t="s">
        <v>161</v>
      </c>
      <c r="I324" s="17" t="n">
        <v>1765</v>
      </c>
      <c r="J324" s="16"/>
      <c r="K324" s="15" t="s">
        <v>348</v>
      </c>
      <c r="L324" s="15" t="n">
        <f aca="false">IF(AND(OR(Search!$C$4="",Search!$C$4="All",B324=Search!$C$4),OR(Search!$C$5="",Search!$C$5="All",C324=Search!$C$5),OR(Search!$C$6="",Search!$C$6="All",D324=Search!$C$6),OR(Search!$C$7="",ISNUMBER(SEARCH(Search!$C$7,D324&amp;" "&amp;E324&amp;" "&amp;F324&amp;" "&amp;G324&amp;" "&amp;H324&amp;" "&amp;J324))),OR(Search!$C$8="",ISNUMBER(SEARCH(Search!$C$8,G324)))),1,0)</f>
        <v>1</v>
      </c>
      <c r="M324" s="15" t="n">
        <f aca="false">M323+L324</f>
        <v>323</v>
      </c>
    </row>
    <row r="325" customFormat="false" ht="15" hidden="false" customHeight="false" outlineLevel="0" collapsed="false">
      <c r="A325" s="14" t="n">
        <v>324</v>
      </c>
      <c r="B325" s="15" t="s">
        <v>347</v>
      </c>
      <c r="C325" s="15" t="s">
        <v>293</v>
      </c>
      <c r="D325" s="16" t="s">
        <v>299</v>
      </c>
      <c r="E325" s="16"/>
      <c r="F325" s="15" t="s">
        <v>303</v>
      </c>
      <c r="G325" s="15" t="s">
        <v>296</v>
      </c>
      <c r="H325" s="15" t="s">
        <v>161</v>
      </c>
      <c r="I325" s="17" t="n">
        <v>2930</v>
      </c>
      <c r="J325" s="16"/>
      <c r="K325" s="15" t="s">
        <v>348</v>
      </c>
      <c r="L325" s="15" t="n">
        <f aca="false">IF(AND(OR(Search!$C$4="",Search!$C$4="All",B325=Search!$C$4),OR(Search!$C$5="",Search!$C$5="All",C325=Search!$C$5),OR(Search!$C$6="",Search!$C$6="All",D325=Search!$C$6),OR(Search!$C$7="",ISNUMBER(SEARCH(Search!$C$7,D325&amp;" "&amp;E325&amp;" "&amp;F325&amp;" "&amp;G325&amp;" "&amp;H325&amp;" "&amp;J325))),OR(Search!$C$8="",ISNUMBER(SEARCH(Search!$C$8,G325)))),1,0)</f>
        <v>1</v>
      </c>
      <c r="M325" s="15" t="n">
        <f aca="false">M324+L325</f>
        <v>324</v>
      </c>
    </row>
    <row r="326" customFormat="false" ht="15" hidden="false" customHeight="false" outlineLevel="0" collapsed="false">
      <c r="A326" s="14" t="n">
        <v>325</v>
      </c>
      <c r="B326" s="15" t="s">
        <v>347</v>
      </c>
      <c r="C326" s="15" t="s">
        <v>293</v>
      </c>
      <c r="D326" s="16" t="s">
        <v>300</v>
      </c>
      <c r="E326" s="16"/>
      <c r="F326" s="15" t="s">
        <v>303</v>
      </c>
      <c r="G326" s="15" t="s">
        <v>296</v>
      </c>
      <c r="H326" s="15" t="s">
        <v>161</v>
      </c>
      <c r="I326" s="17" t="n">
        <v>3490</v>
      </c>
      <c r="J326" s="16"/>
      <c r="K326" s="15" t="s">
        <v>348</v>
      </c>
      <c r="L326" s="15" t="n">
        <f aca="false">IF(AND(OR(Search!$C$4="",Search!$C$4="All",B326=Search!$C$4),OR(Search!$C$5="",Search!$C$5="All",C326=Search!$C$5),OR(Search!$C$6="",Search!$C$6="All",D326=Search!$C$6),OR(Search!$C$7="",ISNUMBER(SEARCH(Search!$C$7,D326&amp;" "&amp;E326&amp;" "&amp;F326&amp;" "&amp;G326&amp;" "&amp;H326&amp;" "&amp;J326))),OR(Search!$C$8="",ISNUMBER(SEARCH(Search!$C$8,G326)))),1,0)</f>
        <v>1</v>
      </c>
      <c r="M326" s="15" t="n">
        <f aca="false">M325+L326</f>
        <v>325</v>
      </c>
    </row>
    <row r="327" customFormat="false" ht="15" hidden="false" customHeight="false" outlineLevel="0" collapsed="false">
      <c r="A327" s="14" t="n">
        <v>326</v>
      </c>
      <c r="B327" s="15" t="s">
        <v>347</v>
      </c>
      <c r="C327" s="15" t="s">
        <v>293</v>
      </c>
      <c r="D327" s="16" t="s">
        <v>294</v>
      </c>
      <c r="E327" s="16"/>
      <c r="F327" s="15" t="s">
        <v>304</v>
      </c>
      <c r="G327" s="15" t="s">
        <v>296</v>
      </c>
      <c r="H327" s="15" t="s">
        <v>161</v>
      </c>
      <c r="I327" s="17" t="n">
        <v>2020</v>
      </c>
      <c r="J327" s="16"/>
      <c r="K327" s="15" t="s">
        <v>348</v>
      </c>
      <c r="L327" s="15" t="n">
        <f aca="false">IF(AND(OR(Search!$C$4="",Search!$C$4="All",B327=Search!$C$4),OR(Search!$C$5="",Search!$C$5="All",C327=Search!$C$5),OR(Search!$C$6="",Search!$C$6="All",D327=Search!$C$6),OR(Search!$C$7="",ISNUMBER(SEARCH(Search!$C$7,D327&amp;" "&amp;E327&amp;" "&amp;F327&amp;" "&amp;G327&amp;" "&amp;H327&amp;" "&amp;J327))),OR(Search!$C$8="",ISNUMBER(SEARCH(Search!$C$8,G327)))),1,0)</f>
        <v>1</v>
      </c>
      <c r="M327" s="15" t="n">
        <f aca="false">M326+L327</f>
        <v>326</v>
      </c>
    </row>
    <row r="328" customFormat="false" ht="15" hidden="false" customHeight="false" outlineLevel="0" collapsed="false">
      <c r="A328" s="14" t="n">
        <v>327</v>
      </c>
      <c r="B328" s="15" t="s">
        <v>347</v>
      </c>
      <c r="C328" s="15" t="s">
        <v>293</v>
      </c>
      <c r="D328" s="16" t="s">
        <v>299</v>
      </c>
      <c r="E328" s="16"/>
      <c r="F328" s="15" t="s">
        <v>304</v>
      </c>
      <c r="G328" s="15" t="s">
        <v>296</v>
      </c>
      <c r="H328" s="15" t="s">
        <v>161</v>
      </c>
      <c r="I328" s="17" t="n">
        <v>3340</v>
      </c>
      <c r="J328" s="16"/>
      <c r="K328" s="15" t="s">
        <v>348</v>
      </c>
      <c r="L328" s="15" t="n">
        <f aca="false">IF(AND(OR(Search!$C$4="",Search!$C$4="All",B328=Search!$C$4),OR(Search!$C$5="",Search!$C$5="All",C328=Search!$C$5),OR(Search!$C$6="",Search!$C$6="All",D328=Search!$C$6),OR(Search!$C$7="",ISNUMBER(SEARCH(Search!$C$7,D328&amp;" "&amp;E328&amp;" "&amp;F328&amp;" "&amp;G328&amp;" "&amp;H328&amp;" "&amp;J328))),OR(Search!$C$8="",ISNUMBER(SEARCH(Search!$C$8,G328)))),1,0)</f>
        <v>1</v>
      </c>
      <c r="M328" s="15" t="n">
        <f aca="false">M327+L328</f>
        <v>327</v>
      </c>
    </row>
    <row r="329" customFormat="false" ht="15" hidden="false" customHeight="false" outlineLevel="0" collapsed="false">
      <c r="A329" s="14" t="n">
        <v>328</v>
      </c>
      <c r="B329" s="15" t="s">
        <v>347</v>
      </c>
      <c r="C329" s="15" t="s">
        <v>293</v>
      </c>
      <c r="D329" s="16" t="s">
        <v>300</v>
      </c>
      <c r="E329" s="16"/>
      <c r="F329" s="15" t="s">
        <v>304</v>
      </c>
      <c r="G329" s="15" t="s">
        <v>296</v>
      </c>
      <c r="H329" s="15" t="s">
        <v>161</v>
      </c>
      <c r="I329" s="17" t="n">
        <v>3990</v>
      </c>
      <c r="J329" s="16"/>
      <c r="K329" s="15" t="s">
        <v>348</v>
      </c>
      <c r="L329" s="15" t="n">
        <f aca="false">IF(AND(OR(Search!$C$4="",Search!$C$4="All",B329=Search!$C$4),OR(Search!$C$5="",Search!$C$5="All",C329=Search!$C$5),OR(Search!$C$6="",Search!$C$6="All",D329=Search!$C$6),OR(Search!$C$7="",ISNUMBER(SEARCH(Search!$C$7,D329&amp;" "&amp;E329&amp;" "&amp;F329&amp;" "&amp;G329&amp;" "&amp;H329&amp;" "&amp;J329))),OR(Search!$C$8="",ISNUMBER(SEARCH(Search!$C$8,G329)))),1,0)</f>
        <v>1</v>
      </c>
      <c r="M329" s="15" t="n">
        <f aca="false">M328+L329</f>
        <v>328</v>
      </c>
    </row>
    <row r="330" customFormat="false" ht="15" hidden="false" customHeight="false" outlineLevel="0" collapsed="false">
      <c r="A330" s="14" t="n">
        <v>329</v>
      </c>
      <c r="B330" s="15" t="s">
        <v>347</v>
      </c>
      <c r="C330" s="15" t="s">
        <v>293</v>
      </c>
      <c r="D330" s="16" t="s">
        <v>299</v>
      </c>
      <c r="E330" s="16"/>
      <c r="F330" s="15" t="s">
        <v>305</v>
      </c>
      <c r="G330" s="15" t="s">
        <v>296</v>
      </c>
      <c r="H330" s="15" t="s">
        <v>161</v>
      </c>
      <c r="I330" s="17" t="n">
        <v>3760</v>
      </c>
      <c r="J330" s="16"/>
      <c r="K330" s="15" t="s">
        <v>348</v>
      </c>
      <c r="L330" s="15" t="n">
        <f aca="false">IF(AND(OR(Search!$C$4="",Search!$C$4="All",B330=Search!$C$4),OR(Search!$C$5="",Search!$C$5="All",C330=Search!$C$5),OR(Search!$C$6="",Search!$C$6="All",D330=Search!$C$6),OR(Search!$C$7="",ISNUMBER(SEARCH(Search!$C$7,D330&amp;" "&amp;E330&amp;" "&amp;F330&amp;" "&amp;G330&amp;" "&amp;H330&amp;" "&amp;J330))),OR(Search!$C$8="",ISNUMBER(SEARCH(Search!$C$8,G330)))),1,0)</f>
        <v>1</v>
      </c>
      <c r="M330" s="15" t="n">
        <f aca="false">M329+L330</f>
        <v>329</v>
      </c>
    </row>
    <row r="331" customFormat="false" ht="15" hidden="false" customHeight="false" outlineLevel="0" collapsed="false">
      <c r="A331" s="14" t="n">
        <v>330</v>
      </c>
      <c r="B331" s="15" t="s">
        <v>347</v>
      </c>
      <c r="C331" s="15" t="s">
        <v>293</v>
      </c>
      <c r="D331" s="16" t="s">
        <v>300</v>
      </c>
      <c r="E331" s="16"/>
      <c r="F331" s="15" t="s">
        <v>305</v>
      </c>
      <c r="G331" s="15" t="s">
        <v>296</v>
      </c>
      <c r="H331" s="15" t="s">
        <v>161</v>
      </c>
      <c r="I331" s="17" t="n">
        <v>4480</v>
      </c>
      <c r="J331" s="16"/>
      <c r="K331" s="15" t="s">
        <v>348</v>
      </c>
      <c r="L331" s="15" t="n">
        <f aca="false">IF(AND(OR(Search!$C$4="",Search!$C$4="All",B331=Search!$C$4),OR(Search!$C$5="",Search!$C$5="All",C331=Search!$C$5),OR(Search!$C$6="",Search!$C$6="All",D331=Search!$C$6),OR(Search!$C$7="",ISNUMBER(SEARCH(Search!$C$7,D331&amp;" "&amp;E331&amp;" "&amp;F331&amp;" "&amp;G331&amp;" "&amp;H331&amp;" "&amp;J331))),OR(Search!$C$8="",ISNUMBER(SEARCH(Search!$C$8,G331)))),1,0)</f>
        <v>1</v>
      </c>
      <c r="M331" s="15" t="n">
        <f aca="false">M330+L331</f>
        <v>330</v>
      </c>
    </row>
    <row r="332" customFormat="false" ht="15" hidden="false" customHeight="false" outlineLevel="0" collapsed="false">
      <c r="A332" s="14" t="n">
        <v>331</v>
      </c>
      <c r="B332" s="15" t="s">
        <v>347</v>
      </c>
      <c r="C332" s="15" t="s">
        <v>293</v>
      </c>
      <c r="D332" s="16" t="s">
        <v>299</v>
      </c>
      <c r="E332" s="16"/>
      <c r="F332" s="15" t="s">
        <v>306</v>
      </c>
      <c r="G332" s="15" t="s">
        <v>296</v>
      </c>
      <c r="H332" s="15" t="s">
        <v>203</v>
      </c>
      <c r="I332" s="17" t="n">
        <v>8.7</v>
      </c>
      <c r="J332" s="16"/>
      <c r="K332" s="15" t="s">
        <v>348</v>
      </c>
      <c r="L332" s="15" t="n">
        <f aca="false">IF(AND(OR(Search!$C$4="",Search!$C$4="All",B332=Search!$C$4),OR(Search!$C$5="",Search!$C$5="All",C332=Search!$C$5),OR(Search!$C$6="",Search!$C$6="All",D332=Search!$C$6),OR(Search!$C$7="",ISNUMBER(SEARCH(Search!$C$7,D332&amp;" "&amp;E332&amp;" "&amp;F332&amp;" "&amp;G332&amp;" "&amp;H332&amp;" "&amp;J332))),OR(Search!$C$8="",ISNUMBER(SEARCH(Search!$C$8,G332)))),1,0)</f>
        <v>1</v>
      </c>
      <c r="M332" s="15" t="n">
        <f aca="false">M331+L332</f>
        <v>331</v>
      </c>
    </row>
    <row r="333" customFormat="false" ht="15" hidden="false" customHeight="false" outlineLevel="0" collapsed="false">
      <c r="A333" s="14" t="n">
        <v>332</v>
      </c>
      <c r="B333" s="15" t="s">
        <v>347</v>
      </c>
      <c r="C333" s="15" t="s">
        <v>293</v>
      </c>
      <c r="D333" s="16" t="s">
        <v>300</v>
      </c>
      <c r="E333" s="16"/>
      <c r="F333" s="15" t="s">
        <v>306</v>
      </c>
      <c r="G333" s="15" t="s">
        <v>296</v>
      </c>
      <c r="H333" s="15" t="s">
        <v>203</v>
      </c>
      <c r="I333" s="17" t="n">
        <v>10.4</v>
      </c>
      <c r="J333" s="16"/>
      <c r="K333" s="15" t="s">
        <v>348</v>
      </c>
      <c r="L333" s="15" t="n">
        <f aca="false">IF(AND(OR(Search!$C$4="",Search!$C$4="All",B333=Search!$C$4),OR(Search!$C$5="",Search!$C$5="All",C333=Search!$C$5),OR(Search!$C$6="",Search!$C$6="All",D333=Search!$C$6),OR(Search!$C$7="",ISNUMBER(SEARCH(Search!$C$7,D333&amp;" "&amp;E333&amp;" "&amp;F333&amp;" "&amp;G333&amp;" "&amp;H333&amp;" "&amp;J333))),OR(Search!$C$8="",ISNUMBER(SEARCH(Search!$C$8,G333)))),1,0)</f>
        <v>1</v>
      </c>
      <c r="M333" s="15" t="n">
        <f aca="false">M332+L333</f>
        <v>332</v>
      </c>
    </row>
    <row r="334" customFormat="false" ht="15" hidden="false" customHeight="false" outlineLevel="0" collapsed="false">
      <c r="A334" s="14" t="n">
        <v>333</v>
      </c>
      <c r="B334" s="15" t="s">
        <v>347</v>
      </c>
      <c r="C334" s="15" t="s">
        <v>293</v>
      </c>
      <c r="D334" s="16" t="s">
        <v>299</v>
      </c>
      <c r="E334" s="16"/>
      <c r="F334" s="15" t="s">
        <v>307</v>
      </c>
      <c r="G334" s="15" t="s">
        <v>296</v>
      </c>
      <c r="H334" s="15" t="s">
        <v>203</v>
      </c>
      <c r="I334" s="17" t="n">
        <v>9.6</v>
      </c>
      <c r="J334" s="16"/>
      <c r="K334" s="15" t="s">
        <v>348</v>
      </c>
      <c r="L334" s="15" t="n">
        <f aca="false">IF(AND(OR(Search!$C$4="",Search!$C$4="All",B334=Search!$C$4),OR(Search!$C$5="",Search!$C$5="All",C334=Search!$C$5),OR(Search!$C$6="",Search!$C$6="All",D334=Search!$C$6),OR(Search!$C$7="",ISNUMBER(SEARCH(Search!$C$7,D334&amp;" "&amp;E334&amp;" "&amp;F334&amp;" "&amp;G334&amp;" "&amp;H334&amp;" "&amp;J334))),OR(Search!$C$8="",ISNUMBER(SEARCH(Search!$C$8,G334)))),1,0)</f>
        <v>1</v>
      </c>
      <c r="M334" s="15" t="n">
        <f aca="false">M333+L334</f>
        <v>333</v>
      </c>
    </row>
    <row r="335" customFormat="false" ht="15" hidden="false" customHeight="false" outlineLevel="0" collapsed="false">
      <c r="A335" s="14" t="n">
        <v>334</v>
      </c>
      <c r="B335" s="15" t="s">
        <v>347</v>
      </c>
      <c r="C335" s="15" t="s">
        <v>293</v>
      </c>
      <c r="D335" s="16" t="s">
        <v>300</v>
      </c>
      <c r="E335" s="16"/>
      <c r="F335" s="15" t="s">
        <v>307</v>
      </c>
      <c r="G335" s="15" t="s">
        <v>296</v>
      </c>
      <c r="H335" s="15" t="s">
        <v>203</v>
      </c>
      <c r="I335" s="17" t="n">
        <v>11.4</v>
      </c>
      <c r="J335" s="16"/>
      <c r="K335" s="15" t="s">
        <v>348</v>
      </c>
      <c r="L335" s="15" t="n">
        <f aca="false">IF(AND(OR(Search!$C$4="",Search!$C$4="All",B335=Search!$C$4),OR(Search!$C$5="",Search!$C$5="All",C335=Search!$C$5),OR(Search!$C$6="",Search!$C$6="All",D335=Search!$C$6),OR(Search!$C$7="",ISNUMBER(SEARCH(Search!$C$7,D335&amp;" "&amp;E335&amp;" "&amp;F335&amp;" "&amp;G335&amp;" "&amp;H335&amp;" "&amp;J335))),OR(Search!$C$8="",ISNUMBER(SEARCH(Search!$C$8,G335)))),1,0)</f>
        <v>1</v>
      </c>
      <c r="M335" s="15" t="n">
        <f aca="false">M334+L335</f>
        <v>334</v>
      </c>
    </row>
    <row r="336" customFormat="false" ht="15" hidden="false" customHeight="false" outlineLevel="0" collapsed="false">
      <c r="A336" s="14" t="n">
        <v>335</v>
      </c>
      <c r="B336" s="15" t="s">
        <v>347</v>
      </c>
      <c r="C336" s="15" t="s">
        <v>293</v>
      </c>
      <c r="D336" s="16" t="s">
        <v>294</v>
      </c>
      <c r="E336" s="16"/>
      <c r="F336" s="15" t="s">
        <v>308</v>
      </c>
      <c r="G336" s="15" t="s">
        <v>296</v>
      </c>
      <c r="H336" s="15" t="s">
        <v>203</v>
      </c>
      <c r="I336" s="17" t="n">
        <v>6</v>
      </c>
      <c r="J336" s="16"/>
      <c r="K336" s="15" t="s">
        <v>348</v>
      </c>
      <c r="L336" s="15" t="n">
        <f aca="false">IF(AND(OR(Search!$C$4="",Search!$C$4="All",B336=Search!$C$4),OR(Search!$C$5="",Search!$C$5="All",C336=Search!$C$5),OR(Search!$C$6="",Search!$C$6="All",D336=Search!$C$6),OR(Search!$C$7="",ISNUMBER(SEARCH(Search!$C$7,D336&amp;" "&amp;E336&amp;" "&amp;F336&amp;" "&amp;G336&amp;" "&amp;H336&amp;" "&amp;J336))),OR(Search!$C$8="",ISNUMBER(SEARCH(Search!$C$8,G336)))),1,0)</f>
        <v>1</v>
      </c>
      <c r="M336" s="15" t="n">
        <f aca="false">M335+L336</f>
        <v>335</v>
      </c>
    </row>
    <row r="337" customFormat="false" ht="15" hidden="false" customHeight="false" outlineLevel="0" collapsed="false">
      <c r="A337" s="14" t="n">
        <v>336</v>
      </c>
      <c r="B337" s="15" t="s">
        <v>347</v>
      </c>
      <c r="C337" s="15" t="s">
        <v>293</v>
      </c>
      <c r="D337" s="16" t="s">
        <v>299</v>
      </c>
      <c r="E337" s="16"/>
      <c r="F337" s="15" t="s">
        <v>308</v>
      </c>
      <c r="G337" s="15" t="s">
        <v>296</v>
      </c>
      <c r="H337" s="15" t="s">
        <v>203</v>
      </c>
      <c r="I337" s="17" t="n">
        <v>10</v>
      </c>
      <c r="J337" s="16"/>
      <c r="K337" s="15" t="s">
        <v>348</v>
      </c>
      <c r="L337" s="15" t="n">
        <f aca="false">IF(AND(OR(Search!$C$4="",Search!$C$4="All",B337=Search!$C$4),OR(Search!$C$5="",Search!$C$5="All",C337=Search!$C$5),OR(Search!$C$6="",Search!$C$6="All",D337=Search!$C$6),OR(Search!$C$7="",ISNUMBER(SEARCH(Search!$C$7,D337&amp;" "&amp;E337&amp;" "&amp;F337&amp;" "&amp;G337&amp;" "&amp;H337&amp;" "&amp;J337))),OR(Search!$C$8="",ISNUMBER(SEARCH(Search!$C$8,G337)))),1,0)</f>
        <v>1</v>
      </c>
      <c r="M337" s="15" t="n">
        <f aca="false">M336+L337</f>
        <v>336</v>
      </c>
    </row>
    <row r="338" customFormat="false" ht="15" hidden="false" customHeight="false" outlineLevel="0" collapsed="false">
      <c r="A338" s="14" t="n">
        <v>337</v>
      </c>
      <c r="B338" s="15" t="s">
        <v>347</v>
      </c>
      <c r="C338" s="15" t="s">
        <v>293</v>
      </c>
      <c r="D338" s="16" t="s">
        <v>309</v>
      </c>
      <c r="E338" s="16"/>
      <c r="F338" s="15" t="s">
        <v>308</v>
      </c>
      <c r="G338" s="15" t="s">
        <v>296</v>
      </c>
      <c r="H338" s="15" t="s">
        <v>203</v>
      </c>
      <c r="I338" s="17" t="n">
        <v>7.7</v>
      </c>
      <c r="J338" s="16"/>
      <c r="K338" s="15" t="s">
        <v>348</v>
      </c>
      <c r="L338" s="15" t="n">
        <f aca="false">IF(AND(OR(Search!$C$4="",Search!$C$4="All",B338=Search!$C$4),OR(Search!$C$5="",Search!$C$5="All",C338=Search!$C$5),OR(Search!$C$6="",Search!$C$6="All",D338=Search!$C$6),OR(Search!$C$7="",ISNUMBER(SEARCH(Search!$C$7,D338&amp;" "&amp;E338&amp;" "&amp;F338&amp;" "&amp;G338&amp;" "&amp;H338&amp;" "&amp;J338))),OR(Search!$C$8="",ISNUMBER(SEARCH(Search!$C$8,G338)))),1,0)</f>
        <v>1</v>
      </c>
      <c r="M338" s="15" t="n">
        <f aca="false">M337+L338</f>
        <v>337</v>
      </c>
    </row>
    <row r="339" customFormat="false" ht="15" hidden="false" customHeight="false" outlineLevel="0" collapsed="false">
      <c r="A339" s="14" t="n">
        <v>338</v>
      </c>
      <c r="B339" s="15" t="s">
        <v>347</v>
      </c>
      <c r="C339" s="15" t="s">
        <v>293</v>
      </c>
      <c r="D339" s="16" t="s">
        <v>299</v>
      </c>
      <c r="E339" s="16"/>
      <c r="F339" s="15" t="s">
        <v>310</v>
      </c>
      <c r="G339" s="15" t="s">
        <v>296</v>
      </c>
      <c r="H339" s="15" t="s">
        <v>203</v>
      </c>
      <c r="I339" s="17" t="n">
        <v>10.5</v>
      </c>
      <c r="J339" s="16"/>
      <c r="K339" s="15" t="s">
        <v>348</v>
      </c>
      <c r="L339" s="15" t="n">
        <f aca="false">IF(AND(OR(Search!$C$4="",Search!$C$4="All",B339=Search!$C$4),OR(Search!$C$5="",Search!$C$5="All",C339=Search!$C$5),OR(Search!$C$6="",Search!$C$6="All",D339=Search!$C$6),OR(Search!$C$7="",ISNUMBER(SEARCH(Search!$C$7,D339&amp;" "&amp;E339&amp;" "&amp;F339&amp;" "&amp;G339&amp;" "&amp;H339&amp;" "&amp;J339))),OR(Search!$C$8="",ISNUMBER(SEARCH(Search!$C$8,G339)))),1,0)</f>
        <v>1</v>
      </c>
      <c r="M339" s="15" t="n">
        <f aca="false">M338+L339</f>
        <v>338</v>
      </c>
    </row>
    <row r="340" customFormat="false" ht="15" hidden="false" customHeight="false" outlineLevel="0" collapsed="false">
      <c r="A340" s="14" t="n">
        <v>339</v>
      </c>
      <c r="B340" s="15" t="s">
        <v>347</v>
      </c>
      <c r="C340" s="15" t="s">
        <v>293</v>
      </c>
      <c r="D340" s="16" t="s">
        <v>300</v>
      </c>
      <c r="E340" s="16"/>
      <c r="F340" s="15" t="s">
        <v>310</v>
      </c>
      <c r="G340" s="15" t="s">
        <v>296</v>
      </c>
      <c r="H340" s="15" t="s">
        <v>203</v>
      </c>
      <c r="I340" s="17" t="n">
        <v>12.5</v>
      </c>
      <c r="J340" s="16"/>
      <c r="K340" s="15" t="s">
        <v>348</v>
      </c>
      <c r="L340" s="15" t="n">
        <f aca="false">IF(AND(OR(Search!$C$4="",Search!$C$4="All",B340=Search!$C$4),OR(Search!$C$5="",Search!$C$5="All",C340=Search!$C$5),OR(Search!$C$6="",Search!$C$6="All",D340=Search!$C$6),OR(Search!$C$7="",ISNUMBER(SEARCH(Search!$C$7,D340&amp;" "&amp;E340&amp;" "&amp;F340&amp;" "&amp;G340&amp;" "&amp;H340&amp;" "&amp;J340))),OR(Search!$C$8="",ISNUMBER(SEARCH(Search!$C$8,G340)))),1,0)</f>
        <v>1</v>
      </c>
      <c r="M340" s="15" t="n">
        <f aca="false">M339+L340</f>
        <v>339</v>
      </c>
    </row>
    <row r="341" customFormat="false" ht="15" hidden="false" customHeight="false" outlineLevel="0" collapsed="false">
      <c r="A341" s="14" t="n">
        <v>340</v>
      </c>
      <c r="B341" s="15" t="s">
        <v>347</v>
      </c>
      <c r="C341" s="15" t="s">
        <v>293</v>
      </c>
      <c r="D341" s="16" t="s">
        <v>294</v>
      </c>
      <c r="E341" s="16"/>
      <c r="F341" s="15" t="s">
        <v>311</v>
      </c>
      <c r="G341" s="15" t="s">
        <v>296</v>
      </c>
      <c r="H341" s="15" t="s">
        <v>203</v>
      </c>
      <c r="I341" s="17" t="n">
        <v>6.6</v>
      </c>
      <c r="J341" s="16"/>
      <c r="K341" s="15" t="s">
        <v>348</v>
      </c>
      <c r="L341" s="15" t="n">
        <f aca="false">IF(AND(OR(Search!$C$4="",Search!$C$4="All",B341=Search!$C$4),OR(Search!$C$5="",Search!$C$5="All",C341=Search!$C$5),OR(Search!$C$6="",Search!$C$6="All",D341=Search!$C$6),OR(Search!$C$7="",ISNUMBER(SEARCH(Search!$C$7,D341&amp;" "&amp;E341&amp;" "&amp;F341&amp;" "&amp;G341&amp;" "&amp;H341&amp;" "&amp;J341))),OR(Search!$C$8="",ISNUMBER(SEARCH(Search!$C$8,G341)))),1,0)</f>
        <v>1</v>
      </c>
      <c r="M341" s="15" t="n">
        <f aca="false">M340+L341</f>
        <v>340</v>
      </c>
    </row>
    <row r="342" customFormat="false" ht="15" hidden="false" customHeight="false" outlineLevel="0" collapsed="false">
      <c r="A342" s="14" t="n">
        <v>341</v>
      </c>
      <c r="B342" s="15" t="s">
        <v>347</v>
      </c>
      <c r="C342" s="15" t="s">
        <v>293</v>
      </c>
      <c r="D342" s="16" t="s">
        <v>299</v>
      </c>
      <c r="E342" s="16"/>
      <c r="F342" s="15" t="s">
        <v>311</v>
      </c>
      <c r="G342" s="15" t="s">
        <v>296</v>
      </c>
      <c r="H342" s="15" t="s">
        <v>203</v>
      </c>
      <c r="I342" s="17" t="n">
        <v>10.9</v>
      </c>
      <c r="J342" s="16"/>
      <c r="K342" s="15" t="s">
        <v>348</v>
      </c>
      <c r="L342" s="15" t="n">
        <f aca="false">IF(AND(OR(Search!$C$4="",Search!$C$4="All",B342=Search!$C$4),OR(Search!$C$5="",Search!$C$5="All",C342=Search!$C$5),OR(Search!$C$6="",Search!$C$6="All",D342=Search!$C$6),OR(Search!$C$7="",ISNUMBER(SEARCH(Search!$C$7,D342&amp;" "&amp;E342&amp;" "&amp;F342&amp;" "&amp;G342&amp;" "&amp;H342&amp;" "&amp;J342))),OR(Search!$C$8="",ISNUMBER(SEARCH(Search!$C$8,G342)))),1,0)</f>
        <v>1</v>
      </c>
      <c r="M342" s="15" t="n">
        <f aca="false">M341+L342</f>
        <v>341</v>
      </c>
    </row>
    <row r="343" customFormat="false" ht="15" hidden="false" customHeight="false" outlineLevel="0" collapsed="false">
      <c r="A343" s="14" t="n">
        <v>342</v>
      </c>
      <c r="B343" s="15" t="s">
        <v>347</v>
      </c>
      <c r="C343" s="15" t="s">
        <v>293</v>
      </c>
      <c r="D343" s="16" t="s">
        <v>309</v>
      </c>
      <c r="E343" s="16"/>
      <c r="F343" s="15" t="s">
        <v>311</v>
      </c>
      <c r="G343" s="15" t="s">
        <v>296</v>
      </c>
      <c r="H343" s="15" t="s">
        <v>203</v>
      </c>
      <c r="I343" s="17" t="n">
        <v>8.3</v>
      </c>
      <c r="J343" s="16"/>
      <c r="K343" s="15" t="s">
        <v>348</v>
      </c>
      <c r="L343" s="15" t="n">
        <f aca="false">IF(AND(OR(Search!$C$4="",Search!$C$4="All",B343=Search!$C$4),OR(Search!$C$5="",Search!$C$5="All",C343=Search!$C$5),OR(Search!$C$6="",Search!$C$6="All",D343=Search!$C$6),OR(Search!$C$7="",ISNUMBER(SEARCH(Search!$C$7,D343&amp;" "&amp;E343&amp;" "&amp;F343&amp;" "&amp;G343&amp;" "&amp;H343&amp;" "&amp;J343))),OR(Search!$C$8="",ISNUMBER(SEARCH(Search!$C$8,G343)))),1,0)</f>
        <v>1</v>
      </c>
      <c r="M343" s="15" t="n">
        <f aca="false">M342+L343</f>
        <v>342</v>
      </c>
    </row>
    <row r="344" customFormat="false" ht="15" hidden="false" customHeight="false" outlineLevel="0" collapsed="false">
      <c r="A344" s="14" t="n">
        <v>343</v>
      </c>
      <c r="B344" s="15" t="s">
        <v>347</v>
      </c>
      <c r="C344" s="15" t="s">
        <v>293</v>
      </c>
      <c r="D344" s="16" t="s">
        <v>299</v>
      </c>
      <c r="E344" s="16"/>
      <c r="F344" s="15" t="s">
        <v>312</v>
      </c>
      <c r="G344" s="15" t="s">
        <v>296</v>
      </c>
      <c r="H344" s="15" t="s">
        <v>203</v>
      </c>
      <c r="I344" s="17" t="n">
        <v>11.3</v>
      </c>
      <c r="J344" s="16"/>
      <c r="K344" s="15" t="s">
        <v>348</v>
      </c>
      <c r="L344" s="15" t="n">
        <f aca="false">IF(AND(OR(Search!$C$4="",Search!$C$4="All",B344=Search!$C$4),OR(Search!$C$5="",Search!$C$5="All",C344=Search!$C$5),OR(Search!$C$6="",Search!$C$6="All",D344=Search!$C$6),OR(Search!$C$7="",ISNUMBER(SEARCH(Search!$C$7,D344&amp;" "&amp;E344&amp;" "&amp;F344&amp;" "&amp;G344&amp;" "&amp;H344&amp;" "&amp;J344))),OR(Search!$C$8="",ISNUMBER(SEARCH(Search!$C$8,G344)))),1,0)</f>
        <v>1</v>
      </c>
      <c r="M344" s="15" t="n">
        <f aca="false">M343+L344</f>
        <v>343</v>
      </c>
    </row>
    <row r="345" customFormat="false" ht="15" hidden="false" customHeight="false" outlineLevel="0" collapsed="false">
      <c r="A345" s="14" t="n">
        <v>344</v>
      </c>
      <c r="B345" s="15" t="s">
        <v>347</v>
      </c>
      <c r="C345" s="15" t="s">
        <v>293</v>
      </c>
      <c r="D345" s="16" t="s">
        <v>300</v>
      </c>
      <c r="E345" s="16"/>
      <c r="F345" s="15" t="s">
        <v>312</v>
      </c>
      <c r="G345" s="15" t="s">
        <v>296</v>
      </c>
      <c r="H345" s="15" t="s">
        <v>203</v>
      </c>
      <c r="I345" s="17" t="n">
        <v>13.5</v>
      </c>
      <c r="J345" s="16"/>
      <c r="K345" s="15" t="s">
        <v>348</v>
      </c>
      <c r="L345" s="15" t="n">
        <f aca="false">IF(AND(OR(Search!$C$4="",Search!$C$4="All",B345=Search!$C$4),OR(Search!$C$5="",Search!$C$5="All",C345=Search!$C$5),OR(Search!$C$6="",Search!$C$6="All",D345=Search!$C$6),OR(Search!$C$7="",ISNUMBER(SEARCH(Search!$C$7,D345&amp;" "&amp;E345&amp;" "&amp;F345&amp;" "&amp;G345&amp;" "&amp;H345&amp;" "&amp;J345))),OR(Search!$C$8="",ISNUMBER(SEARCH(Search!$C$8,G345)))),1,0)</f>
        <v>1</v>
      </c>
      <c r="M345" s="15" t="n">
        <f aca="false">M344+L345</f>
        <v>344</v>
      </c>
    </row>
    <row r="346" customFormat="false" ht="15" hidden="false" customHeight="false" outlineLevel="0" collapsed="false">
      <c r="A346" s="14" t="n">
        <v>345</v>
      </c>
      <c r="B346" s="15" t="s">
        <v>347</v>
      </c>
      <c r="C346" s="15" t="s">
        <v>293</v>
      </c>
      <c r="D346" s="16" t="s">
        <v>299</v>
      </c>
      <c r="E346" s="16"/>
      <c r="F346" s="15" t="s">
        <v>313</v>
      </c>
      <c r="G346" s="15" t="s">
        <v>296</v>
      </c>
      <c r="H346" s="15" t="s">
        <v>203</v>
      </c>
      <c r="I346" s="17" t="n">
        <v>11.75</v>
      </c>
      <c r="J346" s="16"/>
      <c r="K346" s="15" t="s">
        <v>348</v>
      </c>
      <c r="L346" s="15" t="n">
        <f aca="false">IF(AND(OR(Search!$C$4="",Search!$C$4="All",B346=Search!$C$4),OR(Search!$C$5="",Search!$C$5="All",C346=Search!$C$5),OR(Search!$C$6="",Search!$C$6="All",D346=Search!$C$6),OR(Search!$C$7="",ISNUMBER(SEARCH(Search!$C$7,D346&amp;" "&amp;E346&amp;" "&amp;F346&amp;" "&amp;G346&amp;" "&amp;H346&amp;" "&amp;J346))),OR(Search!$C$8="",ISNUMBER(SEARCH(Search!$C$8,G346)))),1,0)</f>
        <v>1</v>
      </c>
      <c r="M346" s="15" t="n">
        <f aca="false">M345+L346</f>
        <v>345</v>
      </c>
    </row>
    <row r="347" customFormat="false" ht="15" hidden="false" customHeight="false" outlineLevel="0" collapsed="false">
      <c r="A347" s="14" t="n">
        <v>346</v>
      </c>
      <c r="B347" s="15" t="s">
        <v>347</v>
      </c>
      <c r="C347" s="15" t="s">
        <v>293</v>
      </c>
      <c r="D347" s="16" t="s">
        <v>294</v>
      </c>
      <c r="E347" s="16"/>
      <c r="F347" s="15" t="s">
        <v>314</v>
      </c>
      <c r="G347" s="15" t="s">
        <v>296</v>
      </c>
      <c r="H347" s="15" t="s">
        <v>203</v>
      </c>
      <c r="I347" s="17" t="n">
        <v>7.4</v>
      </c>
      <c r="J347" s="16"/>
      <c r="K347" s="15" t="s">
        <v>348</v>
      </c>
      <c r="L347" s="15" t="n">
        <f aca="false">IF(AND(OR(Search!$C$4="",Search!$C$4="All",B347=Search!$C$4),OR(Search!$C$5="",Search!$C$5="All",C347=Search!$C$5),OR(Search!$C$6="",Search!$C$6="All",D347=Search!$C$6),OR(Search!$C$7="",ISNUMBER(SEARCH(Search!$C$7,D347&amp;" "&amp;E347&amp;" "&amp;F347&amp;" "&amp;G347&amp;" "&amp;H347&amp;" "&amp;J347))),OR(Search!$C$8="",ISNUMBER(SEARCH(Search!$C$8,G347)))),1,0)</f>
        <v>1</v>
      </c>
      <c r="M347" s="15" t="n">
        <f aca="false">M346+L347</f>
        <v>346</v>
      </c>
    </row>
    <row r="348" customFormat="false" ht="15" hidden="false" customHeight="false" outlineLevel="0" collapsed="false">
      <c r="A348" s="14" t="n">
        <v>347</v>
      </c>
      <c r="B348" s="15" t="s">
        <v>347</v>
      </c>
      <c r="C348" s="15" t="s">
        <v>293</v>
      </c>
      <c r="D348" s="16" t="s">
        <v>299</v>
      </c>
      <c r="E348" s="16"/>
      <c r="F348" s="15" t="s">
        <v>314</v>
      </c>
      <c r="G348" s="15" t="s">
        <v>296</v>
      </c>
      <c r="H348" s="15" t="s">
        <v>203</v>
      </c>
      <c r="I348" s="17" t="n">
        <v>12.2</v>
      </c>
      <c r="J348" s="16"/>
      <c r="K348" s="15" t="s">
        <v>348</v>
      </c>
      <c r="L348" s="15" t="n">
        <f aca="false">IF(AND(OR(Search!$C$4="",Search!$C$4="All",B348=Search!$C$4),OR(Search!$C$5="",Search!$C$5="All",C348=Search!$C$5),OR(Search!$C$6="",Search!$C$6="All",D348=Search!$C$6),OR(Search!$C$7="",ISNUMBER(SEARCH(Search!$C$7,D348&amp;" "&amp;E348&amp;" "&amp;F348&amp;" "&amp;G348&amp;" "&amp;H348&amp;" "&amp;J348))),OR(Search!$C$8="",ISNUMBER(SEARCH(Search!$C$8,G348)))),1,0)</f>
        <v>1</v>
      </c>
      <c r="M348" s="15" t="n">
        <f aca="false">M347+L348</f>
        <v>347</v>
      </c>
    </row>
    <row r="349" customFormat="false" ht="15" hidden="false" customHeight="false" outlineLevel="0" collapsed="false">
      <c r="A349" s="14" t="n">
        <v>348</v>
      </c>
      <c r="B349" s="15" t="s">
        <v>347</v>
      </c>
      <c r="C349" s="15" t="s">
        <v>293</v>
      </c>
      <c r="D349" s="16" t="s">
        <v>309</v>
      </c>
      <c r="E349" s="16"/>
      <c r="F349" s="15" t="s">
        <v>314</v>
      </c>
      <c r="G349" s="15" t="s">
        <v>296</v>
      </c>
      <c r="H349" s="15" t="s">
        <v>203</v>
      </c>
      <c r="I349" s="17" t="n">
        <v>9.3</v>
      </c>
      <c r="J349" s="16"/>
      <c r="K349" s="15" t="s">
        <v>348</v>
      </c>
      <c r="L349" s="15" t="n">
        <f aca="false">IF(AND(OR(Search!$C$4="",Search!$C$4="All",B349=Search!$C$4),OR(Search!$C$5="",Search!$C$5="All",C349=Search!$C$5),OR(Search!$C$6="",Search!$C$6="All",D349=Search!$C$6),OR(Search!$C$7="",ISNUMBER(SEARCH(Search!$C$7,D349&amp;" "&amp;E349&amp;" "&amp;F349&amp;" "&amp;G349&amp;" "&amp;H349&amp;" "&amp;J349))),OR(Search!$C$8="",ISNUMBER(SEARCH(Search!$C$8,G349)))),1,0)</f>
        <v>1</v>
      </c>
      <c r="M349" s="15" t="n">
        <f aca="false">M348+L349</f>
        <v>348</v>
      </c>
    </row>
    <row r="350" customFormat="false" ht="15" hidden="false" customHeight="false" outlineLevel="0" collapsed="false">
      <c r="A350" s="14" t="n">
        <v>349</v>
      </c>
      <c r="B350" s="15" t="s">
        <v>347</v>
      </c>
      <c r="C350" s="15" t="s">
        <v>293</v>
      </c>
      <c r="D350" s="16" t="s">
        <v>294</v>
      </c>
      <c r="E350" s="16"/>
      <c r="F350" s="15" t="s">
        <v>315</v>
      </c>
      <c r="G350" s="15" t="s">
        <v>296</v>
      </c>
      <c r="H350" s="15" t="s">
        <v>203</v>
      </c>
      <c r="I350" s="17" t="n">
        <v>7.9</v>
      </c>
      <c r="J350" s="16"/>
      <c r="K350" s="15" t="s">
        <v>348</v>
      </c>
      <c r="L350" s="15" t="n">
        <f aca="false">IF(AND(OR(Search!$C$4="",Search!$C$4="All",B350=Search!$C$4),OR(Search!$C$5="",Search!$C$5="All",C350=Search!$C$5),OR(Search!$C$6="",Search!$C$6="All",D350=Search!$C$6),OR(Search!$C$7="",ISNUMBER(SEARCH(Search!$C$7,D350&amp;" "&amp;E350&amp;" "&amp;F350&amp;" "&amp;G350&amp;" "&amp;H350&amp;" "&amp;J350))),OR(Search!$C$8="",ISNUMBER(SEARCH(Search!$C$8,G350)))),1,0)</f>
        <v>1</v>
      </c>
      <c r="M350" s="15" t="n">
        <f aca="false">M349+L350</f>
        <v>349</v>
      </c>
    </row>
    <row r="351" customFormat="false" ht="15" hidden="false" customHeight="false" outlineLevel="0" collapsed="false">
      <c r="A351" s="14" t="n">
        <v>350</v>
      </c>
      <c r="B351" s="15" t="s">
        <v>347</v>
      </c>
      <c r="C351" s="15" t="s">
        <v>293</v>
      </c>
      <c r="D351" s="16" t="s">
        <v>299</v>
      </c>
      <c r="E351" s="16"/>
      <c r="F351" s="15" t="s">
        <v>315</v>
      </c>
      <c r="G351" s="15" t="s">
        <v>296</v>
      </c>
      <c r="H351" s="15" t="s">
        <v>203</v>
      </c>
      <c r="I351" s="17" t="n">
        <v>13</v>
      </c>
      <c r="J351" s="16"/>
      <c r="K351" s="15" t="s">
        <v>348</v>
      </c>
      <c r="L351" s="15" t="n">
        <f aca="false">IF(AND(OR(Search!$C$4="",Search!$C$4="All",B351=Search!$C$4),OR(Search!$C$5="",Search!$C$5="All",C351=Search!$C$5),OR(Search!$C$6="",Search!$C$6="All",D351=Search!$C$6),OR(Search!$C$7="",ISNUMBER(SEARCH(Search!$C$7,D351&amp;" "&amp;E351&amp;" "&amp;F351&amp;" "&amp;G351&amp;" "&amp;H351&amp;" "&amp;J351))),OR(Search!$C$8="",ISNUMBER(SEARCH(Search!$C$8,G351)))),1,0)</f>
        <v>1</v>
      </c>
      <c r="M351" s="15" t="n">
        <f aca="false">M350+L351</f>
        <v>350</v>
      </c>
    </row>
    <row r="352" customFormat="false" ht="15" hidden="false" customHeight="false" outlineLevel="0" collapsed="false">
      <c r="A352" s="14" t="n">
        <v>351</v>
      </c>
      <c r="B352" s="15" t="s">
        <v>347</v>
      </c>
      <c r="C352" s="15" t="s">
        <v>293</v>
      </c>
      <c r="D352" s="16" t="s">
        <v>294</v>
      </c>
      <c r="E352" s="16"/>
      <c r="F352" s="15" t="s">
        <v>318</v>
      </c>
      <c r="G352" s="15" t="s">
        <v>296</v>
      </c>
      <c r="H352" s="15" t="s">
        <v>203</v>
      </c>
      <c r="I352" s="17" t="n">
        <v>8.9</v>
      </c>
      <c r="J352" s="16"/>
      <c r="K352" s="15" t="s">
        <v>348</v>
      </c>
      <c r="L352" s="15" t="n">
        <f aca="false">IF(AND(OR(Search!$C$4="",Search!$C$4="All",B352=Search!$C$4),OR(Search!$C$5="",Search!$C$5="All",C352=Search!$C$5),OR(Search!$C$6="",Search!$C$6="All",D352=Search!$C$6),OR(Search!$C$7="",ISNUMBER(SEARCH(Search!$C$7,D352&amp;" "&amp;E352&amp;" "&amp;F352&amp;" "&amp;G352&amp;" "&amp;H352&amp;" "&amp;J352))),OR(Search!$C$8="",ISNUMBER(SEARCH(Search!$C$8,G352)))),1,0)</f>
        <v>1</v>
      </c>
      <c r="M352" s="15" t="n">
        <f aca="false">M351+L352</f>
        <v>351</v>
      </c>
    </row>
    <row r="353" customFormat="false" ht="15" hidden="false" customHeight="false" outlineLevel="0" collapsed="false">
      <c r="A353" s="14" t="n">
        <v>352</v>
      </c>
      <c r="B353" s="15" t="s">
        <v>347</v>
      </c>
      <c r="C353" s="15" t="s">
        <v>293</v>
      </c>
      <c r="D353" s="16" t="s">
        <v>294</v>
      </c>
      <c r="E353" s="16"/>
      <c r="F353" s="15" t="s">
        <v>320</v>
      </c>
      <c r="G353" s="15" t="s">
        <v>296</v>
      </c>
      <c r="H353" s="15" t="s">
        <v>203</v>
      </c>
      <c r="I353" s="17" t="n">
        <v>10.5</v>
      </c>
      <c r="J353" s="16"/>
      <c r="K353" s="15" t="s">
        <v>348</v>
      </c>
      <c r="L353" s="15" t="n">
        <f aca="false">IF(AND(OR(Search!$C$4="",Search!$C$4="All",B353=Search!$C$4),OR(Search!$C$5="",Search!$C$5="All",C353=Search!$C$5),OR(Search!$C$6="",Search!$C$6="All",D353=Search!$C$6),OR(Search!$C$7="",ISNUMBER(SEARCH(Search!$C$7,D353&amp;" "&amp;E353&amp;" "&amp;F353&amp;" "&amp;G353&amp;" "&amp;H353&amp;" "&amp;J353))),OR(Search!$C$8="",ISNUMBER(SEARCH(Search!$C$8,G353)))),1,0)</f>
        <v>1</v>
      </c>
      <c r="M353" s="15" t="n">
        <f aca="false">M352+L353</f>
        <v>352</v>
      </c>
    </row>
    <row r="354" customFormat="false" ht="15" hidden="false" customHeight="false" outlineLevel="0" collapsed="false">
      <c r="A354" s="14" t="n">
        <v>353</v>
      </c>
      <c r="B354" s="15" t="s">
        <v>347</v>
      </c>
      <c r="C354" s="15" t="s">
        <v>293</v>
      </c>
      <c r="D354" s="16" t="s">
        <v>294</v>
      </c>
      <c r="E354" s="16"/>
      <c r="F354" s="15" t="s">
        <v>321</v>
      </c>
      <c r="G354" s="15" t="s">
        <v>296</v>
      </c>
      <c r="H354" s="15" t="s">
        <v>203</v>
      </c>
      <c r="I354" s="17" t="n">
        <v>13.1</v>
      </c>
      <c r="J354" s="16"/>
      <c r="K354" s="15" t="s">
        <v>348</v>
      </c>
      <c r="L354" s="15" t="n">
        <f aca="false">IF(AND(OR(Search!$C$4="",Search!$C$4="All",B354=Search!$C$4),OR(Search!$C$5="",Search!$C$5="All",C354=Search!$C$5),OR(Search!$C$6="",Search!$C$6="All",D354=Search!$C$6),OR(Search!$C$7="",ISNUMBER(SEARCH(Search!$C$7,D354&amp;" "&amp;E354&amp;" "&amp;F354&amp;" "&amp;G354&amp;" "&amp;H354&amp;" "&amp;J354))),OR(Search!$C$8="",ISNUMBER(SEARCH(Search!$C$8,G354)))),1,0)</f>
        <v>1</v>
      </c>
      <c r="M354" s="15" t="n">
        <f aca="false">M353+L354</f>
        <v>353</v>
      </c>
    </row>
    <row r="355" customFormat="false" ht="15" hidden="false" customHeight="false" outlineLevel="0" collapsed="false">
      <c r="A355" s="14" t="n">
        <v>354</v>
      </c>
      <c r="B355" s="15" t="s">
        <v>347</v>
      </c>
      <c r="C355" s="15" t="s">
        <v>293</v>
      </c>
      <c r="D355" s="16" t="s">
        <v>309</v>
      </c>
      <c r="E355" s="16"/>
      <c r="F355" s="15" t="s">
        <v>321</v>
      </c>
      <c r="G355" s="15" t="s">
        <v>296</v>
      </c>
      <c r="H355" s="15" t="s">
        <v>203</v>
      </c>
      <c r="I355" s="17" t="n">
        <v>16.5</v>
      </c>
      <c r="J355" s="16"/>
      <c r="K355" s="15" t="s">
        <v>348</v>
      </c>
      <c r="L355" s="15" t="n">
        <f aca="false">IF(AND(OR(Search!$C$4="",Search!$C$4="All",B355=Search!$C$4),OR(Search!$C$5="",Search!$C$5="All",C355=Search!$C$5),OR(Search!$C$6="",Search!$C$6="All",D355=Search!$C$6),OR(Search!$C$7="",ISNUMBER(SEARCH(Search!$C$7,D355&amp;" "&amp;E355&amp;" "&amp;F355&amp;" "&amp;G355&amp;" "&amp;H355&amp;" "&amp;J355))),OR(Search!$C$8="",ISNUMBER(SEARCH(Search!$C$8,G355)))),1,0)</f>
        <v>1</v>
      </c>
      <c r="M355" s="15" t="n">
        <f aca="false">M354+L355</f>
        <v>354</v>
      </c>
    </row>
    <row r="356" customFormat="false" ht="15" hidden="false" customHeight="false" outlineLevel="0" collapsed="false">
      <c r="A356" s="14" t="n">
        <v>355</v>
      </c>
      <c r="B356" s="15" t="s">
        <v>347</v>
      </c>
      <c r="C356" s="15" t="s">
        <v>293</v>
      </c>
      <c r="D356" s="16" t="s">
        <v>294</v>
      </c>
      <c r="E356" s="16"/>
      <c r="F356" s="15" t="s">
        <v>322</v>
      </c>
      <c r="G356" s="15" t="s">
        <v>296</v>
      </c>
      <c r="H356" s="15" t="s">
        <v>203</v>
      </c>
      <c r="I356" s="17" t="n">
        <v>15.7</v>
      </c>
      <c r="J356" s="16"/>
      <c r="K356" s="15" t="s">
        <v>348</v>
      </c>
      <c r="L356" s="15" t="n">
        <f aca="false">IF(AND(OR(Search!$C$4="",Search!$C$4="All",B356=Search!$C$4),OR(Search!$C$5="",Search!$C$5="All",C356=Search!$C$5),OR(Search!$C$6="",Search!$C$6="All",D356=Search!$C$6),OR(Search!$C$7="",ISNUMBER(SEARCH(Search!$C$7,D356&amp;" "&amp;E356&amp;" "&amp;F356&amp;" "&amp;G356&amp;" "&amp;H356&amp;" "&amp;J356))),OR(Search!$C$8="",ISNUMBER(SEARCH(Search!$C$8,G356)))),1,0)</f>
        <v>1</v>
      </c>
      <c r="M356" s="15" t="n">
        <f aca="false">M355+L356</f>
        <v>355</v>
      </c>
    </row>
    <row r="357" customFormat="false" ht="23.85" hidden="false" customHeight="false" outlineLevel="0" collapsed="false">
      <c r="A357" s="14" t="n">
        <v>356</v>
      </c>
      <c r="B357" s="15" t="s">
        <v>347</v>
      </c>
      <c r="C357" s="15" t="s">
        <v>293</v>
      </c>
      <c r="D357" s="16" t="s">
        <v>294</v>
      </c>
      <c r="E357" s="16" t="s">
        <v>323</v>
      </c>
      <c r="F357" s="15"/>
      <c r="G357" s="15"/>
      <c r="H357" s="15" t="s">
        <v>324</v>
      </c>
      <c r="I357" s="17" t="n">
        <v>47</v>
      </c>
      <c r="J357" s="16" t="s">
        <v>361</v>
      </c>
      <c r="K357" s="15" t="s">
        <v>348</v>
      </c>
      <c r="L357" s="15" t="n">
        <f aca="false">IF(AND(OR(Search!$C$4="",Search!$C$4="All",B357=Search!$C$4),OR(Search!$C$5="",Search!$C$5="All",C357=Search!$C$5),OR(Search!$C$6="",Search!$C$6="All",D357=Search!$C$6),OR(Search!$C$7="",ISNUMBER(SEARCH(Search!$C$7,D357&amp;" "&amp;E357&amp;" "&amp;F357&amp;" "&amp;G357&amp;" "&amp;H357&amp;" "&amp;J357))),OR(Search!$C$8="",ISNUMBER(SEARCH(Search!$C$8,G357)))),1,0)</f>
        <v>1</v>
      </c>
      <c r="M357" s="15" t="n">
        <f aca="false">M356+L357</f>
        <v>356</v>
      </c>
    </row>
    <row r="358" customFormat="false" ht="23.85" hidden="false" customHeight="false" outlineLevel="0" collapsed="false">
      <c r="A358" s="14" t="n">
        <v>357</v>
      </c>
      <c r="B358" s="15" t="s">
        <v>347</v>
      </c>
      <c r="C358" s="15" t="s">
        <v>293</v>
      </c>
      <c r="D358" s="16" t="s">
        <v>299</v>
      </c>
      <c r="E358" s="16" t="s">
        <v>323</v>
      </c>
      <c r="F358" s="15"/>
      <c r="G358" s="15"/>
      <c r="H358" s="15" t="s">
        <v>324</v>
      </c>
      <c r="I358" s="17" t="n">
        <v>78</v>
      </c>
      <c r="J358" s="16" t="s">
        <v>361</v>
      </c>
      <c r="K358" s="15" t="s">
        <v>348</v>
      </c>
      <c r="L358" s="15" t="n">
        <f aca="false">IF(AND(OR(Search!$C$4="",Search!$C$4="All",B358=Search!$C$4),OR(Search!$C$5="",Search!$C$5="All",C358=Search!$C$5),OR(Search!$C$6="",Search!$C$6="All",D358=Search!$C$6),OR(Search!$C$7="",ISNUMBER(SEARCH(Search!$C$7,D358&amp;" "&amp;E358&amp;" "&amp;F358&amp;" "&amp;G358&amp;" "&amp;H358&amp;" "&amp;J358))),OR(Search!$C$8="",ISNUMBER(SEARCH(Search!$C$8,G358)))),1,0)</f>
        <v>1</v>
      </c>
      <c r="M358" s="15" t="n">
        <f aca="false">M357+L358</f>
        <v>357</v>
      </c>
    </row>
    <row r="359" customFormat="false" ht="23.85" hidden="false" customHeight="false" outlineLevel="0" collapsed="false">
      <c r="A359" s="14" t="n">
        <v>358</v>
      </c>
      <c r="B359" s="15" t="s">
        <v>347</v>
      </c>
      <c r="C359" s="15" t="s">
        <v>293</v>
      </c>
      <c r="D359" s="16" t="s">
        <v>300</v>
      </c>
      <c r="E359" s="16" t="s">
        <v>323</v>
      </c>
      <c r="F359" s="15"/>
      <c r="G359" s="15"/>
      <c r="H359" s="15" t="s">
        <v>324</v>
      </c>
      <c r="I359" s="17" t="n">
        <v>93</v>
      </c>
      <c r="J359" s="16" t="s">
        <v>361</v>
      </c>
      <c r="K359" s="15" t="s">
        <v>348</v>
      </c>
      <c r="L359" s="15" t="n">
        <f aca="false">IF(AND(OR(Search!$C$4="",Search!$C$4="All",B359=Search!$C$4),OR(Search!$C$5="",Search!$C$5="All",C359=Search!$C$5),OR(Search!$C$6="",Search!$C$6="All",D359=Search!$C$6),OR(Search!$C$7="",ISNUMBER(SEARCH(Search!$C$7,D359&amp;" "&amp;E359&amp;" "&amp;F359&amp;" "&amp;G359&amp;" "&amp;H359&amp;" "&amp;J359))),OR(Search!$C$8="",ISNUMBER(SEARCH(Search!$C$8,G359)))),1,0)</f>
        <v>1</v>
      </c>
      <c r="M359" s="15" t="n">
        <f aca="false">M358+L359</f>
        <v>358</v>
      </c>
    </row>
    <row r="360" customFormat="false" ht="23.85" hidden="false" customHeight="false" outlineLevel="0" collapsed="false">
      <c r="A360" s="14" t="n">
        <v>359</v>
      </c>
      <c r="B360" s="15" t="s">
        <v>347</v>
      </c>
      <c r="C360" s="15" t="s">
        <v>293</v>
      </c>
      <c r="D360" s="16" t="s">
        <v>309</v>
      </c>
      <c r="E360" s="16" t="s">
        <v>323</v>
      </c>
      <c r="F360" s="15"/>
      <c r="G360" s="15"/>
      <c r="H360" s="15" t="s">
        <v>324</v>
      </c>
      <c r="I360" s="17" t="n">
        <v>62</v>
      </c>
      <c r="J360" s="16" t="s">
        <v>361</v>
      </c>
      <c r="K360" s="15" t="s">
        <v>348</v>
      </c>
      <c r="L360" s="15" t="n">
        <f aca="false">IF(AND(OR(Search!$C$4="",Search!$C$4="All",B360=Search!$C$4),OR(Search!$C$5="",Search!$C$5="All",C360=Search!$C$5),OR(Search!$C$6="",Search!$C$6="All",D360=Search!$C$6),OR(Search!$C$7="",ISNUMBER(SEARCH(Search!$C$7,D360&amp;" "&amp;E360&amp;" "&amp;F360&amp;" "&amp;G360&amp;" "&amp;H360&amp;" "&amp;J360))),OR(Search!$C$8="",ISNUMBER(SEARCH(Search!$C$8,G360)))),1,0)</f>
        <v>1</v>
      </c>
      <c r="M360" s="15" t="n">
        <f aca="false">M359+L360</f>
        <v>359</v>
      </c>
    </row>
    <row r="361" customFormat="false" ht="15" hidden="false" customHeight="false" outlineLevel="0" collapsed="false">
      <c r="A361" s="14" t="n">
        <v>360</v>
      </c>
      <c r="B361" s="15" t="s">
        <v>347</v>
      </c>
      <c r="C361" s="15" t="s">
        <v>326</v>
      </c>
      <c r="D361" s="16" t="s">
        <v>327</v>
      </c>
      <c r="E361" s="16"/>
      <c r="F361" s="15"/>
      <c r="G361" s="15" t="s">
        <v>164</v>
      </c>
      <c r="H361" s="15" t="s">
        <v>161</v>
      </c>
      <c r="I361" s="17" t="n">
        <v>1550</v>
      </c>
      <c r="J361" s="16"/>
      <c r="K361" s="15" t="s">
        <v>348</v>
      </c>
      <c r="L361" s="15" t="n">
        <f aca="false">IF(AND(OR(Search!$C$4="",Search!$C$4="All",B361=Search!$C$4),OR(Search!$C$5="",Search!$C$5="All",C361=Search!$C$5),OR(Search!$C$6="",Search!$C$6="All",D361=Search!$C$6),OR(Search!$C$7="",ISNUMBER(SEARCH(Search!$C$7,D361&amp;" "&amp;E361&amp;" "&amp;F361&amp;" "&amp;G361&amp;" "&amp;H361&amp;" "&amp;J361))),OR(Search!$C$8="",ISNUMBER(SEARCH(Search!$C$8,G361)))),1,0)</f>
        <v>1</v>
      </c>
      <c r="M361" s="15" t="n">
        <f aca="false">M360+L361</f>
        <v>360</v>
      </c>
    </row>
    <row r="362" customFormat="false" ht="15" hidden="false" customHeight="false" outlineLevel="0" collapsed="false">
      <c r="A362" s="14" t="n">
        <v>361</v>
      </c>
      <c r="B362" s="15" t="s">
        <v>347</v>
      </c>
      <c r="C362" s="15" t="s">
        <v>326</v>
      </c>
      <c r="D362" s="16" t="s">
        <v>327</v>
      </c>
      <c r="E362" s="16"/>
      <c r="F362" s="15"/>
      <c r="G362" s="15" t="s">
        <v>163</v>
      </c>
      <c r="H362" s="15" t="s">
        <v>161</v>
      </c>
      <c r="I362" s="17" t="n">
        <v>1950</v>
      </c>
      <c r="J362" s="16"/>
      <c r="K362" s="15" t="s">
        <v>348</v>
      </c>
      <c r="L362" s="15" t="n">
        <f aca="false">IF(AND(OR(Search!$C$4="",Search!$C$4="All",B362=Search!$C$4),OR(Search!$C$5="",Search!$C$5="All",C362=Search!$C$5),OR(Search!$C$6="",Search!$C$6="All",D362=Search!$C$6),OR(Search!$C$7="",ISNUMBER(SEARCH(Search!$C$7,D362&amp;" "&amp;E362&amp;" "&amp;F362&amp;" "&amp;G362&amp;" "&amp;H362&amp;" "&amp;J362))),OR(Search!$C$8="",ISNUMBER(SEARCH(Search!$C$8,G362)))),1,0)</f>
        <v>1</v>
      </c>
      <c r="M362" s="15" t="n">
        <f aca="false">M361+L362</f>
        <v>361</v>
      </c>
    </row>
    <row r="363" customFormat="false" ht="15" hidden="false" customHeight="false" outlineLevel="0" collapsed="false">
      <c r="A363" s="14" t="n">
        <v>362</v>
      </c>
      <c r="B363" s="15" t="s">
        <v>347</v>
      </c>
      <c r="C363" s="15" t="s">
        <v>326</v>
      </c>
      <c r="D363" s="16" t="s">
        <v>328</v>
      </c>
      <c r="E363" s="16"/>
      <c r="F363" s="15"/>
      <c r="G363" s="15" t="s">
        <v>164</v>
      </c>
      <c r="H363" s="15" t="s">
        <v>161</v>
      </c>
      <c r="I363" s="17" t="n">
        <v>1800</v>
      </c>
      <c r="J363" s="16"/>
      <c r="K363" s="15" t="s">
        <v>348</v>
      </c>
      <c r="L363" s="15" t="n">
        <f aca="false">IF(AND(OR(Search!$C$4="",Search!$C$4="All",B363=Search!$C$4),OR(Search!$C$5="",Search!$C$5="All",C363=Search!$C$5),OR(Search!$C$6="",Search!$C$6="All",D363=Search!$C$6),OR(Search!$C$7="",ISNUMBER(SEARCH(Search!$C$7,D363&amp;" "&amp;E363&amp;" "&amp;F363&amp;" "&amp;G363&amp;" "&amp;H363&amp;" "&amp;J363))),OR(Search!$C$8="",ISNUMBER(SEARCH(Search!$C$8,G363)))),1,0)</f>
        <v>1</v>
      </c>
      <c r="M363" s="15" t="n">
        <f aca="false">M362+L363</f>
        <v>362</v>
      </c>
    </row>
    <row r="364" customFormat="false" ht="15" hidden="false" customHeight="false" outlineLevel="0" collapsed="false">
      <c r="A364" s="14" t="n">
        <v>363</v>
      </c>
      <c r="B364" s="15" t="s">
        <v>347</v>
      </c>
      <c r="C364" s="15" t="s">
        <v>326</v>
      </c>
      <c r="D364" s="16" t="s">
        <v>328</v>
      </c>
      <c r="E364" s="16"/>
      <c r="F364" s="15"/>
      <c r="G364" s="15" t="s">
        <v>163</v>
      </c>
      <c r="H364" s="15" t="s">
        <v>161</v>
      </c>
      <c r="I364" s="17" t="n">
        <v>2250</v>
      </c>
      <c r="J364" s="16"/>
      <c r="K364" s="15" t="s">
        <v>348</v>
      </c>
      <c r="L364" s="15" t="n">
        <f aca="false">IF(AND(OR(Search!$C$4="",Search!$C$4="All",B364=Search!$C$4),OR(Search!$C$5="",Search!$C$5="All",C364=Search!$C$5),OR(Search!$C$6="",Search!$C$6="All",D364=Search!$C$6),OR(Search!$C$7="",ISNUMBER(SEARCH(Search!$C$7,D364&amp;" "&amp;E364&amp;" "&amp;F364&amp;" "&amp;G364&amp;" "&amp;H364&amp;" "&amp;J364))),OR(Search!$C$8="",ISNUMBER(SEARCH(Search!$C$8,G364)))),1,0)</f>
        <v>1</v>
      </c>
      <c r="M364" s="15" t="n">
        <f aca="false">M363+L364</f>
        <v>363</v>
      </c>
    </row>
    <row r="365" customFormat="false" ht="15" hidden="false" customHeight="false" outlineLevel="0" collapsed="false">
      <c r="A365" s="14" t="n">
        <v>364</v>
      </c>
      <c r="B365" s="15" t="s">
        <v>347</v>
      </c>
      <c r="C365" s="15" t="s">
        <v>326</v>
      </c>
      <c r="D365" s="16" t="s">
        <v>329</v>
      </c>
      <c r="E365" s="16"/>
      <c r="F365" s="15"/>
      <c r="G365" s="15" t="s">
        <v>164</v>
      </c>
      <c r="H365" s="15" t="s">
        <v>161</v>
      </c>
      <c r="I365" s="17" t="n">
        <v>1650</v>
      </c>
      <c r="J365" s="16"/>
      <c r="K365" s="15" t="s">
        <v>348</v>
      </c>
      <c r="L365" s="15" t="n">
        <f aca="false">IF(AND(OR(Search!$C$4="",Search!$C$4="All",B365=Search!$C$4),OR(Search!$C$5="",Search!$C$5="All",C365=Search!$C$5),OR(Search!$C$6="",Search!$C$6="All",D365=Search!$C$6),OR(Search!$C$7="",ISNUMBER(SEARCH(Search!$C$7,D365&amp;" "&amp;E365&amp;" "&amp;F365&amp;" "&amp;G365&amp;" "&amp;H365&amp;" "&amp;J365))),OR(Search!$C$8="",ISNUMBER(SEARCH(Search!$C$8,G365)))),1,0)</f>
        <v>1</v>
      </c>
      <c r="M365" s="15" t="n">
        <f aca="false">M364+L365</f>
        <v>364</v>
      </c>
    </row>
    <row r="366" customFormat="false" ht="15" hidden="false" customHeight="false" outlineLevel="0" collapsed="false">
      <c r="A366" s="14" t="n">
        <v>365</v>
      </c>
      <c r="B366" s="15" t="s">
        <v>347</v>
      </c>
      <c r="C366" s="15" t="s">
        <v>326</v>
      </c>
      <c r="D366" s="16" t="s">
        <v>329</v>
      </c>
      <c r="E366" s="16"/>
      <c r="F366" s="15"/>
      <c r="G366" s="15" t="s">
        <v>163</v>
      </c>
      <c r="H366" s="15" t="s">
        <v>161</v>
      </c>
      <c r="I366" s="17" t="n">
        <v>2100</v>
      </c>
      <c r="J366" s="16"/>
      <c r="K366" s="15" t="s">
        <v>348</v>
      </c>
      <c r="L366" s="15" t="n">
        <f aca="false">IF(AND(OR(Search!$C$4="",Search!$C$4="All",B366=Search!$C$4),OR(Search!$C$5="",Search!$C$5="All",C366=Search!$C$5),OR(Search!$C$6="",Search!$C$6="All",D366=Search!$C$6),OR(Search!$C$7="",ISNUMBER(SEARCH(Search!$C$7,D366&amp;" "&amp;E366&amp;" "&amp;F366&amp;" "&amp;G366&amp;" "&amp;H366&amp;" "&amp;J366))),OR(Search!$C$8="",ISNUMBER(SEARCH(Search!$C$8,G366)))),1,0)</f>
        <v>1</v>
      </c>
      <c r="M366" s="15" t="n">
        <f aca="false">M365+L366</f>
        <v>365</v>
      </c>
    </row>
    <row r="367" customFormat="false" ht="15" hidden="false" customHeight="false" outlineLevel="0" collapsed="false">
      <c r="A367" s="14" t="n">
        <v>366</v>
      </c>
      <c r="B367" s="15" t="s">
        <v>347</v>
      </c>
      <c r="C367" s="15" t="s">
        <v>326</v>
      </c>
      <c r="D367" s="16" t="s">
        <v>330</v>
      </c>
      <c r="E367" s="16"/>
      <c r="F367" s="15"/>
      <c r="G367" s="15" t="s">
        <v>164</v>
      </c>
      <c r="H367" s="15" t="s">
        <v>161</v>
      </c>
      <c r="I367" s="17" t="n">
        <v>1550</v>
      </c>
      <c r="J367" s="16"/>
      <c r="K367" s="15" t="s">
        <v>348</v>
      </c>
      <c r="L367" s="15" t="n">
        <f aca="false">IF(AND(OR(Search!$C$4="",Search!$C$4="All",B367=Search!$C$4),OR(Search!$C$5="",Search!$C$5="All",C367=Search!$C$5),OR(Search!$C$6="",Search!$C$6="All",D367=Search!$C$6),OR(Search!$C$7="",ISNUMBER(SEARCH(Search!$C$7,D367&amp;" "&amp;E367&amp;" "&amp;F367&amp;" "&amp;G367&amp;" "&amp;H367&amp;" "&amp;J367))),OR(Search!$C$8="",ISNUMBER(SEARCH(Search!$C$8,G367)))),1,0)</f>
        <v>1</v>
      </c>
      <c r="M367" s="15" t="n">
        <f aca="false">M366+L367</f>
        <v>366</v>
      </c>
    </row>
    <row r="368" customFormat="false" ht="15" hidden="false" customHeight="false" outlineLevel="0" collapsed="false">
      <c r="A368" s="14" t="n">
        <v>367</v>
      </c>
      <c r="B368" s="15" t="s">
        <v>347</v>
      </c>
      <c r="C368" s="15" t="s">
        <v>326</v>
      </c>
      <c r="D368" s="16" t="s">
        <v>330</v>
      </c>
      <c r="E368" s="16"/>
      <c r="F368" s="15"/>
      <c r="G368" s="15" t="s">
        <v>163</v>
      </c>
      <c r="H368" s="15" t="s">
        <v>161</v>
      </c>
      <c r="I368" s="17" t="n">
        <v>1950</v>
      </c>
      <c r="J368" s="16"/>
      <c r="K368" s="15" t="s">
        <v>348</v>
      </c>
      <c r="L368" s="15" t="n">
        <f aca="false">IF(AND(OR(Search!$C$4="",Search!$C$4="All",B368=Search!$C$4),OR(Search!$C$5="",Search!$C$5="All",C368=Search!$C$5),OR(Search!$C$6="",Search!$C$6="All",D368=Search!$C$6),OR(Search!$C$7="",ISNUMBER(SEARCH(Search!$C$7,D368&amp;" "&amp;E368&amp;" "&amp;F368&amp;" "&amp;G368&amp;" "&amp;H368&amp;" "&amp;J368))),OR(Search!$C$8="",ISNUMBER(SEARCH(Search!$C$8,G368)))),1,0)</f>
        <v>1</v>
      </c>
      <c r="M368" s="15" t="n">
        <f aca="false">M367+L368</f>
        <v>367</v>
      </c>
    </row>
    <row r="369" customFormat="false" ht="15" hidden="false" customHeight="false" outlineLevel="0" collapsed="false">
      <c r="A369" s="14" t="n">
        <v>368</v>
      </c>
      <c r="B369" s="15" t="s">
        <v>347</v>
      </c>
      <c r="C369" s="15" t="s">
        <v>331</v>
      </c>
      <c r="D369" s="16" t="s">
        <v>332</v>
      </c>
      <c r="E369" s="16"/>
      <c r="F369" s="15" t="s">
        <v>232</v>
      </c>
      <c r="G369" s="15"/>
      <c r="H369" s="15" t="s">
        <v>161</v>
      </c>
      <c r="I369" s="17" t="n">
        <v>3790</v>
      </c>
      <c r="J369" s="16" t="s">
        <v>362</v>
      </c>
      <c r="K369" s="15" t="s">
        <v>348</v>
      </c>
      <c r="L369" s="15" t="n">
        <f aca="false">IF(AND(OR(Search!$C$4="",Search!$C$4="All",B369=Search!$C$4),OR(Search!$C$5="",Search!$C$5="All",C369=Search!$C$5),OR(Search!$C$6="",Search!$C$6="All",D369=Search!$C$6),OR(Search!$C$7="",ISNUMBER(SEARCH(Search!$C$7,D369&amp;" "&amp;E369&amp;" "&amp;F369&amp;" "&amp;G369&amp;" "&amp;H369&amp;" "&amp;J369))),OR(Search!$C$8="",ISNUMBER(SEARCH(Search!$C$8,G369)))),1,0)</f>
        <v>1</v>
      </c>
      <c r="M369" s="15" t="n">
        <f aca="false">M368+L369</f>
        <v>368</v>
      </c>
    </row>
    <row r="370" customFormat="false" ht="15" hidden="false" customHeight="false" outlineLevel="0" collapsed="false">
      <c r="A370" s="14" t="n">
        <v>369</v>
      </c>
      <c r="B370" s="15" t="s">
        <v>347</v>
      </c>
      <c r="C370" s="15" t="s">
        <v>331</v>
      </c>
      <c r="D370" s="16" t="s">
        <v>332</v>
      </c>
      <c r="E370" s="16"/>
      <c r="F370" s="15" t="s">
        <v>333</v>
      </c>
      <c r="G370" s="15"/>
      <c r="H370" s="15" t="s">
        <v>161</v>
      </c>
      <c r="I370" s="17" t="n">
        <v>19.5</v>
      </c>
      <c r="J370" s="16" t="s">
        <v>334</v>
      </c>
      <c r="K370" s="15" t="s">
        <v>348</v>
      </c>
      <c r="L370" s="15" t="n">
        <f aca="false">IF(AND(OR(Search!$C$4="",Search!$C$4="All",B370=Search!$C$4),OR(Search!$C$5="",Search!$C$5="All",C370=Search!$C$5),OR(Search!$C$6="",Search!$C$6="All",D370=Search!$C$6),OR(Search!$C$7="",ISNUMBER(SEARCH(Search!$C$7,D370&amp;" "&amp;E370&amp;" "&amp;F370&amp;" "&amp;G370&amp;" "&amp;H370&amp;" "&amp;J370))),OR(Search!$C$8="",ISNUMBER(SEARCH(Search!$C$8,G370)))),1,0)</f>
        <v>1</v>
      </c>
      <c r="M370" s="15" t="n">
        <f aca="false">M369+L370</f>
        <v>369</v>
      </c>
    </row>
    <row r="371" customFormat="false" ht="15" hidden="false" customHeight="false" outlineLevel="0" collapsed="false">
      <c r="A371" s="14" t="n">
        <v>370</v>
      </c>
      <c r="B371" s="15" t="s">
        <v>347</v>
      </c>
      <c r="C371" s="15" t="s">
        <v>335</v>
      </c>
      <c r="D371" s="16" t="s">
        <v>363</v>
      </c>
      <c r="E371" s="16"/>
      <c r="F371" s="15"/>
      <c r="G371" s="15" t="s">
        <v>160</v>
      </c>
      <c r="H371" s="15" t="s">
        <v>203</v>
      </c>
      <c r="I371" s="17" t="n">
        <v>12.5</v>
      </c>
      <c r="J371" s="16"/>
      <c r="K371" s="15" t="s">
        <v>348</v>
      </c>
      <c r="L371" s="15" t="n">
        <f aca="false">IF(AND(OR(Search!$C$4="",Search!$C$4="All",B371=Search!$C$4),OR(Search!$C$5="",Search!$C$5="All",C371=Search!$C$5),OR(Search!$C$6="",Search!$C$6="All",D371=Search!$C$6),OR(Search!$C$7="",ISNUMBER(SEARCH(Search!$C$7,D371&amp;" "&amp;E371&amp;" "&amp;F371&amp;" "&amp;G371&amp;" "&amp;H371&amp;" "&amp;J371))),OR(Search!$C$8="",ISNUMBER(SEARCH(Search!$C$8,G371)))),1,0)</f>
        <v>1</v>
      </c>
      <c r="M371" s="15" t="n">
        <f aca="false">M370+L371</f>
        <v>370</v>
      </c>
    </row>
    <row r="372" customFormat="false" ht="15" hidden="false" customHeight="false" outlineLevel="0" collapsed="false">
      <c r="A372" s="14" t="n">
        <v>371</v>
      </c>
      <c r="B372" s="15" t="s">
        <v>347</v>
      </c>
      <c r="C372" s="15" t="s">
        <v>335</v>
      </c>
      <c r="D372" s="16" t="s">
        <v>364</v>
      </c>
      <c r="E372" s="16"/>
      <c r="F372" s="15"/>
      <c r="G372" s="15" t="s">
        <v>160</v>
      </c>
      <c r="H372" s="15" t="s">
        <v>203</v>
      </c>
      <c r="I372" s="17" t="n">
        <v>13.5</v>
      </c>
      <c r="J372" s="16"/>
      <c r="K372" s="15" t="s">
        <v>348</v>
      </c>
      <c r="L372" s="15" t="n">
        <f aca="false">IF(AND(OR(Search!$C$4="",Search!$C$4="All",B372=Search!$C$4),OR(Search!$C$5="",Search!$C$5="All",C372=Search!$C$5),OR(Search!$C$6="",Search!$C$6="All",D372=Search!$C$6),OR(Search!$C$7="",ISNUMBER(SEARCH(Search!$C$7,D372&amp;" "&amp;E372&amp;" "&amp;F372&amp;" "&amp;G372&amp;" "&amp;H372&amp;" "&amp;J372))),OR(Search!$C$8="",ISNUMBER(SEARCH(Search!$C$8,G372)))),1,0)</f>
        <v>1</v>
      </c>
      <c r="M372" s="15" t="n">
        <f aca="false">M371+L372</f>
        <v>371</v>
      </c>
    </row>
    <row r="373" customFormat="false" ht="15" hidden="false" customHeight="false" outlineLevel="0" collapsed="false">
      <c r="A373" s="14" t="n">
        <v>372</v>
      </c>
      <c r="B373" s="15" t="s">
        <v>347</v>
      </c>
      <c r="C373" s="15" t="s">
        <v>335</v>
      </c>
      <c r="D373" s="16" t="s">
        <v>365</v>
      </c>
      <c r="E373" s="16"/>
      <c r="F373" s="15"/>
      <c r="G373" s="15" t="s">
        <v>160</v>
      </c>
      <c r="H373" s="15" t="s">
        <v>203</v>
      </c>
      <c r="I373" s="17" t="n">
        <v>14.5</v>
      </c>
      <c r="J373" s="16"/>
      <c r="K373" s="15" t="s">
        <v>348</v>
      </c>
      <c r="L373" s="15" t="n">
        <f aca="false">IF(AND(OR(Search!$C$4="",Search!$C$4="All",B373=Search!$C$4),OR(Search!$C$5="",Search!$C$5="All",C373=Search!$C$5),OR(Search!$C$6="",Search!$C$6="All",D373=Search!$C$6),OR(Search!$C$7="",ISNUMBER(SEARCH(Search!$C$7,D373&amp;" "&amp;E373&amp;" "&amp;F373&amp;" "&amp;G373&amp;" "&amp;H373&amp;" "&amp;J373))),OR(Search!$C$8="",ISNUMBER(SEARCH(Search!$C$8,G373)))),1,0)</f>
        <v>1</v>
      </c>
      <c r="M373" s="15" t="n">
        <f aca="false">M372+L373</f>
        <v>372</v>
      </c>
    </row>
    <row r="374" customFormat="false" ht="15" hidden="false" customHeight="false" outlineLevel="0" collapsed="false">
      <c r="A374" s="14" t="n">
        <v>373</v>
      </c>
      <c r="B374" s="15" t="s">
        <v>347</v>
      </c>
      <c r="C374" s="15" t="s">
        <v>335</v>
      </c>
      <c r="D374" s="16" t="s">
        <v>366</v>
      </c>
      <c r="E374" s="16"/>
      <c r="F374" s="15"/>
      <c r="G374" s="15" t="s">
        <v>160</v>
      </c>
      <c r="H374" s="15" t="s">
        <v>203</v>
      </c>
      <c r="I374" s="17" t="n">
        <v>13.5</v>
      </c>
      <c r="J374" s="16"/>
      <c r="K374" s="15" t="s">
        <v>348</v>
      </c>
      <c r="L374" s="15" t="n">
        <f aca="false">IF(AND(OR(Search!$C$4="",Search!$C$4="All",B374=Search!$C$4),OR(Search!$C$5="",Search!$C$5="All",C374=Search!$C$5),OR(Search!$C$6="",Search!$C$6="All",D374=Search!$C$6),OR(Search!$C$7="",ISNUMBER(SEARCH(Search!$C$7,D374&amp;" "&amp;E374&amp;" "&amp;F374&amp;" "&amp;G374&amp;" "&amp;H374&amp;" "&amp;J374))),OR(Search!$C$8="",ISNUMBER(SEARCH(Search!$C$8,G374)))),1,0)</f>
        <v>1</v>
      </c>
      <c r="M374" s="15" t="n">
        <f aca="false">M373+L374</f>
        <v>373</v>
      </c>
    </row>
    <row r="375" customFormat="false" ht="15" hidden="false" customHeight="false" outlineLevel="0" collapsed="false">
      <c r="A375" s="14" t="n">
        <v>374</v>
      </c>
      <c r="B375" s="15" t="s">
        <v>347</v>
      </c>
      <c r="C375" s="15" t="s">
        <v>335</v>
      </c>
      <c r="D375" s="16" t="s">
        <v>367</v>
      </c>
      <c r="E375" s="16"/>
      <c r="F375" s="15"/>
      <c r="G375" s="15" t="s">
        <v>160</v>
      </c>
      <c r="H375" s="15" t="s">
        <v>203</v>
      </c>
      <c r="I375" s="17" t="n">
        <v>14.5</v>
      </c>
      <c r="J375" s="16"/>
      <c r="K375" s="15" t="s">
        <v>348</v>
      </c>
      <c r="L375" s="15" t="n">
        <f aca="false">IF(AND(OR(Search!$C$4="",Search!$C$4="All",B375=Search!$C$4),OR(Search!$C$5="",Search!$C$5="All",C375=Search!$C$5),OR(Search!$C$6="",Search!$C$6="All",D375=Search!$C$6),OR(Search!$C$7="",ISNUMBER(SEARCH(Search!$C$7,D375&amp;" "&amp;E375&amp;" "&amp;F375&amp;" "&amp;G375&amp;" "&amp;H375&amp;" "&amp;J375))),OR(Search!$C$8="",ISNUMBER(SEARCH(Search!$C$8,G375)))),1,0)</f>
        <v>1</v>
      </c>
      <c r="M375" s="15" t="n">
        <f aca="false">M374+L375</f>
        <v>374</v>
      </c>
    </row>
    <row r="376" customFormat="false" ht="15" hidden="false" customHeight="false" outlineLevel="0" collapsed="false">
      <c r="A376" s="14" t="n">
        <v>375</v>
      </c>
      <c r="B376" s="15" t="s">
        <v>347</v>
      </c>
      <c r="C376" s="15" t="s">
        <v>335</v>
      </c>
      <c r="D376" s="16" t="s">
        <v>368</v>
      </c>
      <c r="E376" s="16"/>
      <c r="F376" s="15"/>
      <c r="G376" s="15" t="s">
        <v>160</v>
      </c>
      <c r="H376" s="15" t="s">
        <v>203</v>
      </c>
      <c r="I376" s="17" t="n">
        <v>15.5</v>
      </c>
      <c r="J376" s="16"/>
      <c r="K376" s="15" t="s">
        <v>348</v>
      </c>
      <c r="L376" s="15" t="n">
        <f aca="false">IF(AND(OR(Search!$C$4="",Search!$C$4="All",B376=Search!$C$4),OR(Search!$C$5="",Search!$C$5="All",C376=Search!$C$5),OR(Search!$C$6="",Search!$C$6="All",D376=Search!$C$6),OR(Search!$C$7="",ISNUMBER(SEARCH(Search!$C$7,D376&amp;" "&amp;E376&amp;" "&amp;F376&amp;" "&amp;G376&amp;" "&amp;H376&amp;" "&amp;J376))),OR(Search!$C$8="",ISNUMBER(SEARCH(Search!$C$8,G376)))),1,0)</f>
        <v>1</v>
      </c>
      <c r="M376" s="15" t="n">
        <f aca="false">M375+L376</f>
        <v>375</v>
      </c>
    </row>
    <row r="377" customFormat="false" ht="15" hidden="false" customHeight="false" outlineLevel="0" collapsed="false">
      <c r="A377" s="14" t="n">
        <v>376</v>
      </c>
      <c r="B377" s="15" t="s">
        <v>347</v>
      </c>
      <c r="C377" s="15" t="s">
        <v>339</v>
      </c>
      <c r="D377" s="16" t="s">
        <v>340</v>
      </c>
      <c r="E377" s="16"/>
      <c r="F377" s="15" t="s">
        <v>341</v>
      </c>
      <c r="G377" s="15" t="s">
        <v>160</v>
      </c>
      <c r="H377" s="15" t="s">
        <v>161</v>
      </c>
      <c r="I377" s="17" t="n">
        <v>1025</v>
      </c>
      <c r="J377" s="16"/>
      <c r="K377" s="15" t="s">
        <v>348</v>
      </c>
      <c r="L377" s="15" t="n">
        <f aca="false">IF(AND(OR(Search!$C$4="",Search!$C$4="All",B377=Search!$C$4),OR(Search!$C$5="",Search!$C$5="All",C377=Search!$C$5),OR(Search!$C$6="",Search!$C$6="All",D377=Search!$C$6),OR(Search!$C$7="",ISNUMBER(SEARCH(Search!$C$7,D377&amp;" "&amp;E377&amp;" "&amp;F377&amp;" "&amp;G377&amp;" "&amp;H377&amp;" "&amp;J377))),OR(Search!$C$8="",ISNUMBER(SEARCH(Search!$C$8,G377)))),1,0)</f>
        <v>1</v>
      </c>
      <c r="M377" s="15" t="n">
        <f aca="false">M376+L377</f>
        <v>376</v>
      </c>
    </row>
    <row r="378" customFormat="false" ht="15" hidden="false" customHeight="false" outlineLevel="0" collapsed="false">
      <c r="A378" s="14" t="n">
        <v>377</v>
      </c>
      <c r="B378" s="15" t="s">
        <v>347</v>
      </c>
      <c r="C378" s="15" t="s">
        <v>339</v>
      </c>
      <c r="D378" s="16" t="s">
        <v>340</v>
      </c>
      <c r="E378" s="16"/>
      <c r="F378" s="15" t="s">
        <v>342</v>
      </c>
      <c r="G378" s="15" t="s">
        <v>160</v>
      </c>
      <c r="H378" s="15" t="s">
        <v>161</v>
      </c>
      <c r="I378" s="17" t="n">
        <v>1180</v>
      </c>
      <c r="J378" s="16"/>
      <c r="K378" s="15" t="s">
        <v>348</v>
      </c>
      <c r="L378" s="15" t="n">
        <f aca="false">IF(AND(OR(Search!$C$4="",Search!$C$4="All",B378=Search!$C$4),OR(Search!$C$5="",Search!$C$5="All",C378=Search!$C$5),OR(Search!$C$6="",Search!$C$6="All",D378=Search!$C$6),OR(Search!$C$7="",ISNUMBER(SEARCH(Search!$C$7,D378&amp;" "&amp;E378&amp;" "&amp;F378&amp;" "&amp;G378&amp;" "&amp;H378&amp;" "&amp;J378))),OR(Search!$C$8="",ISNUMBER(SEARCH(Search!$C$8,G378)))),1,0)</f>
        <v>1</v>
      </c>
      <c r="M378" s="15" t="n">
        <f aca="false">M377+L378</f>
        <v>377</v>
      </c>
    </row>
    <row r="379" customFormat="false" ht="15" hidden="false" customHeight="false" outlineLevel="0" collapsed="false">
      <c r="A379" s="14" t="n">
        <v>378</v>
      </c>
      <c r="B379" s="15" t="s">
        <v>347</v>
      </c>
      <c r="C379" s="15" t="s">
        <v>339</v>
      </c>
      <c r="D379" s="16" t="s">
        <v>340</v>
      </c>
      <c r="E379" s="16"/>
      <c r="F379" s="15" t="s">
        <v>343</v>
      </c>
      <c r="G379" s="15" t="s">
        <v>160</v>
      </c>
      <c r="H379" s="15" t="s">
        <v>161</v>
      </c>
      <c r="I379" s="17" t="n">
        <v>1340</v>
      </c>
      <c r="J379" s="16"/>
      <c r="K379" s="15" t="s">
        <v>348</v>
      </c>
      <c r="L379" s="15" t="n">
        <f aca="false">IF(AND(OR(Search!$C$4="",Search!$C$4="All",B379=Search!$C$4),OR(Search!$C$5="",Search!$C$5="All",C379=Search!$C$5),OR(Search!$C$6="",Search!$C$6="All",D379=Search!$C$6),OR(Search!$C$7="",ISNUMBER(SEARCH(Search!$C$7,D379&amp;" "&amp;E379&amp;" "&amp;F379&amp;" "&amp;G379&amp;" "&amp;H379&amp;" "&amp;J379))),OR(Search!$C$8="",ISNUMBER(SEARCH(Search!$C$8,G379)))),1,0)</f>
        <v>1</v>
      </c>
      <c r="M379" s="15" t="n">
        <f aca="false">M378+L379</f>
        <v>378</v>
      </c>
    </row>
    <row r="380" customFormat="false" ht="15" hidden="false" customHeight="false" outlineLevel="0" collapsed="false">
      <c r="A380" s="14" t="n">
        <v>379</v>
      </c>
      <c r="B380" s="15" t="s">
        <v>347</v>
      </c>
      <c r="C380" s="15" t="s">
        <v>339</v>
      </c>
      <c r="D380" s="16" t="s">
        <v>340</v>
      </c>
      <c r="E380" s="16"/>
      <c r="F380" s="15" t="s">
        <v>344</v>
      </c>
      <c r="G380" s="15" t="s">
        <v>160</v>
      </c>
      <c r="H380" s="15" t="s">
        <v>161</v>
      </c>
      <c r="I380" s="17" t="n">
        <v>1520</v>
      </c>
      <c r="J380" s="16"/>
      <c r="K380" s="15" t="s">
        <v>348</v>
      </c>
      <c r="L380" s="15" t="n">
        <f aca="false">IF(AND(OR(Search!$C$4="",Search!$C$4="All",B380=Search!$C$4),OR(Search!$C$5="",Search!$C$5="All",C380=Search!$C$5),OR(Search!$C$6="",Search!$C$6="All",D380=Search!$C$6),OR(Search!$C$7="",ISNUMBER(SEARCH(Search!$C$7,D380&amp;" "&amp;E380&amp;" "&amp;F380&amp;" "&amp;G380&amp;" "&amp;H380&amp;" "&amp;J380))),OR(Search!$C$8="",ISNUMBER(SEARCH(Search!$C$8,G380)))),1,0)</f>
        <v>1</v>
      </c>
      <c r="M380" s="15" t="n">
        <f aca="false">M379+L380</f>
        <v>379</v>
      </c>
    </row>
    <row r="381" customFormat="false" ht="15" hidden="false" customHeight="false" outlineLevel="0" collapsed="false">
      <c r="A381" s="14" t="n">
        <v>380</v>
      </c>
      <c r="B381" s="15" t="s">
        <v>347</v>
      </c>
      <c r="C381" s="15" t="s">
        <v>339</v>
      </c>
      <c r="D381" s="16" t="s">
        <v>340</v>
      </c>
      <c r="E381" s="16"/>
      <c r="F381" s="15" t="s">
        <v>369</v>
      </c>
      <c r="G381" s="15" t="s">
        <v>160</v>
      </c>
      <c r="H381" s="15" t="s">
        <v>161</v>
      </c>
      <c r="I381" s="17" t="n">
        <v>1420</v>
      </c>
      <c r="J381" s="16"/>
      <c r="K381" s="15" t="s">
        <v>348</v>
      </c>
      <c r="L381" s="15" t="n">
        <f aca="false">IF(AND(OR(Search!$C$4="",Search!$C$4="All",B381=Search!$C$4),OR(Search!$C$5="",Search!$C$5="All",C381=Search!$C$5),OR(Search!$C$6="",Search!$C$6="All",D381=Search!$C$6),OR(Search!$C$7="",ISNUMBER(SEARCH(Search!$C$7,D381&amp;" "&amp;E381&amp;" "&amp;F381&amp;" "&amp;G381&amp;" "&amp;H381&amp;" "&amp;J381))),OR(Search!$C$8="",ISNUMBER(SEARCH(Search!$C$8,G381)))),1,0)</f>
        <v>1</v>
      </c>
      <c r="M381" s="15" t="n">
        <f aca="false">M380+L381</f>
        <v>380</v>
      </c>
    </row>
    <row r="382" customFormat="false" ht="15" hidden="false" customHeight="false" outlineLevel="0" collapsed="false">
      <c r="A382" s="14" t="n">
        <v>381</v>
      </c>
      <c r="B382" s="15" t="s">
        <v>347</v>
      </c>
      <c r="C382" s="15" t="s">
        <v>339</v>
      </c>
      <c r="D382" s="16" t="s">
        <v>340</v>
      </c>
      <c r="E382" s="16"/>
      <c r="F382" s="15" t="s">
        <v>346</v>
      </c>
      <c r="G382" s="15" t="s">
        <v>160</v>
      </c>
      <c r="H382" s="15" t="s">
        <v>161</v>
      </c>
      <c r="I382" s="17" t="n">
        <v>2410</v>
      </c>
      <c r="J382" s="16"/>
      <c r="K382" s="15" t="s">
        <v>348</v>
      </c>
      <c r="L382" s="15" t="n">
        <f aca="false">IF(AND(OR(Search!$C$4="",Search!$C$4="All",B382=Search!$C$4),OR(Search!$C$5="",Search!$C$5="All",C382=Search!$C$5),OR(Search!$C$6="",Search!$C$6="All",D382=Search!$C$6),OR(Search!$C$7="",ISNUMBER(SEARCH(Search!$C$7,D382&amp;" "&amp;E382&amp;" "&amp;F382&amp;" "&amp;G382&amp;" "&amp;H382&amp;" "&amp;J382))),OR(Search!$C$8="",ISNUMBER(SEARCH(Search!$C$8,G382)))),1,0)</f>
        <v>1</v>
      </c>
      <c r="M382" s="15" t="n">
        <f aca="false">M381+L382</f>
        <v>381</v>
      </c>
    </row>
    <row r="383" customFormat="false" ht="15" hidden="false" customHeight="false" outlineLevel="0" collapsed="false">
      <c r="A383" s="14" t="n">
        <v>382</v>
      </c>
      <c r="B383" s="15" t="s">
        <v>370</v>
      </c>
      <c r="C383" s="15" t="s">
        <v>242</v>
      </c>
      <c r="D383" s="16" t="s">
        <v>243</v>
      </c>
      <c r="E383" s="16"/>
      <c r="F383" s="15" t="s">
        <v>371</v>
      </c>
      <c r="G383" s="15" t="s">
        <v>173</v>
      </c>
      <c r="H383" s="15" t="s">
        <v>161</v>
      </c>
      <c r="I383" s="17" t="n">
        <v>2203.2</v>
      </c>
      <c r="J383" s="16"/>
      <c r="K383" s="15" t="s">
        <v>372</v>
      </c>
      <c r="L383" s="15" t="n">
        <f aca="false">IF(AND(OR(Search!$C$4="",Search!$C$4="All",B383=Search!$C$4),OR(Search!$C$5="",Search!$C$5="All",C383=Search!$C$5),OR(Search!$C$6="",Search!$C$6="All",D383=Search!$C$6),OR(Search!$C$7="",ISNUMBER(SEARCH(Search!$C$7,D383&amp;" "&amp;E383&amp;" "&amp;F383&amp;" "&amp;G383&amp;" "&amp;H383&amp;" "&amp;J383))),OR(Search!$C$8="",ISNUMBER(SEARCH(Search!$C$8,G383)))),1,0)</f>
        <v>1</v>
      </c>
      <c r="M383" s="15" t="n">
        <f aca="false">M382+L383</f>
        <v>382</v>
      </c>
    </row>
    <row r="384" customFormat="false" ht="15" hidden="false" customHeight="false" outlineLevel="0" collapsed="false">
      <c r="A384" s="14" t="n">
        <v>383</v>
      </c>
      <c r="B384" s="15" t="s">
        <v>370</v>
      </c>
      <c r="C384" s="15" t="s">
        <v>242</v>
      </c>
      <c r="D384" s="16" t="s">
        <v>243</v>
      </c>
      <c r="E384" s="16"/>
      <c r="F384" s="15" t="s">
        <v>371</v>
      </c>
      <c r="G384" s="15" t="s">
        <v>173</v>
      </c>
      <c r="H384" s="15" t="s">
        <v>197</v>
      </c>
      <c r="I384" s="17" t="n">
        <v>36.72</v>
      </c>
      <c r="J384" s="16"/>
      <c r="K384" s="15" t="s">
        <v>372</v>
      </c>
      <c r="L384" s="15" t="n">
        <f aca="false">IF(AND(OR(Search!$C$4="",Search!$C$4="All",B384=Search!$C$4),OR(Search!$C$5="",Search!$C$5="All",C384=Search!$C$5),OR(Search!$C$6="",Search!$C$6="All",D384=Search!$C$6),OR(Search!$C$7="",ISNUMBER(SEARCH(Search!$C$7,D384&amp;" "&amp;E384&amp;" "&amp;F384&amp;" "&amp;G384&amp;" "&amp;H384&amp;" "&amp;J384))),OR(Search!$C$8="",ISNUMBER(SEARCH(Search!$C$8,G384)))),1,0)</f>
        <v>1</v>
      </c>
      <c r="M384" s="15" t="n">
        <f aca="false">M383+L384</f>
        <v>383</v>
      </c>
    </row>
    <row r="385" customFormat="false" ht="15" hidden="false" customHeight="false" outlineLevel="0" collapsed="false">
      <c r="A385" s="14" t="n">
        <v>384</v>
      </c>
      <c r="B385" s="15" t="s">
        <v>370</v>
      </c>
      <c r="C385" s="15" t="s">
        <v>229</v>
      </c>
      <c r="D385" s="16" t="s">
        <v>373</v>
      </c>
      <c r="E385" s="16"/>
      <c r="F385" s="15" t="s">
        <v>371</v>
      </c>
      <c r="G385" s="15" t="s">
        <v>173</v>
      </c>
      <c r="H385" s="15" t="s">
        <v>161</v>
      </c>
      <c r="I385" s="17" t="n">
        <v>1802.4</v>
      </c>
      <c r="J385" s="16"/>
      <c r="K385" s="15" t="s">
        <v>372</v>
      </c>
      <c r="L385" s="15" t="n">
        <f aca="false">IF(AND(OR(Search!$C$4="",Search!$C$4="All",B385=Search!$C$4),OR(Search!$C$5="",Search!$C$5="All",C385=Search!$C$5),OR(Search!$C$6="",Search!$C$6="All",D385=Search!$C$6),OR(Search!$C$7="",ISNUMBER(SEARCH(Search!$C$7,D385&amp;" "&amp;E385&amp;" "&amp;F385&amp;" "&amp;G385&amp;" "&amp;H385&amp;" "&amp;J385))),OR(Search!$C$8="",ISNUMBER(SEARCH(Search!$C$8,G385)))),1,0)</f>
        <v>1</v>
      </c>
      <c r="M385" s="15" t="n">
        <f aca="false">M384+L385</f>
        <v>384</v>
      </c>
    </row>
    <row r="386" customFormat="false" ht="15" hidden="false" customHeight="false" outlineLevel="0" collapsed="false">
      <c r="A386" s="14" t="n">
        <v>385</v>
      </c>
      <c r="B386" s="15" t="s">
        <v>370</v>
      </c>
      <c r="C386" s="15" t="s">
        <v>229</v>
      </c>
      <c r="D386" s="16" t="s">
        <v>373</v>
      </c>
      <c r="E386" s="16"/>
      <c r="F386" s="15" t="s">
        <v>371</v>
      </c>
      <c r="G386" s="15" t="s">
        <v>173</v>
      </c>
      <c r="H386" s="15" t="s">
        <v>197</v>
      </c>
      <c r="I386" s="17" t="n">
        <v>30.04</v>
      </c>
      <c r="J386" s="16"/>
      <c r="K386" s="15" t="s">
        <v>372</v>
      </c>
      <c r="L386" s="15" t="n">
        <f aca="false">IF(AND(OR(Search!$C$4="",Search!$C$4="All",B386=Search!$C$4),OR(Search!$C$5="",Search!$C$5="All",C386=Search!$C$5),OR(Search!$C$6="",Search!$C$6="All",D386=Search!$C$6),OR(Search!$C$7="",ISNUMBER(SEARCH(Search!$C$7,D386&amp;" "&amp;E386&amp;" "&amp;F386&amp;" "&amp;G386&amp;" "&amp;H386&amp;" "&amp;J386))),OR(Search!$C$8="",ISNUMBER(SEARCH(Search!$C$8,G386)))),1,0)</f>
        <v>1</v>
      </c>
      <c r="M386" s="15" t="n">
        <f aca="false">M385+L386</f>
        <v>385</v>
      </c>
    </row>
    <row r="387" customFormat="false" ht="15" hidden="false" customHeight="false" outlineLevel="0" collapsed="false">
      <c r="A387" s="14" t="n">
        <v>386</v>
      </c>
      <c r="B387" s="15" t="s">
        <v>370</v>
      </c>
      <c r="C387" s="15" t="s">
        <v>229</v>
      </c>
      <c r="D387" s="16" t="s">
        <v>373</v>
      </c>
      <c r="E387" s="16"/>
      <c r="F387" s="15" t="s">
        <v>374</v>
      </c>
      <c r="G387" s="15" t="s">
        <v>173</v>
      </c>
      <c r="H387" s="15" t="s">
        <v>161</v>
      </c>
      <c r="I387" s="17" t="n">
        <v>1892.1</v>
      </c>
      <c r="J387" s="16"/>
      <c r="K387" s="15" t="s">
        <v>372</v>
      </c>
      <c r="L387" s="15" t="n">
        <f aca="false">IF(AND(OR(Search!$C$4="",Search!$C$4="All",B387=Search!$C$4),OR(Search!$C$5="",Search!$C$5="All",C387=Search!$C$5),OR(Search!$C$6="",Search!$C$6="All",D387=Search!$C$6),OR(Search!$C$7="",ISNUMBER(SEARCH(Search!$C$7,D387&amp;" "&amp;E387&amp;" "&amp;F387&amp;" "&amp;G387&amp;" "&amp;H387&amp;" "&amp;J387))),OR(Search!$C$8="",ISNUMBER(SEARCH(Search!$C$8,G387)))),1,0)</f>
        <v>1</v>
      </c>
      <c r="M387" s="15" t="n">
        <f aca="false">M386+L387</f>
        <v>386</v>
      </c>
    </row>
    <row r="388" customFormat="false" ht="15" hidden="false" customHeight="false" outlineLevel="0" collapsed="false">
      <c r="A388" s="14" t="n">
        <v>387</v>
      </c>
      <c r="B388" s="15" t="s">
        <v>370</v>
      </c>
      <c r="C388" s="15" t="s">
        <v>229</v>
      </c>
      <c r="D388" s="16" t="s">
        <v>373</v>
      </c>
      <c r="E388" s="16"/>
      <c r="F388" s="15" t="s">
        <v>374</v>
      </c>
      <c r="G388" s="15" t="s">
        <v>173</v>
      </c>
      <c r="H388" s="15" t="s">
        <v>197</v>
      </c>
      <c r="I388" s="17" t="n">
        <v>27.03</v>
      </c>
      <c r="J388" s="16"/>
      <c r="K388" s="15" t="s">
        <v>372</v>
      </c>
      <c r="L388" s="15" t="n">
        <f aca="false">IF(AND(OR(Search!$C$4="",Search!$C$4="All",B388=Search!$C$4),OR(Search!$C$5="",Search!$C$5="All",C388=Search!$C$5),OR(Search!$C$6="",Search!$C$6="All",D388=Search!$C$6),OR(Search!$C$7="",ISNUMBER(SEARCH(Search!$C$7,D388&amp;" "&amp;E388&amp;" "&amp;F388&amp;" "&amp;G388&amp;" "&amp;H388&amp;" "&amp;J388))),OR(Search!$C$8="",ISNUMBER(SEARCH(Search!$C$8,G388)))),1,0)</f>
        <v>1</v>
      </c>
      <c r="M388" s="15" t="n">
        <f aca="false">M387+L388</f>
        <v>387</v>
      </c>
    </row>
    <row r="389" customFormat="false" ht="15" hidden="false" customHeight="false" outlineLevel="0" collapsed="false">
      <c r="A389" s="14" t="n">
        <v>388</v>
      </c>
      <c r="B389" s="15" t="s">
        <v>370</v>
      </c>
      <c r="C389" s="15" t="s">
        <v>229</v>
      </c>
      <c r="D389" s="16" t="s">
        <v>373</v>
      </c>
      <c r="E389" s="16"/>
      <c r="F389" s="15" t="s">
        <v>375</v>
      </c>
      <c r="G389" s="15" t="s">
        <v>173</v>
      </c>
      <c r="H389" s="15" t="s">
        <v>161</v>
      </c>
      <c r="I389" s="17" t="n">
        <v>2264.8</v>
      </c>
      <c r="J389" s="16"/>
      <c r="K389" s="15" t="s">
        <v>372</v>
      </c>
      <c r="L389" s="15" t="n">
        <f aca="false">IF(AND(OR(Search!$C$4="",Search!$C$4="All",B389=Search!$C$4),OR(Search!$C$5="",Search!$C$5="All",C389=Search!$C$5),OR(Search!$C$6="",Search!$C$6="All",D389=Search!$C$6),OR(Search!$C$7="",ISNUMBER(SEARCH(Search!$C$7,D389&amp;" "&amp;E389&amp;" "&amp;F389&amp;" "&amp;G389&amp;" "&amp;H389&amp;" "&amp;J389))),OR(Search!$C$8="",ISNUMBER(SEARCH(Search!$C$8,G389)))),1,0)</f>
        <v>1</v>
      </c>
      <c r="M389" s="15" t="n">
        <f aca="false">M388+L389</f>
        <v>388</v>
      </c>
    </row>
    <row r="390" customFormat="false" ht="15" hidden="false" customHeight="false" outlineLevel="0" collapsed="false">
      <c r="A390" s="14" t="n">
        <v>389</v>
      </c>
      <c r="B390" s="15" t="s">
        <v>370</v>
      </c>
      <c r="C390" s="15" t="s">
        <v>229</v>
      </c>
      <c r="D390" s="16" t="s">
        <v>373</v>
      </c>
      <c r="E390" s="16"/>
      <c r="F390" s="15" t="s">
        <v>375</v>
      </c>
      <c r="G390" s="15" t="s">
        <v>173</v>
      </c>
      <c r="H390" s="15" t="s">
        <v>197</v>
      </c>
      <c r="I390" s="17" t="n">
        <v>28.31</v>
      </c>
      <c r="J390" s="16"/>
      <c r="K390" s="15" t="s">
        <v>372</v>
      </c>
      <c r="L390" s="15" t="n">
        <f aca="false">IF(AND(OR(Search!$C$4="",Search!$C$4="All",B390=Search!$C$4),OR(Search!$C$5="",Search!$C$5="All",C390=Search!$C$5),OR(Search!$C$6="",Search!$C$6="All",D390=Search!$C$6),OR(Search!$C$7="",ISNUMBER(SEARCH(Search!$C$7,D390&amp;" "&amp;E390&amp;" "&amp;F390&amp;" "&amp;G390&amp;" "&amp;H390&amp;" "&amp;J390))),OR(Search!$C$8="",ISNUMBER(SEARCH(Search!$C$8,G390)))),1,0)</f>
        <v>1</v>
      </c>
      <c r="M390" s="15" t="n">
        <f aca="false">M389+L390</f>
        <v>389</v>
      </c>
    </row>
    <row r="391" customFormat="false" ht="15" hidden="false" customHeight="false" outlineLevel="0" collapsed="false">
      <c r="A391" s="14" t="n">
        <v>390</v>
      </c>
      <c r="B391" s="15" t="s">
        <v>370</v>
      </c>
      <c r="C391" s="15" t="s">
        <v>229</v>
      </c>
      <c r="D391" s="16" t="s">
        <v>373</v>
      </c>
      <c r="E391" s="16"/>
      <c r="F391" s="15" t="s">
        <v>376</v>
      </c>
      <c r="G391" s="15" t="s">
        <v>173</v>
      </c>
      <c r="H391" s="15" t="s">
        <v>161</v>
      </c>
      <c r="I391" s="17" t="n">
        <v>2576</v>
      </c>
      <c r="J391" s="16"/>
      <c r="K391" s="15" t="s">
        <v>372</v>
      </c>
      <c r="L391" s="15" t="n">
        <f aca="false">IF(AND(OR(Search!$C$4="",Search!$C$4="All",B391=Search!$C$4),OR(Search!$C$5="",Search!$C$5="All",C391=Search!$C$5),OR(Search!$C$6="",Search!$C$6="All",D391=Search!$C$6),OR(Search!$C$7="",ISNUMBER(SEARCH(Search!$C$7,D391&amp;" "&amp;E391&amp;" "&amp;F391&amp;" "&amp;G391&amp;" "&amp;H391&amp;" "&amp;J391))),OR(Search!$C$8="",ISNUMBER(SEARCH(Search!$C$8,G391)))),1,0)</f>
        <v>1</v>
      </c>
      <c r="M391" s="15" t="n">
        <f aca="false">M390+L391</f>
        <v>390</v>
      </c>
    </row>
    <row r="392" customFormat="false" ht="15" hidden="false" customHeight="false" outlineLevel="0" collapsed="false">
      <c r="A392" s="14" t="n">
        <v>391</v>
      </c>
      <c r="B392" s="15" t="s">
        <v>370</v>
      </c>
      <c r="C392" s="15" t="s">
        <v>229</v>
      </c>
      <c r="D392" s="16" t="s">
        <v>373</v>
      </c>
      <c r="E392" s="16"/>
      <c r="F392" s="15" t="s">
        <v>376</v>
      </c>
      <c r="G392" s="15" t="s">
        <v>173</v>
      </c>
      <c r="H392" s="15" t="s">
        <v>197</v>
      </c>
      <c r="I392" s="17" t="n">
        <v>25.76</v>
      </c>
      <c r="J392" s="16"/>
      <c r="K392" s="15" t="s">
        <v>372</v>
      </c>
      <c r="L392" s="15" t="n">
        <f aca="false">IF(AND(OR(Search!$C$4="",Search!$C$4="All",B392=Search!$C$4),OR(Search!$C$5="",Search!$C$5="All",C392=Search!$C$5),OR(Search!$C$6="",Search!$C$6="All",D392=Search!$C$6),OR(Search!$C$7="",ISNUMBER(SEARCH(Search!$C$7,D392&amp;" "&amp;E392&amp;" "&amp;F392&amp;" "&amp;G392&amp;" "&amp;H392&amp;" "&amp;J392))),OR(Search!$C$8="",ISNUMBER(SEARCH(Search!$C$8,G392)))),1,0)</f>
        <v>1</v>
      </c>
      <c r="M392" s="15" t="n">
        <f aca="false">M391+L392</f>
        <v>391</v>
      </c>
    </row>
    <row r="393" customFormat="false" ht="15" hidden="false" customHeight="false" outlineLevel="0" collapsed="false">
      <c r="A393" s="14" t="n">
        <v>392</v>
      </c>
      <c r="B393" s="15" t="s">
        <v>370</v>
      </c>
      <c r="C393" s="15" t="s">
        <v>229</v>
      </c>
      <c r="D393" s="16" t="s">
        <v>373</v>
      </c>
      <c r="E393" s="16"/>
      <c r="F393" s="15" t="s">
        <v>377</v>
      </c>
      <c r="G393" s="15" t="s">
        <v>173</v>
      </c>
      <c r="H393" s="15" t="s">
        <v>161</v>
      </c>
      <c r="I393" s="17" t="n">
        <v>3133.2</v>
      </c>
      <c r="J393" s="16"/>
      <c r="K393" s="15" t="s">
        <v>372</v>
      </c>
      <c r="L393" s="15" t="n">
        <f aca="false">IF(AND(OR(Search!$C$4="",Search!$C$4="All",B393=Search!$C$4),OR(Search!$C$5="",Search!$C$5="All",C393=Search!$C$5),OR(Search!$C$6="",Search!$C$6="All",D393=Search!$C$6),OR(Search!$C$7="",ISNUMBER(SEARCH(Search!$C$7,D393&amp;" "&amp;E393&amp;" "&amp;F393&amp;" "&amp;G393&amp;" "&amp;H393&amp;" "&amp;J393))),OR(Search!$C$8="",ISNUMBER(SEARCH(Search!$C$8,G393)))),1,0)</f>
        <v>1</v>
      </c>
      <c r="M393" s="15" t="n">
        <f aca="false">M392+L393</f>
        <v>392</v>
      </c>
    </row>
    <row r="394" customFormat="false" ht="15" hidden="false" customHeight="false" outlineLevel="0" collapsed="false">
      <c r="A394" s="14" t="n">
        <v>393</v>
      </c>
      <c r="B394" s="15" t="s">
        <v>370</v>
      </c>
      <c r="C394" s="15" t="s">
        <v>229</v>
      </c>
      <c r="D394" s="16" t="s">
        <v>373</v>
      </c>
      <c r="E394" s="16"/>
      <c r="F394" s="15" t="s">
        <v>377</v>
      </c>
      <c r="G394" s="15" t="s">
        <v>173</v>
      </c>
      <c r="H394" s="15" t="s">
        <v>197</v>
      </c>
      <c r="I394" s="17" t="n">
        <v>26.11</v>
      </c>
      <c r="J394" s="16"/>
      <c r="K394" s="15" t="s">
        <v>372</v>
      </c>
      <c r="L394" s="15" t="n">
        <f aca="false">IF(AND(OR(Search!$C$4="",Search!$C$4="All",B394=Search!$C$4),OR(Search!$C$5="",Search!$C$5="All",C394=Search!$C$5),OR(Search!$C$6="",Search!$C$6="All",D394=Search!$C$6),OR(Search!$C$7="",ISNUMBER(SEARCH(Search!$C$7,D394&amp;" "&amp;E394&amp;" "&amp;F394&amp;" "&amp;G394&amp;" "&amp;H394&amp;" "&amp;J394))),OR(Search!$C$8="",ISNUMBER(SEARCH(Search!$C$8,G394)))),1,0)</f>
        <v>1</v>
      </c>
      <c r="M394" s="15" t="n">
        <f aca="false">M393+L394</f>
        <v>393</v>
      </c>
    </row>
    <row r="395" customFormat="false" ht="15" hidden="false" customHeight="false" outlineLevel="0" collapsed="false">
      <c r="A395" s="14" t="n">
        <v>394</v>
      </c>
      <c r="B395" s="15" t="s">
        <v>370</v>
      </c>
      <c r="C395" s="15" t="s">
        <v>229</v>
      </c>
      <c r="D395" s="16" t="s">
        <v>378</v>
      </c>
      <c r="E395" s="16"/>
      <c r="F395" s="15" t="s">
        <v>379</v>
      </c>
      <c r="G395" s="15" t="s">
        <v>173</v>
      </c>
      <c r="H395" s="15" t="s">
        <v>380</v>
      </c>
      <c r="I395" s="17" t="n">
        <v>816</v>
      </c>
      <c r="J395" s="16"/>
      <c r="K395" s="15" t="s">
        <v>372</v>
      </c>
      <c r="L395" s="15" t="n">
        <f aca="false">IF(AND(OR(Search!$C$4="",Search!$C$4="All",B395=Search!$C$4),OR(Search!$C$5="",Search!$C$5="All",C395=Search!$C$5),OR(Search!$C$6="",Search!$C$6="All",D395=Search!$C$6),OR(Search!$C$7="",ISNUMBER(SEARCH(Search!$C$7,D395&amp;" "&amp;E395&amp;" "&amp;F395&amp;" "&amp;G395&amp;" "&amp;H395&amp;" "&amp;J395))),OR(Search!$C$8="",ISNUMBER(SEARCH(Search!$C$8,G395)))),1,0)</f>
        <v>1</v>
      </c>
      <c r="M395" s="15" t="n">
        <f aca="false">M394+L395</f>
        <v>394</v>
      </c>
    </row>
    <row r="396" customFormat="false" ht="15" hidden="false" customHeight="false" outlineLevel="0" collapsed="false">
      <c r="A396" s="14" t="n">
        <v>395</v>
      </c>
      <c r="B396" s="15" t="s">
        <v>370</v>
      </c>
      <c r="C396" s="15" t="s">
        <v>229</v>
      </c>
      <c r="D396" s="16" t="s">
        <v>378</v>
      </c>
      <c r="E396" s="16"/>
      <c r="F396" s="15" t="s">
        <v>381</v>
      </c>
      <c r="G396" s="15" t="s">
        <v>173</v>
      </c>
      <c r="H396" s="15" t="s">
        <v>380</v>
      </c>
      <c r="I396" s="17" t="n">
        <v>841.5</v>
      </c>
      <c r="J396" s="16" t="s">
        <v>382</v>
      </c>
      <c r="K396" s="15" t="s">
        <v>372</v>
      </c>
      <c r="L396" s="15" t="n">
        <f aca="false">IF(AND(OR(Search!$C$4="",Search!$C$4="All",B396=Search!$C$4),OR(Search!$C$5="",Search!$C$5="All",C396=Search!$C$5),OR(Search!$C$6="",Search!$C$6="All",D396=Search!$C$6),OR(Search!$C$7="",ISNUMBER(SEARCH(Search!$C$7,D396&amp;" "&amp;E396&amp;" "&amp;F396&amp;" "&amp;G396&amp;" "&amp;H396&amp;" "&amp;J396))),OR(Search!$C$8="",ISNUMBER(SEARCH(Search!$C$8,G396)))),1,0)</f>
        <v>1</v>
      </c>
      <c r="M396" s="15" t="n">
        <f aca="false">M395+L396</f>
        <v>395</v>
      </c>
    </row>
    <row r="397" customFormat="false" ht="15" hidden="false" customHeight="false" outlineLevel="0" collapsed="false">
      <c r="A397" s="14" t="n">
        <v>396</v>
      </c>
      <c r="B397" s="15" t="s">
        <v>370</v>
      </c>
      <c r="C397" s="15" t="s">
        <v>229</v>
      </c>
      <c r="D397" s="16" t="s">
        <v>383</v>
      </c>
      <c r="E397" s="16"/>
      <c r="F397" s="15" t="s">
        <v>381</v>
      </c>
      <c r="G397" s="15" t="s">
        <v>173</v>
      </c>
      <c r="H397" s="15" t="s">
        <v>203</v>
      </c>
      <c r="I397" s="17" t="n">
        <v>8.87</v>
      </c>
      <c r="J397" s="16" t="s">
        <v>384</v>
      </c>
      <c r="K397" s="15" t="s">
        <v>372</v>
      </c>
      <c r="L397" s="15" t="n">
        <f aca="false">IF(AND(OR(Search!$C$4="",Search!$C$4="All",B397=Search!$C$4),OR(Search!$C$5="",Search!$C$5="All",C397=Search!$C$5),OR(Search!$C$6="",Search!$C$6="All",D397=Search!$C$6),OR(Search!$C$7="",ISNUMBER(SEARCH(Search!$C$7,D397&amp;" "&amp;E397&amp;" "&amp;F397&amp;" "&amp;G397&amp;" "&amp;H397&amp;" "&amp;J397))),OR(Search!$C$8="",ISNUMBER(SEARCH(Search!$C$8,G397)))),1,0)</f>
        <v>1</v>
      </c>
      <c r="M397" s="15" t="n">
        <f aca="false">M396+L397</f>
        <v>396</v>
      </c>
    </row>
    <row r="398" customFormat="false" ht="15" hidden="false" customHeight="false" outlineLevel="0" collapsed="false">
      <c r="A398" s="14" t="n">
        <v>397</v>
      </c>
      <c r="B398" s="15" t="s">
        <v>370</v>
      </c>
      <c r="C398" s="15" t="s">
        <v>229</v>
      </c>
      <c r="D398" s="16" t="s">
        <v>378</v>
      </c>
      <c r="E398" s="16"/>
      <c r="F398" s="15" t="s">
        <v>385</v>
      </c>
      <c r="G398" s="15" t="s">
        <v>173</v>
      </c>
      <c r="H398" s="15" t="s">
        <v>380</v>
      </c>
      <c r="I398" s="17" t="n">
        <v>979.2</v>
      </c>
      <c r="J398" s="16"/>
      <c r="K398" s="15" t="s">
        <v>372</v>
      </c>
      <c r="L398" s="15" t="n">
        <f aca="false">IF(AND(OR(Search!$C$4="",Search!$C$4="All",B398=Search!$C$4),OR(Search!$C$5="",Search!$C$5="All",C398=Search!$C$5),OR(Search!$C$6="",Search!$C$6="All",D398=Search!$C$6),OR(Search!$C$7="",ISNUMBER(SEARCH(Search!$C$7,D398&amp;" "&amp;E398&amp;" "&amp;F398&amp;" "&amp;G398&amp;" "&amp;H398&amp;" "&amp;J398))),OR(Search!$C$8="",ISNUMBER(SEARCH(Search!$C$8,G398)))),1,0)</f>
        <v>1</v>
      </c>
      <c r="M398" s="15" t="n">
        <f aca="false">M397+L398</f>
        <v>397</v>
      </c>
    </row>
    <row r="399" customFormat="false" ht="15" hidden="false" customHeight="false" outlineLevel="0" collapsed="false">
      <c r="A399" s="14" t="n">
        <v>398</v>
      </c>
      <c r="B399" s="15" t="s">
        <v>370</v>
      </c>
      <c r="C399" s="15" t="s">
        <v>229</v>
      </c>
      <c r="D399" s="16" t="s">
        <v>383</v>
      </c>
      <c r="E399" s="16"/>
      <c r="F399" s="15" t="s">
        <v>385</v>
      </c>
      <c r="G399" s="15" t="s">
        <v>173</v>
      </c>
      <c r="H399" s="15" t="s">
        <v>203</v>
      </c>
      <c r="I399" s="17" t="n">
        <v>10.1</v>
      </c>
      <c r="J399" s="16" t="s">
        <v>384</v>
      </c>
      <c r="K399" s="15" t="s">
        <v>372</v>
      </c>
      <c r="L399" s="15" t="n">
        <f aca="false">IF(AND(OR(Search!$C$4="",Search!$C$4="All",B399=Search!$C$4),OR(Search!$C$5="",Search!$C$5="All",C399=Search!$C$5),OR(Search!$C$6="",Search!$C$6="All",D399=Search!$C$6),OR(Search!$C$7="",ISNUMBER(SEARCH(Search!$C$7,D399&amp;" "&amp;E399&amp;" "&amp;F399&amp;" "&amp;G399&amp;" "&amp;H399&amp;" "&amp;J399))),OR(Search!$C$8="",ISNUMBER(SEARCH(Search!$C$8,G399)))),1,0)</f>
        <v>1</v>
      </c>
      <c r="M399" s="15" t="n">
        <f aca="false">M398+L399</f>
        <v>398</v>
      </c>
    </row>
    <row r="400" customFormat="false" ht="15" hidden="false" customHeight="false" outlineLevel="0" collapsed="false">
      <c r="A400" s="14" t="n">
        <v>399</v>
      </c>
      <c r="B400" s="15" t="s">
        <v>370</v>
      </c>
      <c r="C400" s="15" t="s">
        <v>229</v>
      </c>
      <c r="D400" s="16" t="s">
        <v>378</v>
      </c>
      <c r="E400" s="16"/>
      <c r="F400" s="15" t="s">
        <v>386</v>
      </c>
      <c r="G400" s="15" t="s">
        <v>173</v>
      </c>
      <c r="H400" s="15" t="s">
        <v>380</v>
      </c>
      <c r="I400" s="17" t="n">
        <v>974.1</v>
      </c>
      <c r="J400" s="16" t="s">
        <v>382</v>
      </c>
      <c r="K400" s="15" t="s">
        <v>372</v>
      </c>
      <c r="L400" s="15" t="n">
        <f aca="false">IF(AND(OR(Search!$C$4="",Search!$C$4="All",B400=Search!$C$4),OR(Search!$C$5="",Search!$C$5="All",C400=Search!$C$5),OR(Search!$C$6="",Search!$C$6="All",D400=Search!$C$6),OR(Search!$C$7="",ISNUMBER(SEARCH(Search!$C$7,D400&amp;" "&amp;E400&amp;" "&amp;F400&amp;" "&amp;G400&amp;" "&amp;H400&amp;" "&amp;J400))),OR(Search!$C$8="",ISNUMBER(SEARCH(Search!$C$8,G400)))),1,0)</f>
        <v>1</v>
      </c>
      <c r="M400" s="15" t="n">
        <f aca="false">M399+L400</f>
        <v>399</v>
      </c>
    </row>
    <row r="401" customFormat="false" ht="15" hidden="false" customHeight="false" outlineLevel="0" collapsed="false">
      <c r="A401" s="14" t="n">
        <v>400</v>
      </c>
      <c r="B401" s="15" t="s">
        <v>370</v>
      </c>
      <c r="C401" s="15" t="s">
        <v>229</v>
      </c>
      <c r="D401" s="16" t="s">
        <v>383</v>
      </c>
      <c r="E401" s="16"/>
      <c r="F401" s="15" t="s">
        <v>386</v>
      </c>
      <c r="G401" s="15" t="s">
        <v>173</v>
      </c>
      <c r="H401" s="15" t="s">
        <v>203</v>
      </c>
      <c r="I401" s="17" t="n">
        <v>10.46</v>
      </c>
      <c r="J401" s="16" t="s">
        <v>384</v>
      </c>
      <c r="K401" s="15" t="s">
        <v>372</v>
      </c>
      <c r="L401" s="15" t="n">
        <f aca="false">IF(AND(OR(Search!$C$4="",Search!$C$4="All",B401=Search!$C$4),OR(Search!$C$5="",Search!$C$5="All",C401=Search!$C$5),OR(Search!$C$6="",Search!$C$6="All",D401=Search!$C$6),OR(Search!$C$7="",ISNUMBER(SEARCH(Search!$C$7,D401&amp;" "&amp;E401&amp;" "&amp;F401&amp;" "&amp;G401&amp;" "&amp;H401&amp;" "&amp;J401))),OR(Search!$C$8="",ISNUMBER(SEARCH(Search!$C$8,G401)))),1,0)</f>
        <v>1</v>
      </c>
      <c r="M401" s="15" t="n">
        <f aca="false">M400+L401</f>
        <v>400</v>
      </c>
    </row>
    <row r="402" customFormat="false" ht="15" hidden="false" customHeight="false" outlineLevel="0" collapsed="false">
      <c r="A402" s="14" t="n">
        <v>401</v>
      </c>
      <c r="B402" s="15" t="s">
        <v>370</v>
      </c>
      <c r="C402" s="15" t="s">
        <v>229</v>
      </c>
      <c r="D402" s="16" t="s">
        <v>378</v>
      </c>
      <c r="E402" s="16"/>
      <c r="F402" s="15" t="s">
        <v>387</v>
      </c>
      <c r="G402" s="15" t="s">
        <v>173</v>
      </c>
      <c r="H402" s="15" t="s">
        <v>380</v>
      </c>
      <c r="I402" s="17" t="n">
        <v>1147.5</v>
      </c>
      <c r="J402" s="16"/>
      <c r="K402" s="15" t="s">
        <v>372</v>
      </c>
      <c r="L402" s="15" t="n">
        <f aca="false">IF(AND(OR(Search!$C$4="",Search!$C$4="All",B402=Search!$C$4),OR(Search!$C$5="",Search!$C$5="All",C402=Search!$C$5),OR(Search!$C$6="",Search!$C$6="All",D402=Search!$C$6),OR(Search!$C$7="",ISNUMBER(SEARCH(Search!$C$7,D402&amp;" "&amp;E402&amp;" "&amp;F402&amp;" "&amp;G402&amp;" "&amp;H402&amp;" "&amp;J402))),OR(Search!$C$8="",ISNUMBER(SEARCH(Search!$C$8,G402)))),1,0)</f>
        <v>1</v>
      </c>
      <c r="M402" s="15" t="n">
        <f aca="false">M401+L402</f>
        <v>401</v>
      </c>
    </row>
    <row r="403" customFormat="false" ht="15" hidden="false" customHeight="false" outlineLevel="0" collapsed="false">
      <c r="A403" s="14" t="n">
        <v>402</v>
      </c>
      <c r="B403" s="15" t="s">
        <v>370</v>
      </c>
      <c r="C403" s="15" t="s">
        <v>229</v>
      </c>
      <c r="D403" s="16" t="s">
        <v>383</v>
      </c>
      <c r="E403" s="16"/>
      <c r="F403" s="15" t="s">
        <v>387</v>
      </c>
      <c r="G403" s="15" t="s">
        <v>173</v>
      </c>
      <c r="H403" s="15" t="s">
        <v>203</v>
      </c>
      <c r="I403" s="17" t="n">
        <v>11.32</v>
      </c>
      <c r="J403" s="16" t="s">
        <v>384</v>
      </c>
      <c r="K403" s="15" t="s">
        <v>372</v>
      </c>
      <c r="L403" s="15" t="n">
        <f aca="false">IF(AND(OR(Search!$C$4="",Search!$C$4="All",B403=Search!$C$4),OR(Search!$C$5="",Search!$C$5="All",C403=Search!$C$5),OR(Search!$C$6="",Search!$C$6="All",D403=Search!$C$6),OR(Search!$C$7="",ISNUMBER(SEARCH(Search!$C$7,D403&amp;" "&amp;E403&amp;" "&amp;F403&amp;" "&amp;G403&amp;" "&amp;H403&amp;" "&amp;J403))),OR(Search!$C$8="",ISNUMBER(SEARCH(Search!$C$8,G403)))),1,0)</f>
        <v>1</v>
      </c>
      <c r="M403" s="15" t="n">
        <f aca="false">M402+L403</f>
        <v>402</v>
      </c>
    </row>
    <row r="404" customFormat="false" ht="15" hidden="false" customHeight="false" outlineLevel="0" collapsed="false">
      <c r="A404" s="14" t="n">
        <v>403</v>
      </c>
      <c r="B404" s="15" t="s">
        <v>370</v>
      </c>
      <c r="C404" s="15" t="s">
        <v>229</v>
      </c>
      <c r="D404" s="16" t="s">
        <v>378</v>
      </c>
      <c r="E404" s="16"/>
      <c r="F404" s="15" t="s">
        <v>388</v>
      </c>
      <c r="G404" s="15" t="s">
        <v>173</v>
      </c>
      <c r="H404" s="15" t="s">
        <v>380</v>
      </c>
      <c r="I404" s="17" t="n">
        <v>1167.9</v>
      </c>
      <c r="J404" s="16" t="s">
        <v>382</v>
      </c>
      <c r="K404" s="15" t="s">
        <v>372</v>
      </c>
      <c r="L404" s="15" t="n">
        <f aca="false">IF(AND(OR(Search!$C$4="",Search!$C$4="All",B404=Search!$C$4),OR(Search!$C$5="",Search!$C$5="All",C404=Search!$C$5),OR(Search!$C$6="",Search!$C$6="All",D404=Search!$C$6),OR(Search!$C$7="",ISNUMBER(SEARCH(Search!$C$7,D404&amp;" "&amp;E404&amp;" "&amp;F404&amp;" "&amp;G404&amp;" "&amp;H404&amp;" "&amp;J404))),OR(Search!$C$8="",ISNUMBER(SEARCH(Search!$C$8,G404)))),1,0)</f>
        <v>1</v>
      </c>
      <c r="M404" s="15" t="n">
        <f aca="false">M403+L404</f>
        <v>403</v>
      </c>
    </row>
    <row r="405" customFormat="false" ht="15" hidden="false" customHeight="false" outlineLevel="0" collapsed="false">
      <c r="A405" s="14" t="n">
        <v>404</v>
      </c>
      <c r="B405" s="15" t="s">
        <v>370</v>
      </c>
      <c r="C405" s="15" t="s">
        <v>229</v>
      </c>
      <c r="D405" s="16" t="s">
        <v>383</v>
      </c>
      <c r="E405" s="16"/>
      <c r="F405" s="15" t="s">
        <v>388</v>
      </c>
      <c r="G405" s="15" t="s">
        <v>173</v>
      </c>
      <c r="H405" s="15" t="s">
        <v>203</v>
      </c>
      <c r="I405" s="17" t="n">
        <v>12.55</v>
      </c>
      <c r="J405" s="16" t="s">
        <v>384</v>
      </c>
      <c r="K405" s="15" t="s">
        <v>372</v>
      </c>
      <c r="L405" s="15" t="n">
        <f aca="false">IF(AND(OR(Search!$C$4="",Search!$C$4="All",B405=Search!$C$4),OR(Search!$C$5="",Search!$C$5="All",C405=Search!$C$5),OR(Search!$C$6="",Search!$C$6="All",D405=Search!$C$6),OR(Search!$C$7="",ISNUMBER(SEARCH(Search!$C$7,D405&amp;" "&amp;E405&amp;" "&amp;F405&amp;" "&amp;G405&amp;" "&amp;H405&amp;" "&amp;J405))),OR(Search!$C$8="",ISNUMBER(SEARCH(Search!$C$8,G405)))),1,0)</f>
        <v>1</v>
      </c>
      <c r="M405" s="15" t="n">
        <f aca="false">M404+L405</f>
        <v>404</v>
      </c>
    </row>
    <row r="406" customFormat="false" ht="15" hidden="false" customHeight="false" outlineLevel="0" collapsed="false">
      <c r="A406" s="14" t="n">
        <v>405</v>
      </c>
      <c r="B406" s="15" t="s">
        <v>370</v>
      </c>
      <c r="C406" s="15" t="s">
        <v>229</v>
      </c>
      <c r="D406" s="16" t="s">
        <v>389</v>
      </c>
      <c r="E406" s="16"/>
      <c r="F406" s="15" t="s">
        <v>390</v>
      </c>
      <c r="G406" s="15" t="s">
        <v>173</v>
      </c>
      <c r="H406" s="15" t="s">
        <v>161</v>
      </c>
      <c r="I406" s="17" t="n">
        <v>1626.9</v>
      </c>
      <c r="J406" s="16"/>
      <c r="K406" s="15" t="s">
        <v>372</v>
      </c>
      <c r="L406" s="15" t="n">
        <f aca="false">IF(AND(OR(Search!$C$4="",Search!$C$4="All",B406=Search!$C$4),OR(Search!$C$5="",Search!$C$5="All",C406=Search!$C$5),OR(Search!$C$6="",Search!$C$6="All",D406=Search!$C$6),OR(Search!$C$7="",ISNUMBER(SEARCH(Search!$C$7,D406&amp;" "&amp;E406&amp;" "&amp;F406&amp;" "&amp;G406&amp;" "&amp;H406&amp;" "&amp;J406))),OR(Search!$C$8="",ISNUMBER(SEARCH(Search!$C$8,G406)))),1,0)</f>
        <v>1</v>
      </c>
      <c r="M406" s="15" t="n">
        <f aca="false">M405+L406</f>
        <v>405</v>
      </c>
    </row>
    <row r="407" customFormat="false" ht="15" hidden="false" customHeight="false" outlineLevel="0" collapsed="false">
      <c r="A407" s="14" t="n">
        <v>406</v>
      </c>
      <c r="B407" s="15" t="s">
        <v>370</v>
      </c>
      <c r="C407" s="15" t="s">
        <v>229</v>
      </c>
      <c r="D407" s="16" t="s">
        <v>389</v>
      </c>
      <c r="E407" s="16"/>
      <c r="F407" s="15" t="s">
        <v>390</v>
      </c>
      <c r="G407" s="15" t="s">
        <v>173</v>
      </c>
      <c r="H407" s="15" t="s">
        <v>197</v>
      </c>
      <c r="I407" s="17" t="n">
        <v>29.58</v>
      </c>
      <c r="J407" s="16"/>
      <c r="K407" s="15" t="s">
        <v>372</v>
      </c>
      <c r="L407" s="15" t="n">
        <f aca="false">IF(AND(OR(Search!$C$4="",Search!$C$4="All",B407=Search!$C$4),OR(Search!$C$5="",Search!$C$5="All",C407=Search!$C$5),OR(Search!$C$6="",Search!$C$6="All",D407=Search!$C$6),OR(Search!$C$7="",ISNUMBER(SEARCH(Search!$C$7,D407&amp;" "&amp;E407&amp;" "&amp;F407&amp;" "&amp;G407&amp;" "&amp;H407&amp;" "&amp;J407))),OR(Search!$C$8="",ISNUMBER(SEARCH(Search!$C$8,G407)))),1,0)</f>
        <v>1</v>
      </c>
      <c r="M407" s="15" t="n">
        <f aca="false">M406+L407</f>
        <v>406</v>
      </c>
    </row>
    <row r="408" customFormat="false" ht="15" hidden="false" customHeight="false" outlineLevel="0" collapsed="false">
      <c r="A408" s="14" t="n">
        <v>407</v>
      </c>
      <c r="B408" s="15" t="s">
        <v>370</v>
      </c>
      <c r="C408" s="15" t="s">
        <v>229</v>
      </c>
      <c r="D408" s="16" t="s">
        <v>389</v>
      </c>
      <c r="E408" s="16"/>
      <c r="F408" s="15" t="s">
        <v>371</v>
      </c>
      <c r="G408" s="15" t="s">
        <v>173</v>
      </c>
      <c r="H408" s="15" t="s">
        <v>161</v>
      </c>
      <c r="I408" s="17" t="n">
        <v>1836</v>
      </c>
      <c r="J408" s="16"/>
      <c r="K408" s="15" t="s">
        <v>372</v>
      </c>
      <c r="L408" s="15" t="n">
        <f aca="false">IF(AND(OR(Search!$C$4="",Search!$C$4="All",B408=Search!$C$4),OR(Search!$C$5="",Search!$C$5="All",C408=Search!$C$5),OR(Search!$C$6="",Search!$C$6="All",D408=Search!$C$6),OR(Search!$C$7="",ISNUMBER(SEARCH(Search!$C$7,D408&amp;" "&amp;E408&amp;" "&amp;F408&amp;" "&amp;G408&amp;" "&amp;H408&amp;" "&amp;J408))),OR(Search!$C$8="",ISNUMBER(SEARCH(Search!$C$8,G408)))),1,0)</f>
        <v>1</v>
      </c>
      <c r="M408" s="15" t="n">
        <f aca="false">M407+L408</f>
        <v>407</v>
      </c>
    </row>
    <row r="409" customFormat="false" ht="15" hidden="false" customHeight="false" outlineLevel="0" collapsed="false">
      <c r="A409" s="14" t="n">
        <v>408</v>
      </c>
      <c r="B409" s="15" t="s">
        <v>370</v>
      </c>
      <c r="C409" s="15" t="s">
        <v>229</v>
      </c>
      <c r="D409" s="16" t="s">
        <v>389</v>
      </c>
      <c r="E409" s="16"/>
      <c r="F409" s="15" t="s">
        <v>371</v>
      </c>
      <c r="G409" s="15" t="s">
        <v>173</v>
      </c>
      <c r="H409" s="15" t="s">
        <v>197</v>
      </c>
      <c r="I409" s="17" t="n">
        <v>30.6</v>
      </c>
      <c r="J409" s="16"/>
      <c r="K409" s="15" t="s">
        <v>372</v>
      </c>
      <c r="L409" s="15" t="n">
        <f aca="false">IF(AND(OR(Search!$C$4="",Search!$C$4="All",B409=Search!$C$4),OR(Search!$C$5="",Search!$C$5="All",C409=Search!$C$5),OR(Search!$C$6="",Search!$C$6="All",D409=Search!$C$6),OR(Search!$C$7="",ISNUMBER(SEARCH(Search!$C$7,D409&amp;" "&amp;E409&amp;" "&amp;F409&amp;" "&amp;G409&amp;" "&amp;H409&amp;" "&amp;J409))),OR(Search!$C$8="",ISNUMBER(SEARCH(Search!$C$8,G409)))),1,0)</f>
        <v>1</v>
      </c>
      <c r="M409" s="15" t="n">
        <f aca="false">M408+L409</f>
        <v>408</v>
      </c>
    </row>
    <row r="410" customFormat="false" ht="15" hidden="false" customHeight="false" outlineLevel="0" collapsed="false">
      <c r="A410" s="14" t="n">
        <v>409</v>
      </c>
      <c r="B410" s="15" t="s">
        <v>370</v>
      </c>
      <c r="C410" s="15" t="s">
        <v>229</v>
      </c>
      <c r="D410" s="16" t="s">
        <v>389</v>
      </c>
      <c r="E410" s="16"/>
      <c r="F410" s="15" t="s">
        <v>374</v>
      </c>
      <c r="G410" s="15" t="s">
        <v>173</v>
      </c>
      <c r="H410" s="15" t="s">
        <v>161</v>
      </c>
      <c r="I410" s="17" t="n">
        <v>1999.2</v>
      </c>
      <c r="J410" s="16"/>
      <c r="K410" s="15" t="s">
        <v>372</v>
      </c>
      <c r="L410" s="15" t="n">
        <f aca="false">IF(AND(OR(Search!$C$4="",Search!$C$4="All",B410=Search!$C$4),OR(Search!$C$5="",Search!$C$5="All",C410=Search!$C$5),OR(Search!$C$6="",Search!$C$6="All",D410=Search!$C$6),OR(Search!$C$7="",ISNUMBER(SEARCH(Search!$C$7,D410&amp;" "&amp;E410&amp;" "&amp;F410&amp;" "&amp;G410&amp;" "&amp;H410&amp;" "&amp;J410))),OR(Search!$C$8="",ISNUMBER(SEARCH(Search!$C$8,G410)))),1,0)</f>
        <v>1</v>
      </c>
      <c r="M410" s="15" t="n">
        <f aca="false">M409+L410</f>
        <v>409</v>
      </c>
    </row>
    <row r="411" customFormat="false" ht="15" hidden="false" customHeight="false" outlineLevel="0" collapsed="false">
      <c r="A411" s="14" t="n">
        <v>410</v>
      </c>
      <c r="B411" s="15" t="s">
        <v>370</v>
      </c>
      <c r="C411" s="15" t="s">
        <v>229</v>
      </c>
      <c r="D411" s="16" t="s">
        <v>389</v>
      </c>
      <c r="E411" s="16"/>
      <c r="F411" s="15" t="s">
        <v>374</v>
      </c>
      <c r="G411" s="15" t="s">
        <v>173</v>
      </c>
      <c r="H411" s="15" t="s">
        <v>197</v>
      </c>
      <c r="I411" s="17" t="n">
        <v>28.56</v>
      </c>
      <c r="J411" s="16"/>
      <c r="K411" s="15" t="s">
        <v>372</v>
      </c>
      <c r="L411" s="15" t="n">
        <f aca="false">IF(AND(OR(Search!$C$4="",Search!$C$4="All",B411=Search!$C$4),OR(Search!$C$5="",Search!$C$5="All",C411=Search!$C$5),OR(Search!$C$6="",Search!$C$6="All",D411=Search!$C$6),OR(Search!$C$7="",ISNUMBER(SEARCH(Search!$C$7,D411&amp;" "&amp;E411&amp;" "&amp;F411&amp;" "&amp;G411&amp;" "&amp;H411&amp;" "&amp;J411))),OR(Search!$C$8="",ISNUMBER(SEARCH(Search!$C$8,G411)))),1,0)</f>
        <v>1</v>
      </c>
      <c r="M411" s="15" t="n">
        <f aca="false">M410+L411</f>
        <v>410</v>
      </c>
    </row>
    <row r="412" customFormat="false" ht="15" hidden="false" customHeight="false" outlineLevel="0" collapsed="false">
      <c r="A412" s="14" t="n">
        <v>411</v>
      </c>
      <c r="B412" s="15" t="s">
        <v>370</v>
      </c>
      <c r="C412" s="15" t="s">
        <v>229</v>
      </c>
      <c r="D412" s="16" t="s">
        <v>389</v>
      </c>
      <c r="E412" s="16"/>
      <c r="F412" s="15" t="s">
        <v>375</v>
      </c>
      <c r="G412" s="15" t="s">
        <v>173</v>
      </c>
      <c r="H412" s="15" t="s">
        <v>161</v>
      </c>
      <c r="I412" s="17" t="n">
        <v>2244</v>
      </c>
      <c r="J412" s="16"/>
      <c r="K412" s="15" t="s">
        <v>372</v>
      </c>
      <c r="L412" s="15" t="n">
        <f aca="false">IF(AND(OR(Search!$C$4="",Search!$C$4="All",B412=Search!$C$4),OR(Search!$C$5="",Search!$C$5="All",C412=Search!$C$5),OR(Search!$C$6="",Search!$C$6="All",D412=Search!$C$6),OR(Search!$C$7="",ISNUMBER(SEARCH(Search!$C$7,D412&amp;" "&amp;E412&amp;" "&amp;F412&amp;" "&amp;G412&amp;" "&amp;H412&amp;" "&amp;J412))),OR(Search!$C$8="",ISNUMBER(SEARCH(Search!$C$8,G412)))),1,0)</f>
        <v>1</v>
      </c>
      <c r="M412" s="15" t="n">
        <f aca="false">M411+L412</f>
        <v>411</v>
      </c>
    </row>
    <row r="413" customFormat="false" ht="15" hidden="false" customHeight="false" outlineLevel="0" collapsed="false">
      <c r="A413" s="14" t="n">
        <v>412</v>
      </c>
      <c r="B413" s="15" t="s">
        <v>370</v>
      </c>
      <c r="C413" s="15" t="s">
        <v>229</v>
      </c>
      <c r="D413" s="16" t="s">
        <v>389</v>
      </c>
      <c r="E413" s="16"/>
      <c r="F413" s="15" t="s">
        <v>375</v>
      </c>
      <c r="G413" s="15" t="s">
        <v>173</v>
      </c>
      <c r="H413" s="15" t="s">
        <v>197</v>
      </c>
      <c r="I413" s="17" t="n">
        <v>28.05</v>
      </c>
      <c r="J413" s="16"/>
      <c r="K413" s="15" t="s">
        <v>372</v>
      </c>
      <c r="L413" s="15" t="n">
        <f aca="false">IF(AND(OR(Search!$C$4="",Search!$C$4="All",B413=Search!$C$4),OR(Search!$C$5="",Search!$C$5="All",C413=Search!$C$5),OR(Search!$C$6="",Search!$C$6="All",D413=Search!$C$6),OR(Search!$C$7="",ISNUMBER(SEARCH(Search!$C$7,D413&amp;" "&amp;E413&amp;" "&amp;F413&amp;" "&amp;G413&amp;" "&amp;H413&amp;" "&amp;J413))),OR(Search!$C$8="",ISNUMBER(SEARCH(Search!$C$8,G413)))),1,0)</f>
        <v>1</v>
      </c>
      <c r="M413" s="15" t="n">
        <f aca="false">M412+L413</f>
        <v>412</v>
      </c>
    </row>
    <row r="414" customFormat="false" ht="15" hidden="false" customHeight="false" outlineLevel="0" collapsed="false">
      <c r="A414" s="14" t="n">
        <v>413</v>
      </c>
      <c r="B414" s="15" t="s">
        <v>370</v>
      </c>
      <c r="C414" s="15" t="s">
        <v>229</v>
      </c>
      <c r="D414" s="16" t="s">
        <v>389</v>
      </c>
      <c r="E414" s="16"/>
      <c r="F414" s="15" t="s">
        <v>376</v>
      </c>
      <c r="G414" s="15" t="s">
        <v>173</v>
      </c>
      <c r="H414" s="15" t="s">
        <v>161</v>
      </c>
      <c r="I414" s="17" t="n">
        <v>2601</v>
      </c>
      <c r="J414" s="16"/>
      <c r="K414" s="15" t="s">
        <v>372</v>
      </c>
      <c r="L414" s="15" t="n">
        <f aca="false">IF(AND(OR(Search!$C$4="",Search!$C$4="All",B414=Search!$C$4),OR(Search!$C$5="",Search!$C$5="All",C414=Search!$C$5),OR(Search!$C$6="",Search!$C$6="All",D414=Search!$C$6),OR(Search!$C$7="",ISNUMBER(SEARCH(Search!$C$7,D414&amp;" "&amp;E414&amp;" "&amp;F414&amp;" "&amp;G414&amp;" "&amp;H414&amp;" "&amp;J414))),OR(Search!$C$8="",ISNUMBER(SEARCH(Search!$C$8,G414)))),1,0)</f>
        <v>1</v>
      </c>
      <c r="M414" s="15" t="n">
        <f aca="false">M413+L414</f>
        <v>413</v>
      </c>
    </row>
    <row r="415" customFormat="false" ht="15" hidden="false" customHeight="false" outlineLevel="0" collapsed="false">
      <c r="A415" s="14" t="n">
        <v>414</v>
      </c>
      <c r="B415" s="15" t="s">
        <v>370</v>
      </c>
      <c r="C415" s="15" t="s">
        <v>229</v>
      </c>
      <c r="D415" s="16" t="s">
        <v>389</v>
      </c>
      <c r="E415" s="16"/>
      <c r="F415" s="15" t="s">
        <v>376</v>
      </c>
      <c r="G415" s="15" t="s">
        <v>173</v>
      </c>
      <c r="H415" s="15" t="s">
        <v>197</v>
      </c>
      <c r="I415" s="17" t="n">
        <v>26.01</v>
      </c>
      <c r="J415" s="16"/>
      <c r="K415" s="15" t="s">
        <v>372</v>
      </c>
      <c r="L415" s="15" t="n">
        <f aca="false">IF(AND(OR(Search!$C$4="",Search!$C$4="All",B415=Search!$C$4),OR(Search!$C$5="",Search!$C$5="All",C415=Search!$C$5),OR(Search!$C$6="",Search!$C$6="All",D415=Search!$C$6),OR(Search!$C$7="",ISNUMBER(SEARCH(Search!$C$7,D415&amp;" "&amp;E415&amp;" "&amp;F415&amp;" "&amp;G415&amp;" "&amp;H415&amp;" "&amp;J415))),OR(Search!$C$8="",ISNUMBER(SEARCH(Search!$C$8,G415)))),1,0)</f>
        <v>1</v>
      </c>
      <c r="M415" s="15" t="n">
        <f aca="false">M414+L415</f>
        <v>414</v>
      </c>
    </row>
    <row r="416" customFormat="false" ht="15" hidden="false" customHeight="false" outlineLevel="0" collapsed="false">
      <c r="A416" s="14" t="n">
        <v>415</v>
      </c>
      <c r="B416" s="15" t="s">
        <v>370</v>
      </c>
      <c r="C416" s="15" t="s">
        <v>229</v>
      </c>
      <c r="D416" s="16" t="s">
        <v>389</v>
      </c>
      <c r="E416" s="16"/>
      <c r="F416" s="15" t="s">
        <v>377</v>
      </c>
      <c r="G416" s="15" t="s">
        <v>173</v>
      </c>
      <c r="H416" s="15" t="s">
        <v>161</v>
      </c>
      <c r="I416" s="17" t="n">
        <v>3243.6</v>
      </c>
      <c r="J416" s="16"/>
      <c r="K416" s="15" t="s">
        <v>372</v>
      </c>
      <c r="L416" s="15" t="n">
        <f aca="false">IF(AND(OR(Search!$C$4="",Search!$C$4="All",B416=Search!$C$4),OR(Search!$C$5="",Search!$C$5="All",C416=Search!$C$5),OR(Search!$C$6="",Search!$C$6="All",D416=Search!$C$6),OR(Search!$C$7="",ISNUMBER(SEARCH(Search!$C$7,D416&amp;" "&amp;E416&amp;" "&amp;F416&amp;" "&amp;G416&amp;" "&amp;H416&amp;" "&amp;J416))),OR(Search!$C$8="",ISNUMBER(SEARCH(Search!$C$8,G416)))),1,0)</f>
        <v>1</v>
      </c>
      <c r="M416" s="15" t="n">
        <f aca="false">M415+L416</f>
        <v>415</v>
      </c>
    </row>
    <row r="417" customFormat="false" ht="15" hidden="false" customHeight="false" outlineLevel="0" collapsed="false">
      <c r="A417" s="14" t="n">
        <v>416</v>
      </c>
      <c r="B417" s="15" t="s">
        <v>370</v>
      </c>
      <c r="C417" s="15" t="s">
        <v>229</v>
      </c>
      <c r="D417" s="16" t="s">
        <v>389</v>
      </c>
      <c r="E417" s="16"/>
      <c r="F417" s="15" t="s">
        <v>377</v>
      </c>
      <c r="G417" s="15" t="s">
        <v>173</v>
      </c>
      <c r="H417" s="15" t="s">
        <v>197</v>
      </c>
      <c r="I417" s="17" t="n">
        <v>27.03</v>
      </c>
      <c r="J417" s="16"/>
      <c r="K417" s="15" t="s">
        <v>372</v>
      </c>
      <c r="L417" s="15" t="n">
        <f aca="false">IF(AND(OR(Search!$C$4="",Search!$C$4="All",B417=Search!$C$4),OR(Search!$C$5="",Search!$C$5="All",C417=Search!$C$5),OR(Search!$C$6="",Search!$C$6="All",D417=Search!$C$6),OR(Search!$C$7="",ISNUMBER(SEARCH(Search!$C$7,D417&amp;" "&amp;E417&amp;" "&amp;F417&amp;" "&amp;G417&amp;" "&amp;H417&amp;" "&amp;J417))),OR(Search!$C$8="",ISNUMBER(SEARCH(Search!$C$8,G417)))),1,0)</f>
        <v>1</v>
      </c>
      <c r="M417" s="15" t="n">
        <f aca="false">M416+L417</f>
        <v>416</v>
      </c>
    </row>
    <row r="418" customFormat="false" ht="15" hidden="false" customHeight="false" outlineLevel="0" collapsed="false">
      <c r="A418" s="14" t="n">
        <v>417</v>
      </c>
      <c r="B418" s="15" t="s">
        <v>370</v>
      </c>
      <c r="C418" s="15" t="s">
        <v>391</v>
      </c>
      <c r="D418" s="16" t="s">
        <v>392</v>
      </c>
      <c r="E418" s="16" t="s">
        <v>393</v>
      </c>
      <c r="F418" s="15"/>
      <c r="G418" s="15" t="s">
        <v>160</v>
      </c>
      <c r="H418" s="15" t="s">
        <v>161</v>
      </c>
      <c r="I418" s="17" t="n">
        <v>1683</v>
      </c>
      <c r="J418" s="16"/>
      <c r="K418" s="15" t="s">
        <v>372</v>
      </c>
      <c r="L418" s="15" t="n">
        <f aca="false">IF(AND(OR(Search!$C$4="",Search!$C$4="All",B418=Search!$C$4),OR(Search!$C$5="",Search!$C$5="All",C418=Search!$C$5),OR(Search!$C$6="",Search!$C$6="All",D418=Search!$C$6),OR(Search!$C$7="",ISNUMBER(SEARCH(Search!$C$7,D418&amp;" "&amp;E418&amp;" "&amp;F418&amp;" "&amp;G418&amp;" "&amp;H418&amp;" "&amp;J418))),OR(Search!$C$8="",ISNUMBER(SEARCH(Search!$C$8,G418)))),1,0)</f>
        <v>1</v>
      </c>
      <c r="M418" s="15" t="n">
        <f aca="false">M417+L418</f>
        <v>417</v>
      </c>
    </row>
    <row r="419" customFormat="false" ht="15" hidden="false" customHeight="false" outlineLevel="0" collapsed="false">
      <c r="A419" s="14" t="n">
        <v>418</v>
      </c>
      <c r="B419" s="15" t="s">
        <v>370</v>
      </c>
      <c r="C419" s="15" t="s">
        <v>391</v>
      </c>
      <c r="D419" s="16" t="s">
        <v>392</v>
      </c>
      <c r="E419" s="16" t="s">
        <v>394</v>
      </c>
      <c r="F419" s="15"/>
      <c r="G419" s="15" t="s">
        <v>160</v>
      </c>
      <c r="H419" s="15" t="s">
        <v>161</v>
      </c>
      <c r="I419" s="17" t="n">
        <v>1902.3</v>
      </c>
      <c r="J419" s="16"/>
      <c r="K419" s="15" t="s">
        <v>372</v>
      </c>
      <c r="L419" s="15" t="n">
        <f aca="false">IF(AND(OR(Search!$C$4="",Search!$C$4="All",B419=Search!$C$4),OR(Search!$C$5="",Search!$C$5="All",C419=Search!$C$5),OR(Search!$C$6="",Search!$C$6="All",D419=Search!$C$6),OR(Search!$C$7="",ISNUMBER(SEARCH(Search!$C$7,D419&amp;" "&amp;E419&amp;" "&amp;F419&amp;" "&amp;G419&amp;" "&amp;H419&amp;" "&amp;J419))),OR(Search!$C$8="",ISNUMBER(SEARCH(Search!$C$8,G419)))),1,0)</f>
        <v>1</v>
      </c>
      <c r="M419" s="15" t="n">
        <f aca="false">M418+L419</f>
        <v>418</v>
      </c>
    </row>
    <row r="420" customFormat="false" ht="15" hidden="false" customHeight="false" outlineLevel="0" collapsed="false">
      <c r="A420" s="14" t="n">
        <v>419</v>
      </c>
      <c r="B420" s="15" t="s">
        <v>370</v>
      </c>
      <c r="C420" s="15" t="s">
        <v>200</v>
      </c>
      <c r="D420" s="16" t="s">
        <v>395</v>
      </c>
      <c r="E420" s="16"/>
      <c r="F420" s="15" t="s">
        <v>202</v>
      </c>
      <c r="G420" s="15" t="s">
        <v>396</v>
      </c>
      <c r="H420" s="15" t="s">
        <v>203</v>
      </c>
      <c r="I420" s="17" t="n">
        <v>11.02</v>
      </c>
      <c r="J420" s="16"/>
      <c r="K420" s="15" t="s">
        <v>372</v>
      </c>
      <c r="L420" s="15" t="n">
        <f aca="false">IF(AND(OR(Search!$C$4="",Search!$C$4="All",B420=Search!$C$4),OR(Search!$C$5="",Search!$C$5="All",C420=Search!$C$5),OR(Search!$C$6="",Search!$C$6="All",D420=Search!$C$6),OR(Search!$C$7="",ISNUMBER(SEARCH(Search!$C$7,D420&amp;" "&amp;E420&amp;" "&amp;F420&amp;" "&amp;G420&amp;" "&amp;H420&amp;" "&amp;J420))),OR(Search!$C$8="",ISNUMBER(SEARCH(Search!$C$8,G420)))),1,0)</f>
        <v>1</v>
      </c>
      <c r="M420" s="15" t="n">
        <f aca="false">M419+L420</f>
        <v>419</v>
      </c>
    </row>
    <row r="421" customFormat="false" ht="15" hidden="false" customHeight="false" outlineLevel="0" collapsed="false">
      <c r="A421" s="14" t="n">
        <v>420</v>
      </c>
      <c r="B421" s="15" t="s">
        <v>370</v>
      </c>
      <c r="C421" s="15" t="s">
        <v>200</v>
      </c>
      <c r="D421" s="16" t="s">
        <v>395</v>
      </c>
      <c r="E421" s="16"/>
      <c r="F421" s="15" t="s">
        <v>202</v>
      </c>
      <c r="G421" s="15" t="s">
        <v>397</v>
      </c>
      <c r="H421" s="15" t="s">
        <v>203</v>
      </c>
      <c r="I421" s="17" t="n">
        <v>11.48</v>
      </c>
      <c r="J421" s="16"/>
      <c r="K421" s="15" t="s">
        <v>372</v>
      </c>
      <c r="L421" s="15" t="n">
        <f aca="false">IF(AND(OR(Search!$C$4="",Search!$C$4="All",B421=Search!$C$4),OR(Search!$C$5="",Search!$C$5="All",C421=Search!$C$5),OR(Search!$C$6="",Search!$C$6="All",D421=Search!$C$6),OR(Search!$C$7="",ISNUMBER(SEARCH(Search!$C$7,D421&amp;" "&amp;E421&amp;" "&amp;F421&amp;" "&amp;G421&amp;" "&amp;H421&amp;" "&amp;J421))),OR(Search!$C$8="",ISNUMBER(SEARCH(Search!$C$8,G421)))),1,0)</f>
        <v>1</v>
      </c>
      <c r="M421" s="15" t="n">
        <f aca="false">M420+L421</f>
        <v>420</v>
      </c>
    </row>
    <row r="422" customFormat="false" ht="15" hidden="false" customHeight="false" outlineLevel="0" collapsed="false">
      <c r="A422" s="14" t="n">
        <v>421</v>
      </c>
      <c r="B422" s="15" t="s">
        <v>370</v>
      </c>
      <c r="C422" s="15" t="s">
        <v>200</v>
      </c>
      <c r="D422" s="16" t="s">
        <v>395</v>
      </c>
      <c r="E422" s="16"/>
      <c r="F422" s="15" t="s">
        <v>209</v>
      </c>
      <c r="G422" s="15" t="s">
        <v>396</v>
      </c>
      <c r="H422" s="15" t="s">
        <v>203</v>
      </c>
      <c r="I422" s="17" t="n">
        <v>11.42</v>
      </c>
      <c r="J422" s="16"/>
      <c r="K422" s="15" t="s">
        <v>372</v>
      </c>
      <c r="L422" s="15" t="n">
        <f aca="false">IF(AND(OR(Search!$C$4="",Search!$C$4="All",B422=Search!$C$4),OR(Search!$C$5="",Search!$C$5="All",C422=Search!$C$5),OR(Search!$C$6="",Search!$C$6="All",D422=Search!$C$6),OR(Search!$C$7="",ISNUMBER(SEARCH(Search!$C$7,D422&amp;" "&amp;E422&amp;" "&amp;F422&amp;" "&amp;G422&amp;" "&amp;H422&amp;" "&amp;J422))),OR(Search!$C$8="",ISNUMBER(SEARCH(Search!$C$8,G422)))),1,0)</f>
        <v>1</v>
      </c>
      <c r="M422" s="15" t="n">
        <f aca="false">M421+L422</f>
        <v>421</v>
      </c>
    </row>
    <row r="423" customFormat="false" ht="15" hidden="false" customHeight="false" outlineLevel="0" collapsed="false">
      <c r="A423" s="14" t="n">
        <v>422</v>
      </c>
      <c r="B423" s="15" t="s">
        <v>370</v>
      </c>
      <c r="C423" s="15" t="s">
        <v>200</v>
      </c>
      <c r="D423" s="16" t="s">
        <v>395</v>
      </c>
      <c r="E423" s="16"/>
      <c r="F423" s="15" t="s">
        <v>209</v>
      </c>
      <c r="G423" s="15" t="s">
        <v>397</v>
      </c>
      <c r="H423" s="15" t="s">
        <v>203</v>
      </c>
      <c r="I423" s="17" t="n">
        <v>11.73</v>
      </c>
      <c r="J423" s="16"/>
      <c r="K423" s="15" t="s">
        <v>372</v>
      </c>
      <c r="L423" s="15" t="n">
        <f aca="false">IF(AND(OR(Search!$C$4="",Search!$C$4="All",B423=Search!$C$4),OR(Search!$C$5="",Search!$C$5="All",C423=Search!$C$5),OR(Search!$C$6="",Search!$C$6="All",D423=Search!$C$6),OR(Search!$C$7="",ISNUMBER(SEARCH(Search!$C$7,D423&amp;" "&amp;E423&amp;" "&amp;F423&amp;" "&amp;G423&amp;" "&amp;H423&amp;" "&amp;J423))),OR(Search!$C$8="",ISNUMBER(SEARCH(Search!$C$8,G423)))),1,0)</f>
        <v>1</v>
      </c>
      <c r="M423" s="15" t="n">
        <f aca="false">M422+L423</f>
        <v>422</v>
      </c>
    </row>
    <row r="424" customFormat="false" ht="15" hidden="false" customHeight="false" outlineLevel="0" collapsed="false">
      <c r="A424" s="14" t="n">
        <v>423</v>
      </c>
      <c r="B424" s="15" t="s">
        <v>370</v>
      </c>
      <c r="C424" s="15" t="s">
        <v>200</v>
      </c>
      <c r="D424" s="16" t="s">
        <v>395</v>
      </c>
      <c r="E424" s="16"/>
      <c r="F424" s="15" t="s">
        <v>209</v>
      </c>
      <c r="G424" s="15" t="s">
        <v>398</v>
      </c>
      <c r="H424" s="15" t="s">
        <v>203</v>
      </c>
      <c r="I424" s="17" t="n">
        <v>11.99</v>
      </c>
      <c r="J424" s="16"/>
      <c r="K424" s="15" t="s">
        <v>372</v>
      </c>
      <c r="L424" s="15" t="n">
        <f aca="false">IF(AND(OR(Search!$C$4="",Search!$C$4="All",B424=Search!$C$4),OR(Search!$C$5="",Search!$C$5="All",C424=Search!$C$5),OR(Search!$C$6="",Search!$C$6="All",D424=Search!$C$6),OR(Search!$C$7="",ISNUMBER(SEARCH(Search!$C$7,D424&amp;" "&amp;E424&amp;" "&amp;F424&amp;" "&amp;G424&amp;" "&amp;H424&amp;" "&amp;J424))),OR(Search!$C$8="",ISNUMBER(SEARCH(Search!$C$8,G424)))),1,0)</f>
        <v>1</v>
      </c>
      <c r="M424" s="15" t="n">
        <f aca="false">M423+L424</f>
        <v>423</v>
      </c>
    </row>
    <row r="425" customFormat="false" ht="15" hidden="false" customHeight="false" outlineLevel="0" collapsed="false">
      <c r="A425" s="14" t="n">
        <v>424</v>
      </c>
      <c r="B425" s="15" t="s">
        <v>370</v>
      </c>
      <c r="C425" s="15" t="s">
        <v>200</v>
      </c>
      <c r="D425" s="16" t="s">
        <v>395</v>
      </c>
      <c r="E425" s="16"/>
      <c r="F425" s="15" t="s">
        <v>210</v>
      </c>
      <c r="G425" s="15" t="s">
        <v>396</v>
      </c>
      <c r="H425" s="15" t="s">
        <v>203</v>
      </c>
      <c r="I425" s="17" t="n">
        <v>14.03</v>
      </c>
      <c r="J425" s="16"/>
      <c r="K425" s="15" t="s">
        <v>372</v>
      </c>
      <c r="L425" s="15" t="n">
        <f aca="false">IF(AND(OR(Search!$C$4="",Search!$C$4="All",B425=Search!$C$4),OR(Search!$C$5="",Search!$C$5="All",C425=Search!$C$5),OR(Search!$C$6="",Search!$C$6="All",D425=Search!$C$6),OR(Search!$C$7="",ISNUMBER(SEARCH(Search!$C$7,D425&amp;" "&amp;E425&amp;" "&amp;F425&amp;" "&amp;G425&amp;" "&amp;H425&amp;" "&amp;J425))),OR(Search!$C$8="",ISNUMBER(SEARCH(Search!$C$8,G425)))),1,0)</f>
        <v>1</v>
      </c>
      <c r="M425" s="15" t="n">
        <f aca="false">M424+L425</f>
        <v>424</v>
      </c>
    </row>
    <row r="426" customFormat="false" ht="15" hidden="false" customHeight="false" outlineLevel="0" collapsed="false">
      <c r="A426" s="14" t="n">
        <v>425</v>
      </c>
      <c r="B426" s="15" t="s">
        <v>370</v>
      </c>
      <c r="C426" s="15" t="s">
        <v>200</v>
      </c>
      <c r="D426" s="16" t="s">
        <v>395</v>
      </c>
      <c r="E426" s="16"/>
      <c r="F426" s="15" t="s">
        <v>210</v>
      </c>
      <c r="G426" s="15" t="s">
        <v>397</v>
      </c>
      <c r="H426" s="15" t="s">
        <v>203</v>
      </c>
      <c r="I426" s="17" t="n">
        <v>13.77</v>
      </c>
      <c r="J426" s="16"/>
      <c r="K426" s="15" t="s">
        <v>372</v>
      </c>
      <c r="L426" s="15" t="n">
        <f aca="false">IF(AND(OR(Search!$C$4="",Search!$C$4="All",B426=Search!$C$4),OR(Search!$C$5="",Search!$C$5="All",C426=Search!$C$5),OR(Search!$C$6="",Search!$C$6="All",D426=Search!$C$6),OR(Search!$C$7="",ISNUMBER(SEARCH(Search!$C$7,D426&amp;" "&amp;E426&amp;" "&amp;F426&amp;" "&amp;G426&amp;" "&amp;H426&amp;" "&amp;J426))),OR(Search!$C$8="",ISNUMBER(SEARCH(Search!$C$8,G426)))),1,0)</f>
        <v>1</v>
      </c>
      <c r="M426" s="15" t="n">
        <f aca="false">M425+L426</f>
        <v>425</v>
      </c>
    </row>
    <row r="427" customFormat="false" ht="15" hidden="false" customHeight="false" outlineLevel="0" collapsed="false">
      <c r="A427" s="14" t="n">
        <v>426</v>
      </c>
      <c r="B427" s="15" t="s">
        <v>370</v>
      </c>
      <c r="C427" s="15" t="s">
        <v>200</v>
      </c>
      <c r="D427" s="16" t="s">
        <v>395</v>
      </c>
      <c r="E427" s="16"/>
      <c r="F427" s="15" t="s">
        <v>210</v>
      </c>
      <c r="G427" s="15" t="s">
        <v>398</v>
      </c>
      <c r="H427" s="15" t="s">
        <v>203</v>
      </c>
      <c r="I427" s="17" t="n">
        <v>14.03</v>
      </c>
      <c r="J427" s="16"/>
      <c r="K427" s="15" t="s">
        <v>372</v>
      </c>
      <c r="L427" s="15" t="n">
        <f aca="false">IF(AND(OR(Search!$C$4="",Search!$C$4="All",B427=Search!$C$4),OR(Search!$C$5="",Search!$C$5="All",C427=Search!$C$5),OR(Search!$C$6="",Search!$C$6="All",D427=Search!$C$6),OR(Search!$C$7="",ISNUMBER(SEARCH(Search!$C$7,D427&amp;" "&amp;E427&amp;" "&amp;F427&amp;" "&amp;G427&amp;" "&amp;H427&amp;" "&amp;J427))),OR(Search!$C$8="",ISNUMBER(SEARCH(Search!$C$8,G427)))),1,0)</f>
        <v>1</v>
      </c>
      <c r="M427" s="15" t="n">
        <f aca="false">M426+L427</f>
        <v>426</v>
      </c>
    </row>
    <row r="428" customFormat="false" ht="15" hidden="false" customHeight="false" outlineLevel="0" collapsed="false">
      <c r="A428" s="14" t="n">
        <v>427</v>
      </c>
      <c r="B428" s="15" t="s">
        <v>370</v>
      </c>
      <c r="C428" s="15" t="s">
        <v>200</v>
      </c>
      <c r="D428" s="16" t="s">
        <v>395</v>
      </c>
      <c r="E428" s="16"/>
      <c r="F428" s="15" t="s">
        <v>399</v>
      </c>
      <c r="G428" s="15" t="s">
        <v>398</v>
      </c>
      <c r="H428" s="15" t="s">
        <v>203</v>
      </c>
      <c r="I428" s="17" t="n">
        <v>14.03</v>
      </c>
      <c r="J428" s="16"/>
      <c r="K428" s="15" t="s">
        <v>372</v>
      </c>
      <c r="L428" s="15" t="n">
        <f aca="false">IF(AND(OR(Search!$C$4="",Search!$C$4="All",B428=Search!$C$4),OR(Search!$C$5="",Search!$C$5="All",C428=Search!$C$5),OR(Search!$C$6="",Search!$C$6="All",D428=Search!$C$6),OR(Search!$C$7="",ISNUMBER(SEARCH(Search!$C$7,D428&amp;" "&amp;E428&amp;" "&amp;F428&amp;" "&amp;G428&amp;" "&amp;H428&amp;" "&amp;J428))),OR(Search!$C$8="",ISNUMBER(SEARCH(Search!$C$8,G428)))),1,0)</f>
        <v>1</v>
      </c>
      <c r="M428" s="15" t="n">
        <f aca="false">M427+L428</f>
        <v>427</v>
      </c>
    </row>
    <row r="429" customFormat="false" ht="15" hidden="false" customHeight="false" outlineLevel="0" collapsed="false">
      <c r="A429" s="14" t="n">
        <v>428</v>
      </c>
      <c r="B429" s="15" t="s">
        <v>370</v>
      </c>
      <c r="C429" s="15" t="s">
        <v>200</v>
      </c>
      <c r="D429" s="16" t="s">
        <v>395</v>
      </c>
      <c r="E429" s="16"/>
      <c r="F429" s="15" t="s">
        <v>212</v>
      </c>
      <c r="G429" s="15" t="s">
        <v>397</v>
      </c>
      <c r="H429" s="15" t="s">
        <v>203</v>
      </c>
      <c r="I429" s="17" t="n">
        <v>16.58</v>
      </c>
      <c r="J429" s="16"/>
      <c r="K429" s="15" t="s">
        <v>372</v>
      </c>
      <c r="L429" s="15" t="n">
        <f aca="false">IF(AND(OR(Search!$C$4="",Search!$C$4="All",B429=Search!$C$4),OR(Search!$C$5="",Search!$C$5="All",C429=Search!$C$5),OR(Search!$C$6="",Search!$C$6="All",D429=Search!$C$6),OR(Search!$C$7="",ISNUMBER(SEARCH(Search!$C$7,D429&amp;" "&amp;E429&amp;" "&amp;F429&amp;" "&amp;G429&amp;" "&amp;H429&amp;" "&amp;J429))),OR(Search!$C$8="",ISNUMBER(SEARCH(Search!$C$8,G429)))),1,0)</f>
        <v>1</v>
      </c>
      <c r="M429" s="15" t="n">
        <f aca="false">M428+L429</f>
        <v>428</v>
      </c>
    </row>
    <row r="430" customFormat="false" ht="15" hidden="false" customHeight="false" outlineLevel="0" collapsed="false">
      <c r="A430" s="14" t="n">
        <v>429</v>
      </c>
      <c r="B430" s="15" t="s">
        <v>370</v>
      </c>
      <c r="C430" s="15" t="s">
        <v>200</v>
      </c>
      <c r="D430" s="16" t="s">
        <v>395</v>
      </c>
      <c r="E430" s="16"/>
      <c r="F430" s="15" t="s">
        <v>212</v>
      </c>
      <c r="G430" s="15" t="s">
        <v>398</v>
      </c>
      <c r="H430" s="15" t="s">
        <v>203</v>
      </c>
      <c r="I430" s="17" t="n">
        <v>16.83</v>
      </c>
      <c r="J430" s="16"/>
      <c r="K430" s="15" t="s">
        <v>372</v>
      </c>
      <c r="L430" s="15" t="n">
        <f aca="false">IF(AND(OR(Search!$C$4="",Search!$C$4="All",B430=Search!$C$4),OR(Search!$C$5="",Search!$C$5="All",C430=Search!$C$5),OR(Search!$C$6="",Search!$C$6="All",D430=Search!$C$6),OR(Search!$C$7="",ISNUMBER(SEARCH(Search!$C$7,D430&amp;" "&amp;E430&amp;" "&amp;F430&amp;" "&amp;G430&amp;" "&amp;H430&amp;" "&amp;J430))),OR(Search!$C$8="",ISNUMBER(SEARCH(Search!$C$8,G430)))),1,0)</f>
        <v>1</v>
      </c>
      <c r="M430" s="15" t="n">
        <f aca="false">M429+L430</f>
        <v>429</v>
      </c>
    </row>
    <row r="431" customFormat="false" ht="15" hidden="false" customHeight="false" outlineLevel="0" collapsed="false">
      <c r="A431" s="14" t="n">
        <v>430</v>
      </c>
      <c r="B431" s="15" t="s">
        <v>370</v>
      </c>
      <c r="C431" s="15" t="s">
        <v>200</v>
      </c>
      <c r="D431" s="16" t="s">
        <v>395</v>
      </c>
      <c r="E431" s="16"/>
      <c r="F431" s="15" t="s">
        <v>214</v>
      </c>
      <c r="G431" s="15" t="s">
        <v>397</v>
      </c>
      <c r="H431" s="15" t="s">
        <v>203</v>
      </c>
      <c r="I431" s="17" t="n">
        <v>18.11</v>
      </c>
      <c r="J431" s="16"/>
      <c r="K431" s="15" t="s">
        <v>372</v>
      </c>
      <c r="L431" s="15" t="n">
        <f aca="false">IF(AND(OR(Search!$C$4="",Search!$C$4="All",B431=Search!$C$4),OR(Search!$C$5="",Search!$C$5="All",C431=Search!$C$5),OR(Search!$C$6="",Search!$C$6="All",D431=Search!$C$6),OR(Search!$C$7="",ISNUMBER(SEARCH(Search!$C$7,D431&amp;" "&amp;E431&amp;" "&amp;F431&amp;" "&amp;G431&amp;" "&amp;H431&amp;" "&amp;J431))),OR(Search!$C$8="",ISNUMBER(SEARCH(Search!$C$8,G431)))),1,0)</f>
        <v>1</v>
      </c>
      <c r="M431" s="15" t="n">
        <f aca="false">M430+L431</f>
        <v>430</v>
      </c>
    </row>
    <row r="432" customFormat="false" ht="15" hidden="false" customHeight="false" outlineLevel="0" collapsed="false">
      <c r="A432" s="14" t="n">
        <v>431</v>
      </c>
      <c r="B432" s="15" t="s">
        <v>370</v>
      </c>
      <c r="C432" s="15" t="s">
        <v>200</v>
      </c>
      <c r="D432" s="16" t="s">
        <v>395</v>
      </c>
      <c r="E432" s="16"/>
      <c r="F432" s="15" t="s">
        <v>214</v>
      </c>
      <c r="G432" s="15" t="s">
        <v>398</v>
      </c>
      <c r="H432" s="15" t="s">
        <v>203</v>
      </c>
      <c r="I432" s="17" t="n">
        <v>18.36</v>
      </c>
      <c r="J432" s="16"/>
      <c r="K432" s="15" t="s">
        <v>372</v>
      </c>
      <c r="L432" s="15" t="n">
        <f aca="false">IF(AND(OR(Search!$C$4="",Search!$C$4="All",B432=Search!$C$4),OR(Search!$C$5="",Search!$C$5="All",C432=Search!$C$5),OR(Search!$C$6="",Search!$C$6="All",D432=Search!$C$6),OR(Search!$C$7="",ISNUMBER(SEARCH(Search!$C$7,D432&amp;" "&amp;E432&amp;" "&amp;F432&amp;" "&amp;G432&amp;" "&amp;H432&amp;" "&amp;J432))),OR(Search!$C$8="",ISNUMBER(SEARCH(Search!$C$8,G432)))),1,0)</f>
        <v>1</v>
      </c>
      <c r="M432" s="15" t="n">
        <f aca="false">M431+L432</f>
        <v>431</v>
      </c>
    </row>
    <row r="433" customFormat="false" ht="15" hidden="false" customHeight="false" outlineLevel="0" collapsed="false">
      <c r="A433" s="14" t="n">
        <v>432</v>
      </c>
      <c r="B433" s="15" t="s">
        <v>370</v>
      </c>
      <c r="C433" s="15" t="s">
        <v>200</v>
      </c>
      <c r="D433" s="16" t="s">
        <v>400</v>
      </c>
      <c r="E433" s="16"/>
      <c r="F433" s="15" t="s">
        <v>209</v>
      </c>
      <c r="G433" s="15" t="s">
        <v>173</v>
      </c>
      <c r="H433" s="15" t="s">
        <v>203</v>
      </c>
      <c r="I433" s="17" t="n">
        <v>9.08</v>
      </c>
      <c r="J433" s="16"/>
      <c r="K433" s="15" t="s">
        <v>372</v>
      </c>
      <c r="L433" s="15" t="n">
        <f aca="false">IF(AND(OR(Search!$C$4="",Search!$C$4="All",B433=Search!$C$4),OR(Search!$C$5="",Search!$C$5="All",C433=Search!$C$5),OR(Search!$C$6="",Search!$C$6="All",D433=Search!$C$6),OR(Search!$C$7="",ISNUMBER(SEARCH(Search!$C$7,D433&amp;" "&amp;E433&amp;" "&amp;F433&amp;" "&amp;G433&amp;" "&amp;H433&amp;" "&amp;J433))),OR(Search!$C$8="",ISNUMBER(SEARCH(Search!$C$8,G433)))),1,0)</f>
        <v>1</v>
      </c>
      <c r="M433" s="15" t="n">
        <f aca="false">M432+L433</f>
        <v>432</v>
      </c>
    </row>
    <row r="434" customFormat="false" ht="15" hidden="false" customHeight="false" outlineLevel="0" collapsed="false">
      <c r="A434" s="14" t="n">
        <v>433</v>
      </c>
      <c r="B434" s="15" t="s">
        <v>370</v>
      </c>
      <c r="C434" s="15" t="s">
        <v>200</v>
      </c>
      <c r="D434" s="16" t="s">
        <v>400</v>
      </c>
      <c r="E434" s="16"/>
      <c r="F434" s="15" t="s">
        <v>210</v>
      </c>
      <c r="G434" s="15" t="s">
        <v>173</v>
      </c>
      <c r="H434" s="15" t="s">
        <v>203</v>
      </c>
      <c r="I434" s="17" t="n">
        <v>9.95</v>
      </c>
      <c r="J434" s="16"/>
      <c r="K434" s="15" t="s">
        <v>372</v>
      </c>
      <c r="L434" s="15" t="n">
        <f aca="false">IF(AND(OR(Search!$C$4="",Search!$C$4="All",B434=Search!$C$4),OR(Search!$C$5="",Search!$C$5="All",C434=Search!$C$5),OR(Search!$C$6="",Search!$C$6="All",D434=Search!$C$6),OR(Search!$C$7="",ISNUMBER(SEARCH(Search!$C$7,D434&amp;" "&amp;E434&amp;" "&amp;F434&amp;" "&amp;G434&amp;" "&amp;H434&amp;" "&amp;J434))),OR(Search!$C$8="",ISNUMBER(SEARCH(Search!$C$8,G434)))),1,0)</f>
        <v>1</v>
      </c>
      <c r="M434" s="15" t="n">
        <f aca="false">M433+L434</f>
        <v>433</v>
      </c>
    </row>
    <row r="435" customFormat="false" ht="15" hidden="false" customHeight="false" outlineLevel="0" collapsed="false">
      <c r="A435" s="14" t="n">
        <v>434</v>
      </c>
      <c r="B435" s="15" t="s">
        <v>370</v>
      </c>
      <c r="C435" s="15" t="s">
        <v>200</v>
      </c>
      <c r="D435" s="16" t="s">
        <v>400</v>
      </c>
      <c r="E435" s="16"/>
      <c r="F435" s="15" t="s">
        <v>212</v>
      </c>
      <c r="G435" s="15" t="s">
        <v>173</v>
      </c>
      <c r="H435" s="15" t="s">
        <v>203</v>
      </c>
      <c r="I435" s="17" t="n">
        <v>11.22</v>
      </c>
      <c r="J435" s="16"/>
      <c r="K435" s="15" t="s">
        <v>372</v>
      </c>
      <c r="L435" s="15" t="n">
        <f aca="false">IF(AND(OR(Search!$C$4="",Search!$C$4="All",B435=Search!$C$4),OR(Search!$C$5="",Search!$C$5="All",C435=Search!$C$5),OR(Search!$C$6="",Search!$C$6="All",D435=Search!$C$6),OR(Search!$C$7="",ISNUMBER(SEARCH(Search!$C$7,D435&amp;" "&amp;E435&amp;" "&amp;F435&amp;" "&amp;G435&amp;" "&amp;H435&amp;" "&amp;J435))),OR(Search!$C$8="",ISNUMBER(SEARCH(Search!$C$8,G435)))),1,0)</f>
        <v>1</v>
      </c>
      <c r="M435" s="15" t="n">
        <f aca="false">M434+L435</f>
        <v>434</v>
      </c>
    </row>
    <row r="436" customFormat="false" ht="15" hidden="false" customHeight="false" outlineLevel="0" collapsed="false">
      <c r="A436" s="14" t="n">
        <v>435</v>
      </c>
      <c r="B436" s="15" t="s">
        <v>370</v>
      </c>
      <c r="C436" s="15" t="s">
        <v>200</v>
      </c>
      <c r="D436" s="16" t="s">
        <v>401</v>
      </c>
      <c r="E436" s="16"/>
      <c r="F436" s="15" t="s">
        <v>209</v>
      </c>
      <c r="G436" s="15" t="s">
        <v>402</v>
      </c>
      <c r="H436" s="15" t="s">
        <v>203</v>
      </c>
      <c r="I436" s="17" t="n">
        <v>11.68</v>
      </c>
      <c r="J436" s="16" t="s">
        <v>384</v>
      </c>
      <c r="K436" s="15" t="s">
        <v>372</v>
      </c>
      <c r="L436" s="15" t="n">
        <f aca="false">IF(AND(OR(Search!$C$4="",Search!$C$4="All",B436=Search!$C$4),OR(Search!$C$5="",Search!$C$5="All",C436=Search!$C$5),OR(Search!$C$6="",Search!$C$6="All",D436=Search!$C$6),OR(Search!$C$7="",ISNUMBER(SEARCH(Search!$C$7,D436&amp;" "&amp;E436&amp;" "&amp;F436&amp;" "&amp;G436&amp;" "&amp;H436&amp;" "&amp;J436))),OR(Search!$C$8="",ISNUMBER(SEARCH(Search!$C$8,G436)))),1,0)</f>
        <v>1</v>
      </c>
      <c r="M436" s="15" t="n">
        <f aca="false">M435+L436</f>
        <v>435</v>
      </c>
    </row>
    <row r="437" customFormat="false" ht="15" hidden="false" customHeight="false" outlineLevel="0" collapsed="false">
      <c r="A437" s="14" t="n">
        <v>436</v>
      </c>
      <c r="B437" s="15" t="s">
        <v>370</v>
      </c>
      <c r="C437" s="15" t="s">
        <v>200</v>
      </c>
      <c r="D437" s="16" t="s">
        <v>401</v>
      </c>
      <c r="E437" s="16"/>
      <c r="F437" s="15" t="s">
        <v>209</v>
      </c>
      <c r="G437" s="15" t="s">
        <v>403</v>
      </c>
      <c r="H437" s="15" t="s">
        <v>203</v>
      </c>
      <c r="I437" s="17" t="n">
        <v>11.68</v>
      </c>
      <c r="J437" s="16" t="s">
        <v>384</v>
      </c>
      <c r="K437" s="15" t="s">
        <v>372</v>
      </c>
      <c r="L437" s="15" t="n">
        <f aca="false">IF(AND(OR(Search!$C$4="",Search!$C$4="All",B437=Search!$C$4),OR(Search!$C$5="",Search!$C$5="All",C437=Search!$C$5),OR(Search!$C$6="",Search!$C$6="All",D437=Search!$C$6),OR(Search!$C$7="",ISNUMBER(SEARCH(Search!$C$7,D437&amp;" "&amp;E437&amp;" "&amp;F437&amp;" "&amp;G437&amp;" "&amp;H437&amp;" "&amp;J437))),OR(Search!$C$8="",ISNUMBER(SEARCH(Search!$C$8,G437)))),1,0)</f>
        <v>1</v>
      </c>
      <c r="M437" s="15" t="n">
        <f aca="false">M436+L437</f>
        <v>436</v>
      </c>
    </row>
    <row r="438" customFormat="false" ht="15" hidden="false" customHeight="false" outlineLevel="0" collapsed="false">
      <c r="A438" s="14" t="n">
        <v>437</v>
      </c>
      <c r="B438" s="15" t="s">
        <v>370</v>
      </c>
      <c r="C438" s="15" t="s">
        <v>200</v>
      </c>
      <c r="D438" s="16" t="s">
        <v>401</v>
      </c>
      <c r="E438" s="16"/>
      <c r="F438" s="15" t="s">
        <v>210</v>
      </c>
      <c r="G438" s="15" t="s">
        <v>403</v>
      </c>
      <c r="H438" s="15" t="s">
        <v>203</v>
      </c>
      <c r="I438" s="17" t="n">
        <v>14.48</v>
      </c>
      <c r="J438" s="16" t="s">
        <v>384</v>
      </c>
      <c r="K438" s="15" t="s">
        <v>372</v>
      </c>
      <c r="L438" s="15" t="n">
        <f aca="false">IF(AND(OR(Search!$C$4="",Search!$C$4="All",B438=Search!$C$4),OR(Search!$C$5="",Search!$C$5="All",C438=Search!$C$5),OR(Search!$C$6="",Search!$C$6="All",D438=Search!$C$6),OR(Search!$C$7="",ISNUMBER(SEARCH(Search!$C$7,D438&amp;" "&amp;E438&amp;" "&amp;F438&amp;" "&amp;G438&amp;" "&amp;H438&amp;" "&amp;J438))),OR(Search!$C$8="",ISNUMBER(SEARCH(Search!$C$8,G438)))),1,0)</f>
        <v>1</v>
      </c>
      <c r="M438" s="15" t="n">
        <f aca="false">M437+L438</f>
        <v>437</v>
      </c>
    </row>
    <row r="439" customFormat="false" ht="15" hidden="false" customHeight="false" outlineLevel="0" collapsed="false">
      <c r="A439" s="14" t="n">
        <v>438</v>
      </c>
      <c r="B439" s="15" t="s">
        <v>370</v>
      </c>
      <c r="C439" s="15" t="s">
        <v>200</v>
      </c>
      <c r="D439" s="16" t="s">
        <v>401</v>
      </c>
      <c r="E439" s="16"/>
      <c r="F439" s="15" t="s">
        <v>399</v>
      </c>
      <c r="G439" s="15" t="s">
        <v>402</v>
      </c>
      <c r="H439" s="15" t="s">
        <v>203</v>
      </c>
      <c r="I439" s="17" t="n">
        <v>17.09</v>
      </c>
      <c r="J439" s="16" t="s">
        <v>384</v>
      </c>
      <c r="K439" s="15" t="s">
        <v>372</v>
      </c>
      <c r="L439" s="15" t="n">
        <f aca="false">IF(AND(OR(Search!$C$4="",Search!$C$4="All",B439=Search!$C$4),OR(Search!$C$5="",Search!$C$5="All",C439=Search!$C$5),OR(Search!$C$6="",Search!$C$6="All",D439=Search!$C$6),OR(Search!$C$7="",ISNUMBER(SEARCH(Search!$C$7,D439&amp;" "&amp;E439&amp;" "&amp;F439&amp;" "&amp;G439&amp;" "&amp;H439&amp;" "&amp;J439))),OR(Search!$C$8="",ISNUMBER(SEARCH(Search!$C$8,G439)))),1,0)</f>
        <v>1</v>
      </c>
      <c r="M439" s="15" t="n">
        <f aca="false">M438+L439</f>
        <v>438</v>
      </c>
    </row>
    <row r="440" customFormat="false" ht="15" hidden="false" customHeight="false" outlineLevel="0" collapsed="false">
      <c r="A440" s="14" t="n">
        <v>439</v>
      </c>
      <c r="B440" s="15" t="s">
        <v>370</v>
      </c>
      <c r="C440" s="15" t="s">
        <v>200</v>
      </c>
      <c r="D440" s="16" t="s">
        <v>401</v>
      </c>
      <c r="E440" s="16"/>
      <c r="F440" s="15" t="s">
        <v>212</v>
      </c>
      <c r="G440" s="15" t="s">
        <v>402</v>
      </c>
      <c r="H440" s="15" t="s">
        <v>203</v>
      </c>
      <c r="I440" s="17" t="n">
        <v>25.3</v>
      </c>
      <c r="J440" s="16" t="s">
        <v>384</v>
      </c>
      <c r="K440" s="15" t="s">
        <v>372</v>
      </c>
      <c r="L440" s="15" t="n">
        <f aca="false">IF(AND(OR(Search!$C$4="",Search!$C$4="All",B440=Search!$C$4),OR(Search!$C$5="",Search!$C$5="All",C440=Search!$C$5),OR(Search!$C$6="",Search!$C$6="All",D440=Search!$C$6),OR(Search!$C$7="",ISNUMBER(SEARCH(Search!$C$7,D440&amp;" "&amp;E440&amp;" "&amp;F440&amp;" "&amp;G440&amp;" "&amp;H440&amp;" "&amp;J440))),OR(Search!$C$8="",ISNUMBER(SEARCH(Search!$C$8,G440)))),1,0)</f>
        <v>1</v>
      </c>
      <c r="M440" s="15" t="n">
        <f aca="false">M439+L440</f>
        <v>439</v>
      </c>
    </row>
    <row r="441" customFormat="false" ht="15" hidden="false" customHeight="false" outlineLevel="0" collapsed="false">
      <c r="A441" s="14" t="n">
        <v>440</v>
      </c>
      <c r="B441" s="15" t="s">
        <v>370</v>
      </c>
      <c r="C441" s="15" t="s">
        <v>200</v>
      </c>
      <c r="D441" s="16" t="s">
        <v>401</v>
      </c>
      <c r="E441" s="16"/>
      <c r="F441" s="15" t="s">
        <v>212</v>
      </c>
      <c r="G441" s="15" t="s">
        <v>403</v>
      </c>
      <c r="H441" s="15" t="s">
        <v>203</v>
      </c>
      <c r="I441" s="17" t="n">
        <v>17.34</v>
      </c>
      <c r="J441" s="16" t="s">
        <v>384</v>
      </c>
      <c r="K441" s="15" t="s">
        <v>372</v>
      </c>
      <c r="L441" s="15" t="n">
        <f aca="false">IF(AND(OR(Search!$C$4="",Search!$C$4="All",B441=Search!$C$4),OR(Search!$C$5="",Search!$C$5="All",C441=Search!$C$5),OR(Search!$C$6="",Search!$C$6="All",D441=Search!$C$6),OR(Search!$C$7="",ISNUMBER(SEARCH(Search!$C$7,D441&amp;" "&amp;E441&amp;" "&amp;F441&amp;" "&amp;G441&amp;" "&amp;H441&amp;" "&amp;J441))),OR(Search!$C$8="",ISNUMBER(SEARCH(Search!$C$8,G441)))),1,0)</f>
        <v>1</v>
      </c>
      <c r="M441" s="15" t="n">
        <f aca="false">M440+L441</f>
        <v>440</v>
      </c>
    </row>
    <row r="442" customFormat="false" ht="15" hidden="false" customHeight="false" outlineLevel="0" collapsed="false">
      <c r="A442" s="14" t="n">
        <v>441</v>
      </c>
      <c r="B442" s="15" t="s">
        <v>370</v>
      </c>
      <c r="C442" s="15" t="s">
        <v>200</v>
      </c>
      <c r="D442" s="16" t="s">
        <v>401</v>
      </c>
      <c r="E442" s="16"/>
      <c r="F442" s="15" t="s">
        <v>214</v>
      </c>
      <c r="G442" s="15" t="s">
        <v>402</v>
      </c>
      <c r="H442" s="15" t="s">
        <v>203</v>
      </c>
      <c r="I442" s="17" t="n">
        <v>19.89</v>
      </c>
      <c r="J442" s="16" t="s">
        <v>384</v>
      </c>
      <c r="K442" s="15" t="s">
        <v>372</v>
      </c>
      <c r="L442" s="15" t="n">
        <f aca="false">IF(AND(OR(Search!$C$4="",Search!$C$4="All",B442=Search!$C$4),OR(Search!$C$5="",Search!$C$5="All",C442=Search!$C$5),OR(Search!$C$6="",Search!$C$6="All",D442=Search!$C$6),OR(Search!$C$7="",ISNUMBER(SEARCH(Search!$C$7,D442&amp;" "&amp;E442&amp;" "&amp;F442&amp;" "&amp;G442&amp;" "&amp;H442&amp;" "&amp;J442))),OR(Search!$C$8="",ISNUMBER(SEARCH(Search!$C$8,G442)))),1,0)</f>
        <v>1</v>
      </c>
      <c r="M442" s="15" t="n">
        <f aca="false">M441+L442</f>
        <v>441</v>
      </c>
    </row>
    <row r="443" customFormat="false" ht="15" hidden="false" customHeight="false" outlineLevel="0" collapsed="false">
      <c r="A443" s="14" t="n">
        <v>442</v>
      </c>
      <c r="B443" s="15" t="s">
        <v>370</v>
      </c>
      <c r="C443" s="15" t="s">
        <v>200</v>
      </c>
      <c r="D443" s="16" t="s">
        <v>401</v>
      </c>
      <c r="E443" s="16"/>
      <c r="F443" s="15" t="s">
        <v>214</v>
      </c>
      <c r="G443" s="15" t="s">
        <v>403</v>
      </c>
      <c r="H443" s="15" t="s">
        <v>203</v>
      </c>
      <c r="I443" s="17" t="n">
        <v>20.4</v>
      </c>
      <c r="J443" s="16" t="s">
        <v>384</v>
      </c>
      <c r="K443" s="15" t="s">
        <v>372</v>
      </c>
      <c r="L443" s="15" t="n">
        <f aca="false">IF(AND(OR(Search!$C$4="",Search!$C$4="All",B443=Search!$C$4),OR(Search!$C$5="",Search!$C$5="All",C443=Search!$C$5),OR(Search!$C$6="",Search!$C$6="All",D443=Search!$C$6),OR(Search!$C$7="",ISNUMBER(SEARCH(Search!$C$7,D443&amp;" "&amp;E443&amp;" "&amp;F443&amp;" "&amp;G443&amp;" "&amp;H443&amp;" "&amp;J443))),OR(Search!$C$8="",ISNUMBER(SEARCH(Search!$C$8,G443)))),1,0)</f>
        <v>1</v>
      </c>
      <c r="M443" s="15" t="n">
        <f aca="false">M442+L443</f>
        <v>442</v>
      </c>
    </row>
    <row r="444" customFormat="false" ht="15" hidden="false" customHeight="false" outlineLevel="0" collapsed="false">
      <c r="A444" s="14" t="n">
        <v>443</v>
      </c>
      <c r="B444" s="15" t="s">
        <v>370</v>
      </c>
      <c r="C444" s="15" t="s">
        <v>200</v>
      </c>
      <c r="D444" s="16" t="s">
        <v>401</v>
      </c>
      <c r="E444" s="16"/>
      <c r="F444" s="15" t="s">
        <v>217</v>
      </c>
      <c r="G444" s="15" t="s">
        <v>403</v>
      </c>
      <c r="H444" s="15" t="s">
        <v>203</v>
      </c>
      <c r="I444" s="17" t="n">
        <v>20.91</v>
      </c>
      <c r="J444" s="16" t="s">
        <v>384</v>
      </c>
      <c r="K444" s="15" t="s">
        <v>372</v>
      </c>
      <c r="L444" s="15" t="n">
        <f aca="false">IF(AND(OR(Search!$C$4="",Search!$C$4="All",B444=Search!$C$4),OR(Search!$C$5="",Search!$C$5="All",C444=Search!$C$5),OR(Search!$C$6="",Search!$C$6="All",D444=Search!$C$6),OR(Search!$C$7="",ISNUMBER(SEARCH(Search!$C$7,D444&amp;" "&amp;E444&amp;" "&amp;F444&amp;" "&amp;G444&amp;" "&amp;H444&amp;" "&amp;J444))),OR(Search!$C$8="",ISNUMBER(SEARCH(Search!$C$8,G444)))),1,0)</f>
        <v>1</v>
      </c>
      <c r="M444" s="15" t="n">
        <f aca="false">M443+L444</f>
        <v>443</v>
      </c>
    </row>
    <row r="445" customFormat="false" ht="15" hidden="false" customHeight="false" outlineLevel="0" collapsed="false">
      <c r="A445" s="14" t="n">
        <v>444</v>
      </c>
      <c r="B445" s="15" t="s">
        <v>370</v>
      </c>
      <c r="C445" s="15" t="s">
        <v>200</v>
      </c>
      <c r="D445" s="16" t="s">
        <v>404</v>
      </c>
      <c r="E445" s="16"/>
      <c r="F445" s="15" t="s">
        <v>405</v>
      </c>
      <c r="G445" s="15" t="s">
        <v>406</v>
      </c>
      <c r="H445" s="15" t="s">
        <v>407</v>
      </c>
      <c r="I445" s="17" t="n">
        <v>1249.5</v>
      </c>
      <c r="J445" s="16" t="s">
        <v>408</v>
      </c>
      <c r="K445" s="15" t="s">
        <v>372</v>
      </c>
      <c r="L445" s="15" t="n">
        <f aca="false">IF(AND(OR(Search!$C$4="",Search!$C$4="All",B445=Search!$C$4),OR(Search!$C$5="",Search!$C$5="All",C445=Search!$C$5),OR(Search!$C$6="",Search!$C$6="All",D445=Search!$C$6),OR(Search!$C$7="",ISNUMBER(SEARCH(Search!$C$7,D445&amp;" "&amp;E445&amp;" "&amp;F445&amp;" "&amp;G445&amp;" "&amp;H445&amp;" "&amp;J445))),OR(Search!$C$8="",ISNUMBER(SEARCH(Search!$C$8,G445)))),1,0)</f>
        <v>1</v>
      </c>
      <c r="M445" s="15" t="n">
        <f aca="false">M444+L445</f>
        <v>444</v>
      </c>
    </row>
    <row r="446" customFormat="false" ht="15" hidden="false" customHeight="false" outlineLevel="0" collapsed="false">
      <c r="A446" s="14" t="n">
        <v>445</v>
      </c>
      <c r="B446" s="15" t="s">
        <v>370</v>
      </c>
      <c r="C446" s="15" t="s">
        <v>200</v>
      </c>
      <c r="D446" s="16" t="s">
        <v>404</v>
      </c>
      <c r="E446" s="16"/>
      <c r="F446" s="15" t="s">
        <v>405</v>
      </c>
      <c r="G446" s="15" t="s">
        <v>406</v>
      </c>
      <c r="H446" s="15" t="s">
        <v>409</v>
      </c>
      <c r="I446" s="17" t="n">
        <v>650.25</v>
      </c>
      <c r="J446" s="16" t="s">
        <v>408</v>
      </c>
      <c r="K446" s="15" t="s">
        <v>372</v>
      </c>
      <c r="L446" s="15" t="n">
        <f aca="false">IF(AND(OR(Search!$C$4="",Search!$C$4="All",B446=Search!$C$4),OR(Search!$C$5="",Search!$C$5="All",C446=Search!$C$5),OR(Search!$C$6="",Search!$C$6="All",D446=Search!$C$6),OR(Search!$C$7="",ISNUMBER(SEARCH(Search!$C$7,D446&amp;" "&amp;E446&amp;" "&amp;F446&amp;" "&amp;G446&amp;" "&amp;H446&amp;" "&amp;J446))),OR(Search!$C$8="",ISNUMBER(SEARCH(Search!$C$8,G446)))),1,0)</f>
        <v>1</v>
      </c>
      <c r="M446" s="15" t="n">
        <f aca="false">M445+L446</f>
        <v>445</v>
      </c>
    </row>
    <row r="447" customFormat="false" ht="15" hidden="false" customHeight="false" outlineLevel="0" collapsed="false">
      <c r="A447" s="14" t="n">
        <v>446</v>
      </c>
      <c r="B447" s="15" t="s">
        <v>370</v>
      </c>
      <c r="C447" s="15" t="s">
        <v>200</v>
      </c>
      <c r="D447" s="16" t="s">
        <v>404</v>
      </c>
      <c r="E447" s="16"/>
      <c r="F447" s="15" t="s">
        <v>210</v>
      </c>
      <c r="G447" s="15" t="s">
        <v>406</v>
      </c>
      <c r="H447" s="15" t="s">
        <v>407</v>
      </c>
      <c r="I447" s="17" t="n">
        <v>1275</v>
      </c>
      <c r="J447" s="16" t="s">
        <v>408</v>
      </c>
      <c r="K447" s="15" t="s">
        <v>372</v>
      </c>
      <c r="L447" s="15" t="n">
        <f aca="false">IF(AND(OR(Search!$C$4="",Search!$C$4="All",B447=Search!$C$4),OR(Search!$C$5="",Search!$C$5="All",C447=Search!$C$5),OR(Search!$C$6="",Search!$C$6="All",D447=Search!$C$6),OR(Search!$C$7="",ISNUMBER(SEARCH(Search!$C$7,D447&amp;" "&amp;E447&amp;" "&amp;F447&amp;" "&amp;G447&amp;" "&amp;H447&amp;" "&amp;J447))),OR(Search!$C$8="",ISNUMBER(SEARCH(Search!$C$8,G447)))),1,0)</f>
        <v>1</v>
      </c>
      <c r="M447" s="15" t="n">
        <f aca="false">M446+L447</f>
        <v>446</v>
      </c>
    </row>
    <row r="448" customFormat="false" ht="15" hidden="false" customHeight="false" outlineLevel="0" collapsed="false">
      <c r="A448" s="14" t="n">
        <v>447</v>
      </c>
      <c r="B448" s="15" t="s">
        <v>370</v>
      </c>
      <c r="C448" s="15" t="s">
        <v>200</v>
      </c>
      <c r="D448" s="16" t="s">
        <v>404</v>
      </c>
      <c r="E448" s="16"/>
      <c r="F448" s="15" t="s">
        <v>212</v>
      </c>
      <c r="G448" s="15" t="s">
        <v>406</v>
      </c>
      <c r="H448" s="15" t="s">
        <v>407</v>
      </c>
      <c r="I448" s="17" t="n">
        <v>1428</v>
      </c>
      <c r="J448" s="16" t="s">
        <v>408</v>
      </c>
      <c r="K448" s="15" t="s">
        <v>372</v>
      </c>
      <c r="L448" s="15" t="n">
        <f aca="false">IF(AND(OR(Search!$C$4="",Search!$C$4="All",B448=Search!$C$4),OR(Search!$C$5="",Search!$C$5="All",C448=Search!$C$5),OR(Search!$C$6="",Search!$C$6="All",D448=Search!$C$6),OR(Search!$C$7="",ISNUMBER(SEARCH(Search!$C$7,D448&amp;" "&amp;E448&amp;" "&amp;F448&amp;" "&amp;G448&amp;" "&amp;H448&amp;" "&amp;J448))),OR(Search!$C$8="",ISNUMBER(SEARCH(Search!$C$8,G448)))),1,0)</f>
        <v>1</v>
      </c>
      <c r="M448" s="15" t="n">
        <f aca="false">M447+L448</f>
        <v>447</v>
      </c>
    </row>
    <row r="449" customFormat="false" ht="15" hidden="false" customHeight="false" outlineLevel="0" collapsed="false">
      <c r="A449" s="14" t="n">
        <v>448</v>
      </c>
      <c r="B449" s="15" t="s">
        <v>370</v>
      </c>
      <c r="C449" s="15" t="s">
        <v>200</v>
      </c>
      <c r="D449" s="16" t="s">
        <v>404</v>
      </c>
      <c r="E449" s="16"/>
      <c r="F449" s="15" t="s">
        <v>212</v>
      </c>
      <c r="G449" s="15" t="s">
        <v>406</v>
      </c>
      <c r="H449" s="15" t="s">
        <v>409</v>
      </c>
      <c r="I449" s="17" t="n">
        <v>726.75</v>
      </c>
      <c r="J449" s="16" t="s">
        <v>408</v>
      </c>
      <c r="K449" s="15" t="s">
        <v>372</v>
      </c>
      <c r="L449" s="15" t="n">
        <f aca="false">IF(AND(OR(Search!$C$4="",Search!$C$4="All",B449=Search!$C$4),OR(Search!$C$5="",Search!$C$5="All",C449=Search!$C$5),OR(Search!$C$6="",Search!$C$6="All",D449=Search!$C$6),OR(Search!$C$7="",ISNUMBER(SEARCH(Search!$C$7,D449&amp;" "&amp;E449&amp;" "&amp;F449&amp;" "&amp;G449&amp;" "&amp;H449&amp;" "&amp;J449))),OR(Search!$C$8="",ISNUMBER(SEARCH(Search!$C$8,G449)))),1,0)</f>
        <v>1</v>
      </c>
      <c r="M449" s="15" t="n">
        <f aca="false">M448+L449</f>
        <v>448</v>
      </c>
    </row>
    <row r="450" customFormat="false" ht="15" hidden="false" customHeight="false" outlineLevel="0" collapsed="false">
      <c r="A450" s="14" t="n">
        <v>449</v>
      </c>
      <c r="B450" s="15" t="s">
        <v>370</v>
      </c>
      <c r="C450" s="15" t="s">
        <v>200</v>
      </c>
      <c r="D450" s="16" t="s">
        <v>404</v>
      </c>
      <c r="E450" s="16"/>
      <c r="F450" s="15" t="s">
        <v>214</v>
      </c>
      <c r="G450" s="15" t="s">
        <v>406</v>
      </c>
      <c r="H450" s="15" t="s">
        <v>407</v>
      </c>
      <c r="I450" s="17" t="n">
        <v>1693</v>
      </c>
      <c r="J450" s="16" t="s">
        <v>408</v>
      </c>
      <c r="K450" s="15" t="s">
        <v>372</v>
      </c>
      <c r="L450" s="15" t="n">
        <f aca="false">IF(AND(OR(Search!$C$4="",Search!$C$4="All",B450=Search!$C$4),OR(Search!$C$5="",Search!$C$5="All",C450=Search!$C$5),OR(Search!$C$6="",Search!$C$6="All",D450=Search!$C$6),OR(Search!$C$7="",ISNUMBER(SEARCH(Search!$C$7,D450&amp;" "&amp;E450&amp;" "&amp;F450&amp;" "&amp;G450&amp;" "&amp;H450&amp;" "&amp;J450))),OR(Search!$C$8="",ISNUMBER(SEARCH(Search!$C$8,G450)))),1,0)</f>
        <v>1</v>
      </c>
      <c r="M450" s="15" t="n">
        <f aca="false">M449+L450</f>
        <v>449</v>
      </c>
    </row>
    <row r="451" customFormat="false" ht="15" hidden="false" customHeight="false" outlineLevel="0" collapsed="false">
      <c r="A451" s="14" t="n">
        <v>450</v>
      </c>
      <c r="B451" s="15" t="s">
        <v>370</v>
      </c>
      <c r="C451" s="15" t="s">
        <v>200</v>
      </c>
      <c r="D451" s="16" t="s">
        <v>404</v>
      </c>
      <c r="E451" s="16"/>
      <c r="F451" s="15" t="s">
        <v>216</v>
      </c>
      <c r="G451" s="15" t="s">
        <v>406</v>
      </c>
      <c r="H451" s="15" t="s">
        <v>407</v>
      </c>
      <c r="I451" s="17" t="n">
        <v>1759.5</v>
      </c>
      <c r="J451" s="16" t="s">
        <v>408</v>
      </c>
      <c r="K451" s="15" t="s">
        <v>372</v>
      </c>
      <c r="L451" s="15" t="n">
        <f aca="false">IF(AND(OR(Search!$C$4="",Search!$C$4="All",B451=Search!$C$4),OR(Search!$C$5="",Search!$C$5="All",C451=Search!$C$5),OR(Search!$C$6="",Search!$C$6="All",D451=Search!$C$6),OR(Search!$C$7="",ISNUMBER(SEARCH(Search!$C$7,D451&amp;" "&amp;E451&amp;" "&amp;F451&amp;" "&amp;G451&amp;" "&amp;H451&amp;" "&amp;J451))),OR(Search!$C$8="",ISNUMBER(SEARCH(Search!$C$8,G451)))),1,0)</f>
        <v>1</v>
      </c>
      <c r="M451" s="15" t="n">
        <f aca="false">M450+L451</f>
        <v>450</v>
      </c>
    </row>
    <row r="452" customFormat="false" ht="15" hidden="false" customHeight="false" outlineLevel="0" collapsed="false">
      <c r="A452" s="14" t="n">
        <v>451</v>
      </c>
      <c r="B452" s="15" t="s">
        <v>370</v>
      </c>
      <c r="C452" s="15" t="s">
        <v>200</v>
      </c>
      <c r="D452" s="16" t="s">
        <v>404</v>
      </c>
      <c r="E452" s="16"/>
      <c r="F452" s="15" t="s">
        <v>410</v>
      </c>
      <c r="G452" s="15" t="s">
        <v>406</v>
      </c>
      <c r="H452" s="15" t="s">
        <v>407</v>
      </c>
      <c r="I452" s="17" t="n">
        <v>1769.7</v>
      </c>
      <c r="J452" s="16" t="s">
        <v>408</v>
      </c>
      <c r="K452" s="15" t="s">
        <v>372</v>
      </c>
      <c r="L452" s="15" t="n">
        <f aca="false">IF(AND(OR(Search!$C$4="",Search!$C$4="All",B452=Search!$C$4),OR(Search!$C$5="",Search!$C$5="All",C452=Search!$C$5),OR(Search!$C$6="",Search!$C$6="All",D452=Search!$C$6),OR(Search!$C$7="",ISNUMBER(SEARCH(Search!$C$7,D452&amp;" "&amp;E452&amp;" "&amp;F452&amp;" "&amp;G452&amp;" "&amp;H452&amp;" "&amp;J452))),OR(Search!$C$8="",ISNUMBER(SEARCH(Search!$C$8,G452)))),1,0)</f>
        <v>1</v>
      </c>
      <c r="M452" s="15" t="n">
        <f aca="false">M451+L452</f>
        <v>451</v>
      </c>
    </row>
    <row r="453" customFormat="false" ht="15" hidden="false" customHeight="false" outlineLevel="0" collapsed="false">
      <c r="A453" s="14" t="n">
        <v>452</v>
      </c>
      <c r="B453" s="15" t="s">
        <v>370</v>
      </c>
      <c r="C453" s="15" t="s">
        <v>200</v>
      </c>
      <c r="D453" s="16" t="s">
        <v>404</v>
      </c>
      <c r="E453" s="16"/>
      <c r="F453" s="15" t="s">
        <v>410</v>
      </c>
      <c r="G453" s="15" t="s">
        <v>406</v>
      </c>
      <c r="H453" s="15" t="s">
        <v>409</v>
      </c>
      <c r="I453" s="17" t="n">
        <v>895.05</v>
      </c>
      <c r="J453" s="16" t="s">
        <v>408</v>
      </c>
      <c r="K453" s="15" t="s">
        <v>372</v>
      </c>
      <c r="L453" s="15" t="n">
        <f aca="false">IF(AND(OR(Search!$C$4="",Search!$C$4="All",B453=Search!$C$4),OR(Search!$C$5="",Search!$C$5="All",C453=Search!$C$5),OR(Search!$C$6="",Search!$C$6="All",D453=Search!$C$6),OR(Search!$C$7="",ISNUMBER(SEARCH(Search!$C$7,D453&amp;" "&amp;E453&amp;" "&amp;F453&amp;" "&amp;G453&amp;" "&amp;H453&amp;" "&amp;J453))),OR(Search!$C$8="",ISNUMBER(SEARCH(Search!$C$8,G453)))),1,0)</f>
        <v>1</v>
      </c>
      <c r="M453" s="15" t="n">
        <f aca="false">M452+L453</f>
        <v>452</v>
      </c>
    </row>
    <row r="454" customFormat="false" ht="15" hidden="false" customHeight="false" outlineLevel="0" collapsed="false">
      <c r="A454" s="14" t="n">
        <v>453</v>
      </c>
      <c r="B454" s="15" t="s">
        <v>370</v>
      </c>
      <c r="C454" s="15" t="s">
        <v>200</v>
      </c>
      <c r="D454" s="16" t="s">
        <v>411</v>
      </c>
      <c r="E454" s="16" t="s">
        <v>412</v>
      </c>
      <c r="F454" s="15" t="s">
        <v>210</v>
      </c>
      <c r="G454" s="15" t="s">
        <v>413</v>
      </c>
      <c r="H454" s="15" t="s">
        <v>414</v>
      </c>
      <c r="I454" s="17" t="n">
        <v>2215.95</v>
      </c>
      <c r="J454" s="16"/>
      <c r="K454" s="15" t="s">
        <v>372</v>
      </c>
      <c r="L454" s="15" t="n">
        <f aca="false">IF(AND(OR(Search!$C$4="",Search!$C$4="All",B454=Search!$C$4),OR(Search!$C$5="",Search!$C$5="All",C454=Search!$C$5),OR(Search!$C$6="",Search!$C$6="All",D454=Search!$C$6),OR(Search!$C$7="",ISNUMBER(SEARCH(Search!$C$7,D454&amp;" "&amp;E454&amp;" "&amp;F454&amp;" "&amp;G454&amp;" "&amp;H454&amp;" "&amp;J454))),OR(Search!$C$8="",ISNUMBER(SEARCH(Search!$C$8,G454)))),1,0)</f>
        <v>1</v>
      </c>
      <c r="M454" s="15" t="n">
        <f aca="false">M453+L454</f>
        <v>453</v>
      </c>
    </row>
    <row r="455" customFormat="false" ht="15" hidden="false" customHeight="false" outlineLevel="0" collapsed="false">
      <c r="A455" s="14" t="n">
        <v>454</v>
      </c>
      <c r="B455" s="15" t="s">
        <v>370</v>
      </c>
      <c r="C455" s="15" t="s">
        <v>200</v>
      </c>
      <c r="D455" s="16" t="s">
        <v>411</v>
      </c>
      <c r="E455" s="16" t="s">
        <v>415</v>
      </c>
      <c r="F455" s="15" t="s">
        <v>212</v>
      </c>
      <c r="G455" s="15" t="s">
        <v>413</v>
      </c>
      <c r="H455" s="15" t="s">
        <v>414</v>
      </c>
      <c r="I455" s="17" t="n">
        <v>2302.34</v>
      </c>
      <c r="J455" s="16"/>
      <c r="K455" s="15" t="s">
        <v>372</v>
      </c>
      <c r="L455" s="15" t="n">
        <f aca="false">IF(AND(OR(Search!$C$4="",Search!$C$4="All",B455=Search!$C$4),OR(Search!$C$5="",Search!$C$5="All",C455=Search!$C$5),OR(Search!$C$6="",Search!$C$6="All",D455=Search!$C$6),OR(Search!$C$7="",ISNUMBER(SEARCH(Search!$C$7,D455&amp;" "&amp;E455&amp;" "&amp;F455&amp;" "&amp;G455&amp;" "&amp;H455&amp;" "&amp;J455))),OR(Search!$C$8="",ISNUMBER(SEARCH(Search!$C$8,G455)))),1,0)</f>
        <v>1</v>
      </c>
      <c r="M455" s="15" t="n">
        <f aca="false">M454+L455</f>
        <v>454</v>
      </c>
    </row>
    <row r="456" customFormat="false" ht="15" hidden="false" customHeight="false" outlineLevel="0" collapsed="false">
      <c r="A456" s="14" t="n">
        <v>455</v>
      </c>
      <c r="B456" s="15" t="s">
        <v>370</v>
      </c>
      <c r="C456" s="15" t="s">
        <v>200</v>
      </c>
      <c r="D456" s="16" t="s">
        <v>411</v>
      </c>
      <c r="E456" s="16" t="s">
        <v>416</v>
      </c>
      <c r="F456" s="15" t="s">
        <v>217</v>
      </c>
      <c r="G456" s="15" t="s">
        <v>413</v>
      </c>
      <c r="H456" s="15" t="s">
        <v>414</v>
      </c>
      <c r="I456" s="17" t="n">
        <v>2291.94</v>
      </c>
      <c r="J456" s="16"/>
      <c r="K456" s="15" t="s">
        <v>372</v>
      </c>
      <c r="L456" s="15" t="n">
        <f aca="false">IF(AND(OR(Search!$C$4="",Search!$C$4="All",B456=Search!$C$4),OR(Search!$C$5="",Search!$C$5="All",C456=Search!$C$5),OR(Search!$C$6="",Search!$C$6="All",D456=Search!$C$6),OR(Search!$C$7="",ISNUMBER(SEARCH(Search!$C$7,D456&amp;" "&amp;E456&amp;" "&amp;F456&amp;" "&amp;G456&amp;" "&amp;H456&amp;" "&amp;J456))),OR(Search!$C$8="",ISNUMBER(SEARCH(Search!$C$8,G456)))),1,0)</f>
        <v>1</v>
      </c>
      <c r="M456" s="15" t="n">
        <f aca="false">M455+L456</f>
        <v>455</v>
      </c>
    </row>
    <row r="457" customFormat="false" ht="15" hidden="false" customHeight="false" outlineLevel="0" collapsed="false">
      <c r="A457" s="14" t="n">
        <v>456</v>
      </c>
      <c r="B457" s="15" t="s">
        <v>370</v>
      </c>
      <c r="C457" s="15" t="s">
        <v>200</v>
      </c>
      <c r="D457" s="16" t="s">
        <v>417</v>
      </c>
      <c r="E457" s="16"/>
      <c r="F457" s="15" t="s">
        <v>418</v>
      </c>
      <c r="G457" s="15" t="s">
        <v>419</v>
      </c>
      <c r="H457" s="15" t="s">
        <v>414</v>
      </c>
      <c r="I457" s="17" t="n">
        <v>2295</v>
      </c>
      <c r="J457" s="16"/>
      <c r="K457" s="15" t="s">
        <v>372</v>
      </c>
      <c r="L457" s="15" t="n">
        <f aca="false">IF(AND(OR(Search!$C$4="",Search!$C$4="All",B457=Search!$C$4),OR(Search!$C$5="",Search!$C$5="All",C457=Search!$C$5),OR(Search!$C$6="",Search!$C$6="All",D457=Search!$C$6),OR(Search!$C$7="",ISNUMBER(SEARCH(Search!$C$7,D457&amp;" "&amp;E457&amp;" "&amp;F457&amp;" "&amp;G457&amp;" "&amp;H457&amp;" "&amp;J457))),OR(Search!$C$8="",ISNUMBER(SEARCH(Search!$C$8,G457)))),1,0)</f>
        <v>1</v>
      </c>
      <c r="M457" s="15" t="n">
        <f aca="false">M456+L457</f>
        <v>456</v>
      </c>
    </row>
    <row r="458" customFormat="false" ht="15" hidden="false" customHeight="false" outlineLevel="0" collapsed="false">
      <c r="A458" s="14" t="n">
        <v>457</v>
      </c>
      <c r="B458" s="15" t="s">
        <v>370</v>
      </c>
      <c r="C458" s="15" t="s">
        <v>200</v>
      </c>
      <c r="D458" s="16" t="s">
        <v>417</v>
      </c>
      <c r="E458" s="16"/>
      <c r="F458" s="15" t="s">
        <v>420</v>
      </c>
      <c r="G458" s="15" t="s">
        <v>419</v>
      </c>
      <c r="H458" s="15" t="s">
        <v>414</v>
      </c>
      <c r="I458" s="17" t="n">
        <v>2295</v>
      </c>
      <c r="J458" s="16"/>
      <c r="K458" s="15" t="s">
        <v>372</v>
      </c>
      <c r="L458" s="15" t="n">
        <f aca="false">IF(AND(OR(Search!$C$4="",Search!$C$4="All",B458=Search!$C$4),OR(Search!$C$5="",Search!$C$5="All",C458=Search!$C$5),OR(Search!$C$6="",Search!$C$6="All",D458=Search!$C$6),OR(Search!$C$7="",ISNUMBER(SEARCH(Search!$C$7,D458&amp;" "&amp;E458&amp;" "&amp;F458&amp;" "&amp;G458&amp;" "&amp;H458&amp;" "&amp;J458))),OR(Search!$C$8="",ISNUMBER(SEARCH(Search!$C$8,G458)))),1,0)</f>
        <v>1</v>
      </c>
      <c r="M458" s="15" t="n">
        <f aca="false">M457+L458</f>
        <v>457</v>
      </c>
    </row>
    <row r="459" customFormat="false" ht="15" hidden="false" customHeight="false" outlineLevel="0" collapsed="false">
      <c r="A459" s="14" t="n">
        <v>458</v>
      </c>
      <c r="B459" s="15" t="s">
        <v>370</v>
      </c>
      <c r="C459" s="15" t="s">
        <v>200</v>
      </c>
      <c r="D459" s="16" t="s">
        <v>421</v>
      </c>
      <c r="E459" s="16"/>
      <c r="F459" s="15" t="s">
        <v>420</v>
      </c>
      <c r="G459" s="15" t="s">
        <v>419</v>
      </c>
      <c r="H459" s="15" t="s">
        <v>414</v>
      </c>
      <c r="I459" s="17" t="n">
        <v>2244</v>
      </c>
      <c r="J459" s="16"/>
      <c r="K459" s="15" t="s">
        <v>372</v>
      </c>
      <c r="L459" s="15" t="n">
        <f aca="false">IF(AND(OR(Search!$C$4="",Search!$C$4="All",B459=Search!$C$4),OR(Search!$C$5="",Search!$C$5="All",C459=Search!$C$5),OR(Search!$C$6="",Search!$C$6="All",D459=Search!$C$6),OR(Search!$C$7="",ISNUMBER(SEARCH(Search!$C$7,D459&amp;" "&amp;E459&amp;" "&amp;F459&amp;" "&amp;G459&amp;" "&amp;H459&amp;" "&amp;J459))),OR(Search!$C$8="",ISNUMBER(SEARCH(Search!$C$8,G459)))),1,0)</f>
        <v>1</v>
      </c>
      <c r="M459" s="15" t="n">
        <f aca="false">M458+L459</f>
        <v>458</v>
      </c>
    </row>
    <row r="460" customFormat="false" ht="15" hidden="false" customHeight="false" outlineLevel="0" collapsed="false">
      <c r="A460" s="14" t="n">
        <v>459</v>
      </c>
      <c r="B460" s="15" t="s">
        <v>370</v>
      </c>
      <c r="C460" s="15" t="s">
        <v>200</v>
      </c>
      <c r="D460" s="16" t="s">
        <v>417</v>
      </c>
      <c r="E460" s="16"/>
      <c r="F460" s="15" t="s">
        <v>422</v>
      </c>
      <c r="G460" s="15" t="s">
        <v>419</v>
      </c>
      <c r="H460" s="15" t="s">
        <v>414</v>
      </c>
      <c r="I460" s="17" t="n">
        <v>2295</v>
      </c>
      <c r="J460" s="16"/>
      <c r="K460" s="15" t="s">
        <v>372</v>
      </c>
      <c r="L460" s="15" t="n">
        <f aca="false">IF(AND(OR(Search!$C$4="",Search!$C$4="All",B460=Search!$C$4),OR(Search!$C$5="",Search!$C$5="All",C460=Search!$C$5),OR(Search!$C$6="",Search!$C$6="All",D460=Search!$C$6),OR(Search!$C$7="",ISNUMBER(SEARCH(Search!$C$7,D460&amp;" "&amp;E460&amp;" "&amp;F460&amp;" "&amp;G460&amp;" "&amp;H460&amp;" "&amp;J460))),OR(Search!$C$8="",ISNUMBER(SEARCH(Search!$C$8,G460)))),1,0)</f>
        <v>1</v>
      </c>
      <c r="M460" s="15" t="n">
        <f aca="false">M459+L460</f>
        <v>459</v>
      </c>
    </row>
    <row r="461" customFormat="false" ht="15" hidden="false" customHeight="false" outlineLevel="0" collapsed="false">
      <c r="A461" s="14" t="n">
        <v>460</v>
      </c>
      <c r="B461" s="15" t="s">
        <v>370</v>
      </c>
      <c r="C461" s="15" t="s">
        <v>200</v>
      </c>
      <c r="D461" s="16" t="s">
        <v>421</v>
      </c>
      <c r="E461" s="16"/>
      <c r="F461" s="15" t="s">
        <v>422</v>
      </c>
      <c r="G461" s="15" t="s">
        <v>419</v>
      </c>
      <c r="H461" s="15" t="s">
        <v>414</v>
      </c>
      <c r="I461" s="17" t="n">
        <v>2244</v>
      </c>
      <c r="J461" s="16"/>
      <c r="K461" s="15" t="s">
        <v>372</v>
      </c>
      <c r="L461" s="15" t="n">
        <f aca="false">IF(AND(OR(Search!$C$4="",Search!$C$4="All",B461=Search!$C$4),OR(Search!$C$5="",Search!$C$5="All",C461=Search!$C$5),OR(Search!$C$6="",Search!$C$6="All",D461=Search!$C$6),OR(Search!$C$7="",ISNUMBER(SEARCH(Search!$C$7,D461&amp;" "&amp;E461&amp;" "&amp;F461&amp;" "&amp;G461&amp;" "&amp;H461&amp;" "&amp;J461))),OR(Search!$C$8="",ISNUMBER(SEARCH(Search!$C$8,G461)))),1,0)</f>
        <v>1</v>
      </c>
      <c r="M461" s="15" t="n">
        <f aca="false">M460+L461</f>
        <v>460</v>
      </c>
    </row>
    <row r="462" customFormat="false" ht="15" hidden="false" customHeight="false" outlineLevel="0" collapsed="false">
      <c r="A462" s="14" t="n">
        <v>461</v>
      </c>
      <c r="B462" s="15" t="s">
        <v>370</v>
      </c>
      <c r="C462" s="15" t="s">
        <v>200</v>
      </c>
      <c r="D462" s="16" t="s">
        <v>417</v>
      </c>
      <c r="E462" s="16"/>
      <c r="F462" s="15" t="s">
        <v>423</v>
      </c>
      <c r="G462" s="15" t="s">
        <v>419</v>
      </c>
      <c r="H462" s="15" t="s">
        <v>414</v>
      </c>
      <c r="I462" s="17" t="n">
        <v>2295</v>
      </c>
      <c r="J462" s="16"/>
      <c r="K462" s="15" t="s">
        <v>372</v>
      </c>
      <c r="L462" s="15" t="n">
        <f aca="false">IF(AND(OR(Search!$C$4="",Search!$C$4="All",B462=Search!$C$4),OR(Search!$C$5="",Search!$C$5="All",C462=Search!$C$5),OR(Search!$C$6="",Search!$C$6="All",D462=Search!$C$6),OR(Search!$C$7="",ISNUMBER(SEARCH(Search!$C$7,D462&amp;" "&amp;E462&amp;" "&amp;F462&amp;" "&amp;G462&amp;" "&amp;H462&amp;" "&amp;J462))),OR(Search!$C$8="",ISNUMBER(SEARCH(Search!$C$8,G462)))),1,0)</f>
        <v>1</v>
      </c>
      <c r="M462" s="15" t="n">
        <f aca="false">M461+L462</f>
        <v>461</v>
      </c>
    </row>
    <row r="463" customFormat="false" ht="15" hidden="false" customHeight="false" outlineLevel="0" collapsed="false">
      <c r="A463" s="14" t="n">
        <v>462</v>
      </c>
      <c r="B463" s="15" t="s">
        <v>370</v>
      </c>
      <c r="C463" s="15" t="s">
        <v>200</v>
      </c>
      <c r="D463" s="16" t="s">
        <v>421</v>
      </c>
      <c r="E463" s="16"/>
      <c r="F463" s="15" t="s">
        <v>423</v>
      </c>
      <c r="G463" s="15" t="s">
        <v>419</v>
      </c>
      <c r="H463" s="15" t="s">
        <v>414</v>
      </c>
      <c r="I463" s="17" t="n">
        <v>2244</v>
      </c>
      <c r="J463" s="16"/>
      <c r="K463" s="15" t="s">
        <v>372</v>
      </c>
      <c r="L463" s="15" t="n">
        <f aca="false">IF(AND(OR(Search!$C$4="",Search!$C$4="All",B463=Search!$C$4),OR(Search!$C$5="",Search!$C$5="All",C463=Search!$C$5),OR(Search!$C$6="",Search!$C$6="All",D463=Search!$C$6),OR(Search!$C$7="",ISNUMBER(SEARCH(Search!$C$7,D463&amp;" "&amp;E463&amp;" "&amp;F463&amp;" "&amp;G463&amp;" "&amp;H463&amp;" "&amp;J463))),OR(Search!$C$8="",ISNUMBER(SEARCH(Search!$C$8,G463)))),1,0)</f>
        <v>1</v>
      </c>
      <c r="M463" s="15" t="n">
        <f aca="false">M462+L463</f>
        <v>462</v>
      </c>
    </row>
    <row r="464" customFormat="false" ht="15" hidden="false" customHeight="false" outlineLevel="0" collapsed="false">
      <c r="A464" s="14" t="n">
        <v>463</v>
      </c>
      <c r="B464" s="15" t="s">
        <v>370</v>
      </c>
      <c r="C464" s="15" t="s">
        <v>200</v>
      </c>
      <c r="D464" s="16" t="s">
        <v>417</v>
      </c>
      <c r="E464" s="16"/>
      <c r="F464" s="15" t="s">
        <v>424</v>
      </c>
      <c r="G464" s="15" t="s">
        <v>419</v>
      </c>
      <c r="H464" s="15" t="s">
        <v>414</v>
      </c>
      <c r="I464" s="17" t="n">
        <v>2295</v>
      </c>
      <c r="J464" s="16"/>
      <c r="K464" s="15" t="s">
        <v>372</v>
      </c>
      <c r="L464" s="15" t="n">
        <f aca="false">IF(AND(OR(Search!$C$4="",Search!$C$4="All",B464=Search!$C$4),OR(Search!$C$5="",Search!$C$5="All",C464=Search!$C$5),OR(Search!$C$6="",Search!$C$6="All",D464=Search!$C$6),OR(Search!$C$7="",ISNUMBER(SEARCH(Search!$C$7,D464&amp;" "&amp;E464&amp;" "&amp;F464&amp;" "&amp;G464&amp;" "&amp;H464&amp;" "&amp;J464))),OR(Search!$C$8="",ISNUMBER(SEARCH(Search!$C$8,G464)))),1,0)</f>
        <v>1</v>
      </c>
      <c r="M464" s="15" t="n">
        <f aca="false">M463+L464</f>
        <v>463</v>
      </c>
    </row>
    <row r="465" customFormat="false" ht="15" hidden="false" customHeight="false" outlineLevel="0" collapsed="false">
      <c r="A465" s="14" t="n">
        <v>464</v>
      </c>
      <c r="B465" s="15" t="s">
        <v>370</v>
      </c>
      <c r="C465" s="15" t="s">
        <v>200</v>
      </c>
      <c r="D465" s="16" t="s">
        <v>421</v>
      </c>
      <c r="E465" s="16"/>
      <c r="F465" s="15" t="s">
        <v>424</v>
      </c>
      <c r="G465" s="15" t="s">
        <v>419</v>
      </c>
      <c r="H465" s="15" t="s">
        <v>414</v>
      </c>
      <c r="I465" s="17" t="n">
        <v>2244</v>
      </c>
      <c r="J465" s="16"/>
      <c r="K465" s="15" t="s">
        <v>372</v>
      </c>
      <c r="L465" s="15" t="n">
        <f aca="false">IF(AND(OR(Search!$C$4="",Search!$C$4="All",B465=Search!$C$4),OR(Search!$C$5="",Search!$C$5="All",C465=Search!$C$5),OR(Search!$C$6="",Search!$C$6="All",D465=Search!$C$6),OR(Search!$C$7="",ISNUMBER(SEARCH(Search!$C$7,D465&amp;" "&amp;E465&amp;" "&amp;F465&amp;" "&amp;G465&amp;" "&amp;H465&amp;" "&amp;J465))),OR(Search!$C$8="",ISNUMBER(SEARCH(Search!$C$8,G465)))),1,0)</f>
        <v>1</v>
      </c>
      <c r="M465" s="15" t="n">
        <f aca="false">M464+L465</f>
        <v>464</v>
      </c>
    </row>
    <row r="466" customFormat="false" ht="15" hidden="false" customHeight="false" outlineLevel="0" collapsed="false">
      <c r="A466" s="14" t="n">
        <v>465</v>
      </c>
      <c r="B466" s="15" t="s">
        <v>370</v>
      </c>
      <c r="C466" s="15" t="s">
        <v>258</v>
      </c>
      <c r="D466" s="16" t="s">
        <v>258</v>
      </c>
      <c r="E466" s="16"/>
      <c r="F466" s="15" t="s">
        <v>425</v>
      </c>
      <c r="G466" s="15" t="s">
        <v>164</v>
      </c>
      <c r="H466" s="15" t="s">
        <v>161</v>
      </c>
      <c r="I466" s="17" t="n">
        <v>1031.22</v>
      </c>
      <c r="J466" s="16"/>
      <c r="K466" s="15" t="s">
        <v>372</v>
      </c>
      <c r="L466" s="15" t="n">
        <f aca="false">IF(AND(OR(Search!$C$4="",Search!$C$4="All",B466=Search!$C$4),OR(Search!$C$5="",Search!$C$5="All",C466=Search!$C$5),OR(Search!$C$6="",Search!$C$6="All",D466=Search!$C$6),OR(Search!$C$7="",ISNUMBER(SEARCH(Search!$C$7,D466&amp;" "&amp;E466&amp;" "&amp;F466&amp;" "&amp;G466&amp;" "&amp;H466&amp;" "&amp;J466))),OR(Search!$C$8="",ISNUMBER(SEARCH(Search!$C$8,G466)))),1,0)</f>
        <v>1</v>
      </c>
      <c r="M466" s="15" t="n">
        <f aca="false">M465+L466</f>
        <v>465</v>
      </c>
    </row>
    <row r="467" customFormat="false" ht="15" hidden="false" customHeight="false" outlineLevel="0" collapsed="false">
      <c r="A467" s="14" t="n">
        <v>466</v>
      </c>
      <c r="B467" s="15" t="s">
        <v>370</v>
      </c>
      <c r="C467" s="15" t="s">
        <v>258</v>
      </c>
      <c r="D467" s="16" t="s">
        <v>258</v>
      </c>
      <c r="E467" s="16"/>
      <c r="F467" s="15" t="s">
        <v>425</v>
      </c>
      <c r="G467" s="15" t="s">
        <v>163</v>
      </c>
      <c r="H467" s="15" t="s">
        <v>161</v>
      </c>
      <c r="I467" s="17" t="n">
        <v>1312.74</v>
      </c>
      <c r="J467" s="16"/>
      <c r="K467" s="15" t="s">
        <v>372</v>
      </c>
      <c r="L467" s="15" t="n">
        <f aca="false">IF(AND(OR(Search!$C$4="",Search!$C$4="All",B467=Search!$C$4),OR(Search!$C$5="",Search!$C$5="All",C467=Search!$C$5),OR(Search!$C$6="",Search!$C$6="All",D467=Search!$C$6),OR(Search!$C$7="",ISNUMBER(SEARCH(Search!$C$7,D467&amp;" "&amp;E467&amp;" "&amp;F467&amp;" "&amp;G467&amp;" "&amp;H467&amp;" "&amp;J467))),OR(Search!$C$8="",ISNUMBER(SEARCH(Search!$C$8,G467)))),1,0)</f>
        <v>1</v>
      </c>
      <c r="M467" s="15" t="n">
        <f aca="false">M466+L467</f>
        <v>466</v>
      </c>
    </row>
    <row r="468" customFormat="false" ht="15" hidden="false" customHeight="false" outlineLevel="0" collapsed="false">
      <c r="A468" s="14" t="n">
        <v>467</v>
      </c>
      <c r="B468" s="15" t="s">
        <v>370</v>
      </c>
      <c r="C468" s="15" t="s">
        <v>258</v>
      </c>
      <c r="D468" s="16" t="s">
        <v>258</v>
      </c>
      <c r="E468" s="16"/>
      <c r="F468" s="15" t="s">
        <v>426</v>
      </c>
      <c r="G468" s="15" t="s">
        <v>427</v>
      </c>
      <c r="H468" s="15" t="s">
        <v>161</v>
      </c>
      <c r="I468" s="17" t="n">
        <v>178.5</v>
      </c>
      <c r="J468" s="16"/>
      <c r="K468" s="15" t="s">
        <v>372</v>
      </c>
      <c r="L468" s="15" t="n">
        <f aca="false">IF(AND(OR(Search!$C$4="",Search!$C$4="All",B468=Search!$C$4),OR(Search!$C$5="",Search!$C$5="All",C468=Search!$C$5),OR(Search!$C$6="",Search!$C$6="All",D468=Search!$C$6),OR(Search!$C$7="",ISNUMBER(SEARCH(Search!$C$7,D468&amp;" "&amp;E468&amp;" "&amp;F468&amp;" "&amp;G468&amp;" "&amp;H468&amp;" "&amp;J468))),OR(Search!$C$8="",ISNUMBER(SEARCH(Search!$C$8,G468)))),1,0)</f>
        <v>1</v>
      </c>
      <c r="M468" s="15" t="n">
        <f aca="false">M467+L468</f>
        <v>467</v>
      </c>
    </row>
    <row r="469" customFormat="false" ht="15" hidden="false" customHeight="false" outlineLevel="0" collapsed="false">
      <c r="A469" s="14" t="n">
        <v>468</v>
      </c>
      <c r="B469" s="15" t="s">
        <v>370</v>
      </c>
      <c r="C469" s="15" t="s">
        <v>258</v>
      </c>
      <c r="D469" s="16" t="s">
        <v>258</v>
      </c>
      <c r="E469" s="16"/>
      <c r="F469" s="15" t="s">
        <v>426</v>
      </c>
      <c r="G469" s="15" t="s">
        <v>428</v>
      </c>
      <c r="H469" s="15" t="s">
        <v>161</v>
      </c>
      <c r="I469" s="17" t="n">
        <v>209.1</v>
      </c>
      <c r="J469" s="16"/>
      <c r="K469" s="15" t="s">
        <v>372</v>
      </c>
      <c r="L469" s="15" t="n">
        <f aca="false">IF(AND(OR(Search!$C$4="",Search!$C$4="All",B469=Search!$C$4),OR(Search!$C$5="",Search!$C$5="All",C469=Search!$C$5),OR(Search!$C$6="",Search!$C$6="All",D469=Search!$C$6),OR(Search!$C$7="",ISNUMBER(SEARCH(Search!$C$7,D469&amp;" "&amp;E469&amp;" "&amp;F469&amp;" "&amp;G469&amp;" "&amp;H469&amp;" "&amp;J469))),OR(Search!$C$8="",ISNUMBER(SEARCH(Search!$C$8,G469)))),1,0)</f>
        <v>1</v>
      </c>
      <c r="M469" s="15" t="n">
        <f aca="false">M468+L469</f>
        <v>468</v>
      </c>
    </row>
    <row r="470" customFormat="false" ht="15" hidden="false" customHeight="false" outlineLevel="0" collapsed="false">
      <c r="A470" s="14" t="n">
        <v>469</v>
      </c>
      <c r="B470" s="15" t="s">
        <v>370</v>
      </c>
      <c r="C470" s="15" t="s">
        <v>258</v>
      </c>
      <c r="D470" s="16" t="s">
        <v>258</v>
      </c>
      <c r="E470" s="16"/>
      <c r="F470" s="15" t="s">
        <v>426</v>
      </c>
      <c r="G470" s="15" t="s">
        <v>164</v>
      </c>
      <c r="H470" s="15" t="s">
        <v>161</v>
      </c>
      <c r="I470" s="17" t="n">
        <v>1326</v>
      </c>
      <c r="J470" s="16"/>
      <c r="K470" s="15" t="s">
        <v>372</v>
      </c>
      <c r="L470" s="15" t="n">
        <f aca="false">IF(AND(OR(Search!$C$4="",Search!$C$4="All",B470=Search!$C$4),OR(Search!$C$5="",Search!$C$5="All",C470=Search!$C$5),OR(Search!$C$6="",Search!$C$6="All",D470=Search!$C$6),OR(Search!$C$7="",ISNUMBER(SEARCH(Search!$C$7,D470&amp;" "&amp;E470&amp;" "&amp;F470&amp;" "&amp;G470&amp;" "&amp;H470&amp;" "&amp;J470))),OR(Search!$C$8="",ISNUMBER(SEARCH(Search!$C$8,G470)))),1,0)</f>
        <v>1</v>
      </c>
      <c r="M470" s="15" t="n">
        <f aca="false">M469+L470</f>
        <v>469</v>
      </c>
    </row>
    <row r="471" customFormat="false" ht="15" hidden="false" customHeight="false" outlineLevel="0" collapsed="false">
      <c r="A471" s="14" t="n">
        <v>470</v>
      </c>
      <c r="B471" s="15" t="s">
        <v>370</v>
      </c>
      <c r="C471" s="15" t="s">
        <v>258</v>
      </c>
      <c r="D471" s="16" t="s">
        <v>258</v>
      </c>
      <c r="E471" s="16"/>
      <c r="F471" s="15" t="s">
        <v>426</v>
      </c>
      <c r="G471" s="15" t="s">
        <v>163</v>
      </c>
      <c r="H471" s="15" t="s">
        <v>161</v>
      </c>
      <c r="I471" s="17" t="n">
        <v>1739.1</v>
      </c>
      <c r="J471" s="16"/>
      <c r="K471" s="15" t="s">
        <v>372</v>
      </c>
      <c r="L471" s="15" t="n">
        <f aca="false">IF(AND(OR(Search!$C$4="",Search!$C$4="All",B471=Search!$C$4),OR(Search!$C$5="",Search!$C$5="All",C471=Search!$C$5),OR(Search!$C$6="",Search!$C$6="All",D471=Search!$C$6),OR(Search!$C$7="",ISNUMBER(SEARCH(Search!$C$7,D471&amp;" "&amp;E471&amp;" "&amp;F471&amp;" "&amp;G471&amp;" "&amp;H471&amp;" "&amp;J471))),OR(Search!$C$8="",ISNUMBER(SEARCH(Search!$C$8,G471)))),1,0)</f>
        <v>1</v>
      </c>
      <c r="M471" s="15" t="n">
        <f aca="false">M470+L471</f>
        <v>470</v>
      </c>
    </row>
    <row r="472" customFormat="false" ht="15" hidden="false" customHeight="false" outlineLevel="0" collapsed="false">
      <c r="A472" s="14" t="n">
        <v>471</v>
      </c>
      <c r="B472" s="15" t="s">
        <v>370</v>
      </c>
      <c r="C472" s="15" t="s">
        <v>258</v>
      </c>
      <c r="D472" s="16" t="s">
        <v>258</v>
      </c>
      <c r="E472" s="16"/>
      <c r="F472" s="15" t="s">
        <v>426</v>
      </c>
      <c r="G472" s="15" t="s">
        <v>429</v>
      </c>
      <c r="H472" s="15" t="s">
        <v>161</v>
      </c>
      <c r="I472" s="17" t="n">
        <v>1611.6</v>
      </c>
      <c r="J472" s="16"/>
      <c r="K472" s="15" t="s">
        <v>372</v>
      </c>
      <c r="L472" s="15" t="n">
        <f aca="false">IF(AND(OR(Search!$C$4="",Search!$C$4="All",B472=Search!$C$4),OR(Search!$C$5="",Search!$C$5="All",C472=Search!$C$5),OR(Search!$C$6="",Search!$C$6="All",D472=Search!$C$6),OR(Search!$C$7="",ISNUMBER(SEARCH(Search!$C$7,D472&amp;" "&amp;E472&amp;" "&amp;F472&amp;" "&amp;G472&amp;" "&amp;H472&amp;" "&amp;J472))),OR(Search!$C$8="",ISNUMBER(SEARCH(Search!$C$8,G472)))),1,0)</f>
        <v>1</v>
      </c>
      <c r="M472" s="15" t="n">
        <f aca="false">M471+L472</f>
        <v>471</v>
      </c>
    </row>
    <row r="473" customFormat="false" ht="15" hidden="false" customHeight="false" outlineLevel="0" collapsed="false">
      <c r="A473" s="14" t="n">
        <v>472</v>
      </c>
      <c r="B473" s="15" t="s">
        <v>370</v>
      </c>
      <c r="C473" s="15" t="s">
        <v>258</v>
      </c>
      <c r="D473" s="16" t="s">
        <v>258</v>
      </c>
      <c r="E473" s="16"/>
      <c r="F473" s="15" t="s">
        <v>426</v>
      </c>
      <c r="G473" s="15" t="s">
        <v>430</v>
      </c>
      <c r="H473" s="15" t="s">
        <v>161</v>
      </c>
      <c r="I473" s="17" t="n">
        <v>1055.7</v>
      </c>
      <c r="J473" s="16"/>
      <c r="K473" s="15" t="s">
        <v>372</v>
      </c>
      <c r="L473" s="15" t="n">
        <f aca="false">IF(AND(OR(Search!$C$4="",Search!$C$4="All",B473=Search!$C$4),OR(Search!$C$5="",Search!$C$5="All",C473=Search!$C$5),OR(Search!$C$6="",Search!$C$6="All",D473=Search!$C$6),OR(Search!$C$7="",ISNUMBER(SEARCH(Search!$C$7,D473&amp;" "&amp;E473&amp;" "&amp;F473&amp;" "&amp;G473&amp;" "&amp;H473&amp;" "&amp;J473))),OR(Search!$C$8="",ISNUMBER(SEARCH(Search!$C$8,G473)))),1,0)</f>
        <v>1</v>
      </c>
      <c r="M473" s="15" t="n">
        <f aca="false">M472+L473</f>
        <v>472</v>
      </c>
    </row>
    <row r="474" customFormat="false" ht="15" hidden="false" customHeight="false" outlineLevel="0" collapsed="false">
      <c r="A474" s="14" t="n">
        <v>473</v>
      </c>
      <c r="B474" s="15" t="s">
        <v>370</v>
      </c>
      <c r="C474" s="15" t="s">
        <v>258</v>
      </c>
      <c r="D474" s="16" t="s">
        <v>258</v>
      </c>
      <c r="E474" s="16"/>
      <c r="F474" s="15" t="s">
        <v>426</v>
      </c>
      <c r="G474" s="15" t="s">
        <v>431</v>
      </c>
      <c r="H474" s="15" t="s">
        <v>161</v>
      </c>
      <c r="I474" s="17" t="n">
        <v>1111.8</v>
      </c>
      <c r="J474" s="16"/>
      <c r="K474" s="15" t="s">
        <v>372</v>
      </c>
      <c r="L474" s="15" t="n">
        <f aca="false">IF(AND(OR(Search!$C$4="",Search!$C$4="All",B474=Search!$C$4),OR(Search!$C$5="",Search!$C$5="All",C474=Search!$C$5),OR(Search!$C$6="",Search!$C$6="All",D474=Search!$C$6),OR(Search!$C$7="",ISNUMBER(SEARCH(Search!$C$7,D474&amp;" "&amp;E474&amp;" "&amp;F474&amp;" "&amp;G474&amp;" "&amp;H474&amp;" "&amp;J474))),OR(Search!$C$8="",ISNUMBER(SEARCH(Search!$C$8,G474)))),1,0)</f>
        <v>1</v>
      </c>
      <c r="M474" s="15" t="n">
        <f aca="false">M473+L474</f>
        <v>473</v>
      </c>
    </row>
    <row r="475" customFormat="false" ht="15" hidden="false" customHeight="false" outlineLevel="0" collapsed="false">
      <c r="A475" s="14" t="n">
        <v>474</v>
      </c>
      <c r="B475" s="15" t="s">
        <v>370</v>
      </c>
      <c r="C475" s="15" t="s">
        <v>258</v>
      </c>
      <c r="D475" s="16" t="s">
        <v>258</v>
      </c>
      <c r="E475" s="16"/>
      <c r="F475" s="15" t="s">
        <v>432</v>
      </c>
      <c r="G475" s="15" t="s">
        <v>427</v>
      </c>
      <c r="H475" s="15" t="s">
        <v>161</v>
      </c>
      <c r="I475" s="17" t="n">
        <v>117.3</v>
      </c>
      <c r="J475" s="16"/>
      <c r="K475" s="15" t="s">
        <v>372</v>
      </c>
      <c r="L475" s="15" t="n">
        <f aca="false">IF(AND(OR(Search!$C$4="",Search!$C$4="All",B475=Search!$C$4),OR(Search!$C$5="",Search!$C$5="All",C475=Search!$C$5),OR(Search!$C$6="",Search!$C$6="All",D475=Search!$C$6),OR(Search!$C$7="",ISNUMBER(SEARCH(Search!$C$7,D475&amp;" "&amp;E475&amp;" "&amp;F475&amp;" "&amp;G475&amp;" "&amp;H475&amp;" "&amp;J475))),OR(Search!$C$8="",ISNUMBER(SEARCH(Search!$C$8,G475)))),1,0)</f>
        <v>1</v>
      </c>
      <c r="M475" s="15" t="n">
        <f aca="false">M474+L475</f>
        <v>474</v>
      </c>
    </row>
    <row r="476" customFormat="false" ht="15" hidden="false" customHeight="false" outlineLevel="0" collapsed="false">
      <c r="A476" s="14" t="n">
        <v>475</v>
      </c>
      <c r="B476" s="15" t="s">
        <v>370</v>
      </c>
      <c r="C476" s="15" t="s">
        <v>258</v>
      </c>
      <c r="D476" s="16" t="s">
        <v>258</v>
      </c>
      <c r="E476" s="16"/>
      <c r="F476" s="15" t="s">
        <v>432</v>
      </c>
      <c r="G476" s="15" t="s">
        <v>428</v>
      </c>
      <c r="H476" s="15" t="s">
        <v>161</v>
      </c>
      <c r="I476" s="17" t="n">
        <v>138.72</v>
      </c>
      <c r="J476" s="16"/>
      <c r="K476" s="15" t="s">
        <v>372</v>
      </c>
      <c r="L476" s="15" t="n">
        <f aca="false">IF(AND(OR(Search!$C$4="",Search!$C$4="All",B476=Search!$C$4),OR(Search!$C$5="",Search!$C$5="All",C476=Search!$C$5),OR(Search!$C$6="",Search!$C$6="All",D476=Search!$C$6),OR(Search!$C$7="",ISNUMBER(SEARCH(Search!$C$7,D476&amp;" "&amp;E476&amp;" "&amp;F476&amp;" "&amp;G476&amp;" "&amp;H476&amp;" "&amp;J476))),OR(Search!$C$8="",ISNUMBER(SEARCH(Search!$C$8,G476)))),1,0)</f>
        <v>1</v>
      </c>
      <c r="M476" s="15" t="n">
        <f aca="false">M475+L476</f>
        <v>475</v>
      </c>
    </row>
    <row r="477" customFormat="false" ht="15" hidden="false" customHeight="false" outlineLevel="0" collapsed="false">
      <c r="A477" s="14" t="n">
        <v>476</v>
      </c>
      <c r="B477" s="15" t="s">
        <v>370</v>
      </c>
      <c r="C477" s="15" t="s">
        <v>258</v>
      </c>
      <c r="D477" s="16" t="s">
        <v>258</v>
      </c>
      <c r="E477" s="16"/>
      <c r="F477" s="15" t="s">
        <v>432</v>
      </c>
      <c r="G477" s="15" t="s">
        <v>164</v>
      </c>
      <c r="H477" s="15" t="s">
        <v>161</v>
      </c>
      <c r="I477" s="17" t="n">
        <v>918</v>
      </c>
      <c r="J477" s="16"/>
      <c r="K477" s="15" t="s">
        <v>372</v>
      </c>
      <c r="L477" s="15" t="n">
        <f aca="false">IF(AND(OR(Search!$C$4="",Search!$C$4="All",B477=Search!$C$4),OR(Search!$C$5="",Search!$C$5="All",C477=Search!$C$5),OR(Search!$C$6="",Search!$C$6="All",D477=Search!$C$6),OR(Search!$C$7="",ISNUMBER(SEARCH(Search!$C$7,D477&amp;" "&amp;E477&amp;" "&amp;F477&amp;" "&amp;G477&amp;" "&amp;H477&amp;" "&amp;J477))),OR(Search!$C$8="",ISNUMBER(SEARCH(Search!$C$8,G477)))),1,0)</f>
        <v>1</v>
      </c>
      <c r="M477" s="15" t="n">
        <f aca="false">M476+L477</f>
        <v>476</v>
      </c>
    </row>
    <row r="478" customFormat="false" ht="15" hidden="false" customHeight="false" outlineLevel="0" collapsed="false">
      <c r="A478" s="14" t="n">
        <v>477</v>
      </c>
      <c r="B478" s="15" t="s">
        <v>370</v>
      </c>
      <c r="C478" s="15" t="s">
        <v>258</v>
      </c>
      <c r="D478" s="16" t="s">
        <v>258</v>
      </c>
      <c r="E478" s="16"/>
      <c r="F478" s="15" t="s">
        <v>432</v>
      </c>
      <c r="G478" s="15" t="s">
        <v>163</v>
      </c>
      <c r="H478" s="15" t="s">
        <v>161</v>
      </c>
      <c r="I478" s="17" t="n">
        <v>1224</v>
      </c>
      <c r="J478" s="16"/>
      <c r="K478" s="15" t="s">
        <v>372</v>
      </c>
      <c r="L478" s="15" t="n">
        <f aca="false">IF(AND(OR(Search!$C$4="",Search!$C$4="All",B478=Search!$C$4),OR(Search!$C$5="",Search!$C$5="All",C478=Search!$C$5),OR(Search!$C$6="",Search!$C$6="All",D478=Search!$C$6),OR(Search!$C$7="",ISNUMBER(SEARCH(Search!$C$7,D478&amp;" "&amp;E478&amp;" "&amp;F478&amp;" "&amp;G478&amp;" "&amp;H478&amp;" "&amp;J478))),OR(Search!$C$8="",ISNUMBER(SEARCH(Search!$C$8,G478)))),1,0)</f>
        <v>1</v>
      </c>
      <c r="M478" s="15" t="n">
        <f aca="false">M477+L478</f>
        <v>477</v>
      </c>
    </row>
    <row r="479" customFormat="false" ht="15" hidden="false" customHeight="false" outlineLevel="0" collapsed="false">
      <c r="A479" s="14" t="n">
        <v>478</v>
      </c>
      <c r="B479" s="15" t="s">
        <v>370</v>
      </c>
      <c r="C479" s="15" t="s">
        <v>258</v>
      </c>
      <c r="D479" s="16" t="s">
        <v>433</v>
      </c>
      <c r="E479" s="16"/>
      <c r="F479" s="15" t="s">
        <v>434</v>
      </c>
      <c r="G479" s="15" t="s">
        <v>427</v>
      </c>
      <c r="H479" s="15" t="s">
        <v>161</v>
      </c>
      <c r="I479" s="17" t="n">
        <v>137.7</v>
      </c>
      <c r="J479" s="16"/>
      <c r="K479" s="15" t="s">
        <v>372</v>
      </c>
      <c r="L479" s="15" t="n">
        <f aca="false">IF(AND(OR(Search!$C$4="",Search!$C$4="All",B479=Search!$C$4),OR(Search!$C$5="",Search!$C$5="All",C479=Search!$C$5),OR(Search!$C$6="",Search!$C$6="All",D479=Search!$C$6),OR(Search!$C$7="",ISNUMBER(SEARCH(Search!$C$7,D479&amp;" "&amp;E479&amp;" "&amp;F479&amp;" "&amp;G479&amp;" "&amp;H479&amp;" "&amp;J479))),OR(Search!$C$8="",ISNUMBER(SEARCH(Search!$C$8,G479)))),1,0)</f>
        <v>1</v>
      </c>
      <c r="M479" s="15" t="n">
        <f aca="false">M478+L479</f>
        <v>478</v>
      </c>
    </row>
    <row r="480" customFormat="false" ht="15" hidden="false" customHeight="false" outlineLevel="0" collapsed="false">
      <c r="A480" s="14" t="n">
        <v>479</v>
      </c>
      <c r="B480" s="15" t="s">
        <v>370</v>
      </c>
      <c r="C480" s="15" t="s">
        <v>258</v>
      </c>
      <c r="D480" s="16" t="s">
        <v>433</v>
      </c>
      <c r="E480" s="16"/>
      <c r="F480" s="15" t="s">
        <v>434</v>
      </c>
      <c r="G480" s="15" t="s">
        <v>428</v>
      </c>
      <c r="H480" s="15" t="s">
        <v>161</v>
      </c>
      <c r="I480" s="17" t="n">
        <v>147.9</v>
      </c>
      <c r="J480" s="16"/>
      <c r="K480" s="15" t="s">
        <v>372</v>
      </c>
      <c r="L480" s="15" t="n">
        <f aca="false">IF(AND(OR(Search!$C$4="",Search!$C$4="All",B480=Search!$C$4),OR(Search!$C$5="",Search!$C$5="All",C480=Search!$C$5),OR(Search!$C$6="",Search!$C$6="All",D480=Search!$C$6),OR(Search!$C$7="",ISNUMBER(SEARCH(Search!$C$7,D480&amp;" "&amp;E480&amp;" "&amp;F480&amp;" "&amp;G480&amp;" "&amp;H480&amp;" "&amp;J480))),OR(Search!$C$8="",ISNUMBER(SEARCH(Search!$C$8,G480)))),1,0)</f>
        <v>1</v>
      </c>
      <c r="M480" s="15" t="n">
        <f aca="false">M479+L480</f>
        <v>479</v>
      </c>
    </row>
    <row r="481" customFormat="false" ht="15" hidden="false" customHeight="false" outlineLevel="0" collapsed="false">
      <c r="A481" s="14" t="n">
        <v>480</v>
      </c>
      <c r="B481" s="15" t="s">
        <v>370</v>
      </c>
      <c r="C481" s="15" t="s">
        <v>258</v>
      </c>
      <c r="D481" s="16" t="s">
        <v>433</v>
      </c>
      <c r="E481" s="16"/>
      <c r="F481" s="15" t="s">
        <v>434</v>
      </c>
      <c r="G481" s="15" t="s">
        <v>164</v>
      </c>
      <c r="H481" s="15" t="s">
        <v>161</v>
      </c>
      <c r="I481" s="17" t="n">
        <v>1071</v>
      </c>
      <c r="J481" s="16"/>
      <c r="K481" s="15" t="s">
        <v>372</v>
      </c>
      <c r="L481" s="15" t="n">
        <f aca="false">IF(AND(OR(Search!$C$4="",Search!$C$4="All",B481=Search!$C$4),OR(Search!$C$5="",Search!$C$5="All",C481=Search!$C$5),OR(Search!$C$6="",Search!$C$6="All",D481=Search!$C$6),OR(Search!$C$7="",ISNUMBER(SEARCH(Search!$C$7,D481&amp;" "&amp;E481&amp;" "&amp;F481&amp;" "&amp;G481&amp;" "&amp;H481&amp;" "&amp;J481))),OR(Search!$C$8="",ISNUMBER(SEARCH(Search!$C$8,G481)))),1,0)</f>
        <v>1</v>
      </c>
      <c r="M481" s="15" t="n">
        <f aca="false">M480+L481</f>
        <v>480</v>
      </c>
    </row>
    <row r="482" customFormat="false" ht="15" hidden="false" customHeight="false" outlineLevel="0" collapsed="false">
      <c r="A482" s="14" t="n">
        <v>481</v>
      </c>
      <c r="B482" s="15" t="s">
        <v>370</v>
      </c>
      <c r="C482" s="15" t="s">
        <v>258</v>
      </c>
      <c r="D482" s="16" t="s">
        <v>433</v>
      </c>
      <c r="E482" s="16"/>
      <c r="F482" s="15" t="s">
        <v>434</v>
      </c>
      <c r="G482" s="15" t="s">
        <v>163</v>
      </c>
      <c r="H482" s="15" t="s">
        <v>161</v>
      </c>
      <c r="I482" s="17" t="n">
        <v>1264.8</v>
      </c>
      <c r="J482" s="16"/>
      <c r="K482" s="15" t="s">
        <v>372</v>
      </c>
      <c r="L482" s="15" t="n">
        <f aca="false">IF(AND(OR(Search!$C$4="",Search!$C$4="All",B482=Search!$C$4),OR(Search!$C$5="",Search!$C$5="All",C482=Search!$C$5),OR(Search!$C$6="",Search!$C$6="All",D482=Search!$C$6),OR(Search!$C$7="",ISNUMBER(SEARCH(Search!$C$7,D482&amp;" "&amp;E482&amp;" "&amp;F482&amp;" "&amp;G482&amp;" "&amp;H482&amp;" "&amp;J482))),OR(Search!$C$8="",ISNUMBER(SEARCH(Search!$C$8,G482)))),1,0)</f>
        <v>1</v>
      </c>
      <c r="M482" s="15" t="n">
        <f aca="false">M481+L482</f>
        <v>481</v>
      </c>
    </row>
    <row r="483" customFormat="false" ht="15" hidden="false" customHeight="false" outlineLevel="0" collapsed="false">
      <c r="A483" s="14" t="n">
        <v>482</v>
      </c>
      <c r="B483" s="15" t="s">
        <v>370</v>
      </c>
      <c r="C483" s="15" t="s">
        <v>258</v>
      </c>
      <c r="D483" s="16" t="s">
        <v>433</v>
      </c>
      <c r="E483" s="16"/>
      <c r="F483" s="15" t="s">
        <v>435</v>
      </c>
      <c r="G483" s="15" t="s">
        <v>427</v>
      </c>
      <c r="H483" s="15" t="s">
        <v>161</v>
      </c>
      <c r="I483" s="17" t="n">
        <v>122.4</v>
      </c>
      <c r="J483" s="16"/>
      <c r="K483" s="15" t="s">
        <v>372</v>
      </c>
      <c r="L483" s="15" t="n">
        <f aca="false">IF(AND(OR(Search!$C$4="",Search!$C$4="All",B483=Search!$C$4),OR(Search!$C$5="",Search!$C$5="All",C483=Search!$C$5),OR(Search!$C$6="",Search!$C$6="All",D483=Search!$C$6),OR(Search!$C$7="",ISNUMBER(SEARCH(Search!$C$7,D483&amp;" "&amp;E483&amp;" "&amp;F483&amp;" "&amp;G483&amp;" "&amp;H483&amp;" "&amp;J483))),OR(Search!$C$8="",ISNUMBER(SEARCH(Search!$C$8,G483)))),1,0)</f>
        <v>1</v>
      </c>
      <c r="M483" s="15" t="n">
        <f aca="false">M482+L483</f>
        <v>482</v>
      </c>
    </row>
    <row r="484" customFormat="false" ht="15" hidden="false" customHeight="false" outlineLevel="0" collapsed="false">
      <c r="A484" s="14" t="n">
        <v>483</v>
      </c>
      <c r="B484" s="15" t="s">
        <v>370</v>
      </c>
      <c r="C484" s="15" t="s">
        <v>258</v>
      </c>
      <c r="D484" s="16" t="s">
        <v>433</v>
      </c>
      <c r="E484" s="16"/>
      <c r="F484" s="15" t="s">
        <v>435</v>
      </c>
      <c r="G484" s="15" t="s">
        <v>428</v>
      </c>
      <c r="H484" s="15" t="s">
        <v>161</v>
      </c>
      <c r="I484" s="17" t="n">
        <v>144.84</v>
      </c>
      <c r="J484" s="16"/>
      <c r="K484" s="15" t="s">
        <v>372</v>
      </c>
      <c r="L484" s="15" t="n">
        <f aca="false">IF(AND(OR(Search!$C$4="",Search!$C$4="All",B484=Search!$C$4),OR(Search!$C$5="",Search!$C$5="All",C484=Search!$C$5),OR(Search!$C$6="",Search!$C$6="All",D484=Search!$C$6),OR(Search!$C$7="",ISNUMBER(SEARCH(Search!$C$7,D484&amp;" "&amp;E484&amp;" "&amp;F484&amp;" "&amp;G484&amp;" "&amp;H484&amp;" "&amp;J484))),OR(Search!$C$8="",ISNUMBER(SEARCH(Search!$C$8,G484)))),1,0)</f>
        <v>1</v>
      </c>
      <c r="M484" s="15" t="n">
        <f aca="false">M483+L484</f>
        <v>483</v>
      </c>
    </row>
    <row r="485" customFormat="false" ht="15" hidden="false" customHeight="false" outlineLevel="0" collapsed="false">
      <c r="A485" s="14" t="n">
        <v>484</v>
      </c>
      <c r="B485" s="15" t="s">
        <v>370</v>
      </c>
      <c r="C485" s="15" t="s">
        <v>258</v>
      </c>
      <c r="D485" s="16" t="s">
        <v>433</v>
      </c>
      <c r="E485" s="16"/>
      <c r="F485" s="15" t="s">
        <v>435</v>
      </c>
      <c r="G485" s="15" t="s">
        <v>164</v>
      </c>
      <c r="H485" s="15" t="s">
        <v>161</v>
      </c>
      <c r="I485" s="17" t="n">
        <v>948.6</v>
      </c>
      <c r="J485" s="16"/>
      <c r="K485" s="15" t="s">
        <v>372</v>
      </c>
      <c r="L485" s="15" t="n">
        <f aca="false">IF(AND(OR(Search!$C$4="",Search!$C$4="All",B485=Search!$C$4),OR(Search!$C$5="",Search!$C$5="All",C485=Search!$C$5),OR(Search!$C$6="",Search!$C$6="All",D485=Search!$C$6),OR(Search!$C$7="",ISNUMBER(SEARCH(Search!$C$7,D485&amp;" "&amp;E485&amp;" "&amp;F485&amp;" "&amp;G485&amp;" "&amp;H485&amp;" "&amp;J485))),OR(Search!$C$8="",ISNUMBER(SEARCH(Search!$C$8,G485)))),1,0)</f>
        <v>1</v>
      </c>
      <c r="M485" s="15" t="n">
        <f aca="false">M484+L485</f>
        <v>484</v>
      </c>
    </row>
    <row r="486" customFormat="false" ht="15" hidden="false" customHeight="false" outlineLevel="0" collapsed="false">
      <c r="A486" s="14" t="n">
        <v>485</v>
      </c>
      <c r="B486" s="15" t="s">
        <v>370</v>
      </c>
      <c r="C486" s="15" t="s">
        <v>258</v>
      </c>
      <c r="D486" s="16" t="s">
        <v>433</v>
      </c>
      <c r="E486" s="16"/>
      <c r="F486" s="15" t="s">
        <v>435</v>
      </c>
      <c r="G486" s="15" t="s">
        <v>163</v>
      </c>
      <c r="H486" s="15" t="s">
        <v>161</v>
      </c>
      <c r="I486" s="17" t="n">
        <v>1205.6</v>
      </c>
      <c r="J486" s="16"/>
      <c r="K486" s="15" t="s">
        <v>372</v>
      </c>
      <c r="L486" s="15" t="n">
        <f aca="false">IF(AND(OR(Search!$C$4="",Search!$C$4="All",B486=Search!$C$4),OR(Search!$C$5="",Search!$C$5="All",C486=Search!$C$5),OR(Search!$C$6="",Search!$C$6="All",D486=Search!$C$6),OR(Search!$C$7="",ISNUMBER(SEARCH(Search!$C$7,D486&amp;" "&amp;E486&amp;" "&amp;F486&amp;" "&amp;G486&amp;" "&amp;H486&amp;" "&amp;J486))),OR(Search!$C$8="",ISNUMBER(SEARCH(Search!$C$8,G486)))),1,0)</f>
        <v>1</v>
      </c>
      <c r="M486" s="15" t="n">
        <f aca="false">M485+L486</f>
        <v>485</v>
      </c>
    </row>
    <row r="487" customFormat="false" ht="15" hidden="false" customHeight="false" outlineLevel="0" collapsed="false">
      <c r="A487" s="14" t="n">
        <v>486</v>
      </c>
      <c r="B487" s="15" t="s">
        <v>370</v>
      </c>
      <c r="C487" s="15" t="s">
        <v>258</v>
      </c>
      <c r="D487" s="16" t="s">
        <v>433</v>
      </c>
      <c r="E487" s="16"/>
      <c r="F487" s="15" t="s">
        <v>435</v>
      </c>
      <c r="G487" s="15" t="s">
        <v>429</v>
      </c>
      <c r="H487" s="15" t="s">
        <v>161</v>
      </c>
      <c r="I487" s="17" t="n">
        <v>1091.4</v>
      </c>
      <c r="J487" s="16"/>
      <c r="K487" s="15" t="s">
        <v>372</v>
      </c>
      <c r="L487" s="15" t="n">
        <f aca="false">IF(AND(OR(Search!$C$4="",Search!$C$4="All",B487=Search!$C$4),OR(Search!$C$5="",Search!$C$5="All",C487=Search!$C$5),OR(Search!$C$6="",Search!$C$6="All",D487=Search!$C$6),OR(Search!$C$7="",ISNUMBER(SEARCH(Search!$C$7,D487&amp;" "&amp;E487&amp;" "&amp;F487&amp;" "&amp;G487&amp;" "&amp;H487&amp;" "&amp;J487))),OR(Search!$C$8="",ISNUMBER(SEARCH(Search!$C$8,G487)))),1,0)</f>
        <v>1</v>
      </c>
      <c r="M487" s="15" t="n">
        <f aca="false">M486+L487</f>
        <v>486</v>
      </c>
    </row>
    <row r="488" customFormat="false" ht="15" hidden="false" customHeight="false" outlineLevel="0" collapsed="false">
      <c r="A488" s="14" t="n">
        <v>487</v>
      </c>
      <c r="B488" s="15" t="s">
        <v>370</v>
      </c>
      <c r="C488" s="15" t="s">
        <v>258</v>
      </c>
      <c r="D488" s="16" t="s">
        <v>433</v>
      </c>
      <c r="E488" s="16"/>
      <c r="F488" s="15" t="s">
        <v>436</v>
      </c>
      <c r="G488" s="15" t="s">
        <v>427</v>
      </c>
      <c r="H488" s="15" t="s">
        <v>161</v>
      </c>
      <c r="I488" s="17" t="n">
        <v>119.34</v>
      </c>
      <c r="J488" s="16"/>
      <c r="K488" s="15" t="s">
        <v>372</v>
      </c>
      <c r="L488" s="15" t="n">
        <f aca="false">IF(AND(OR(Search!$C$4="",Search!$C$4="All",B488=Search!$C$4),OR(Search!$C$5="",Search!$C$5="All",C488=Search!$C$5),OR(Search!$C$6="",Search!$C$6="All",D488=Search!$C$6),OR(Search!$C$7="",ISNUMBER(SEARCH(Search!$C$7,D488&amp;" "&amp;E488&amp;" "&amp;F488&amp;" "&amp;G488&amp;" "&amp;H488&amp;" "&amp;J488))),OR(Search!$C$8="",ISNUMBER(SEARCH(Search!$C$8,G488)))),1,0)</f>
        <v>1</v>
      </c>
      <c r="M488" s="15" t="n">
        <f aca="false">M487+L488</f>
        <v>487</v>
      </c>
    </row>
    <row r="489" customFormat="false" ht="15" hidden="false" customHeight="false" outlineLevel="0" collapsed="false">
      <c r="A489" s="14" t="n">
        <v>488</v>
      </c>
      <c r="B489" s="15" t="s">
        <v>370</v>
      </c>
      <c r="C489" s="15" t="s">
        <v>258</v>
      </c>
      <c r="D489" s="16" t="s">
        <v>433</v>
      </c>
      <c r="E489" s="16"/>
      <c r="F489" s="15" t="s">
        <v>436</v>
      </c>
      <c r="G489" s="15" t="s">
        <v>428</v>
      </c>
      <c r="H489" s="15" t="s">
        <v>161</v>
      </c>
      <c r="I489" s="17" t="n">
        <v>132.6</v>
      </c>
      <c r="J489" s="16"/>
      <c r="K489" s="15" t="s">
        <v>372</v>
      </c>
      <c r="L489" s="15" t="n">
        <f aca="false">IF(AND(OR(Search!$C$4="",Search!$C$4="All",B489=Search!$C$4),OR(Search!$C$5="",Search!$C$5="All",C489=Search!$C$5),OR(Search!$C$6="",Search!$C$6="All",D489=Search!$C$6),OR(Search!$C$7="",ISNUMBER(SEARCH(Search!$C$7,D489&amp;" "&amp;E489&amp;" "&amp;F489&amp;" "&amp;G489&amp;" "&amp;H489&amp;" "&amp;J489))),OR(Search!$C$8="",ISNUMBER(SEARCH(Search!$C$8,G489)))),1,0)</f>
        <v>1</v>
      </c>
      <c r="M489" s="15" t="n">
        <f aca="false">M488+L489</f>
        <v>488</v>
      </c>
    </row>
    <row r="490" customFormat="false" ht="15" hidden="false" customHeight="false" outlineLevel="0" collapsed="false">
      <c r="A490" s="14" t="n">
        <v>489</v>
      </c>
      <c r="B490" s="15" t="s">
        <v>370</v>
      </c>
      <c r="C490" s="15" t="s">
        <v>258</v>
      </c>
      <c r="D490" s="16" t="s">
        <v>433</v>
      </c>
      <c r="E490" s="16"/>
      <c r="F490" s="15" t="s">
        <v>436</v>
      </c>
      <c r="G490" s="15" t="s">
        <v>164</v>
      </c>
      <c r="H490" s="15" t="s">
        <v>161</v>
      </c>
      <c r="I490" s="17" t="n">
        <v>969</v>
      </c>
      <c r="J490" s="16"/>
      <c r="K490" s="15" t="s">
        <v>372</v>
      </c>
      <c r="L490" s="15" t="n">
        <f aca="false">IF(AND(OR(Search!$C$4="",Search!$C$4="All",B490=Search!$C$4),OR(Search!$C$5="",Search!$C$5="All",C490=Search!$C$5),OR(Search!$C$6="",Search!$C$6="All",D490=Search!$C$6),OR(Search!$C$7="",ISNUMBER(SEARCH(Search!$C$7,D490&amp;" "&amp;E490&amp;" "&amp;F490&amp;" "&amp;G490&amp;" "&amp;H490&amp;" "&amp;J490))),OR(Search!$C$8="",ISNUMBER(SEARCH(Search!$C$8,G490)))),1,0)</f>
        <v>1</v>
      </c>
      <c r="M490" s="15" t="n">
        <f aca="false">M489+L490</f>
        <v>489</v>
      </c>
    </row>
    <row r="491" customFormat="false" ht="15" hidden="false" customHeight="false" outlineLevel="0" collapsed="false">
      <c r="A491" s="14" t="n">
        <v>490</v>
      </c>
      <c r="B491" s="15" t="s">
        <v>370</v>
      </c>
      <c r="C491" s="15" t="s">
        <v>258</v>
      </c>
      <c r="D491" s="16" t="s">
        <v>433</v>
      </c>
      <c r="E491" s="16"/>
      <c r="F491" s="15" t="s">
        <v>436</v>
      </c>
      <c r="G491" s="15" t="s">
        <v>163</v>
      </c>
      <c r="H491" s="15" t="s">
        <v>161</v>
      </c>
      <c r="I491" s="17" t="n">
        <v>1071</v>
      </c>
      <c r="J491" s="16"/>
      <c r="K491" s="15" t="s">
        <v>372</v>
      </c>
      <c r="L491" s="15" t="n">
        <f aca="false">IF(AND(OR(Search!$C$4="",Search!$C$4="All",B491=Search!$C$4),OR(Search!$C$5="",Search!$C$5="All",C491=Search!$C$5),OR(Search!$C$6="",Search!$C$6="All",D491=Search!$C$6),OR(Search!$C$7="",ISNUMBER(SEARCH(Search!$C$7,D491&amp;" "&amp;E491&amp;" "&amp;F491&amp;" "&amp;G491&amp;" "&amp;H491&amp;" "&amp;J491))),OR(Search!$C$8="",ISNUMBER(SEARCH(Search!$C$8,G491)))),1,0)</f>
        <v>1</v>
      </c>
      <c r="M491" s="15" t="n">
        <f aca="false">M490+L491</f>
        <v>490</v>
      </c>
    </row>
    <row r="492" customFormat="false" ht="15" hidden="false" customHeight="false" outlineLevel="0" collapsed="false">
      <c r="A492" s="14" t="n">
        <v>491</v>
      </c>
      <c r="B492" s="15" t="s">
        <v>370</v>
      </c>
      <c r="C492" s="15" t="s">
        <v>258</v>
      </c>
      <c r="D492" s="16" t="s">
        <v>433</v>
      </c>
      <c r="E492" s="16"/>
      <c r="F492" s="15" t="s">
        <v>437</v>
      </c>
      <c r="G492" s="15" t="s">
        <v>427</v>
      </c>
      <c r="H492" s="15" t="s">
        <v>161</v>
      </c>
      <c r="I492" s="17" t="n">
        <v>114.24</v>
      </c>
      <c r="J492" s="16"/>
      <c r="K492" s="15" t="s">
        <v>372</v>
      </c>
      <c r="L492" s="15" t="n">
        <f aca="false">IF(AND(OR(Search!$C$4="",Search!$C$4="All",B492=Search!$C$4),OR(Search!$C$5="",Search!$C$5="All",C492=Search!$C$5),OR(Search!$C$6="",Search!$C$6="All",D492=Search!$C$6),OR(Search!$C$7="",ISNUMBER(SEARCH(Search!$C$7,D492&amp;" "&amp;E492&amp;" "&amp;F492&amp;" "&amp;G492&amp;" "&amp;H492&amp;" "&amp;J492))),OR(Search!$C$8="",ISNUMBER(SEARCH(Search!$C$8,G492)))),1,0)</f>
        <v>1</v>
      </c>
      <c r="M492" s="15" t="n">
        <f aca="false">M491+L492</f>
        <v>491</v>
      </c>
    </row>
    <row r="493" customFormat="false" ht="15" hidden="false" customHeight="false" outlineLevel="0" collapsed="false">
      <c r="A493" s="14" t="n">
        <v>492</v>
      </c>
      <c r="B493" s="15" t="s">
        <v>370</v>
      </c>
      <c r="C493" s="15" t="s">
        <v>258</v>
      </c>
      <c r="D493" s="16" t="s">
        <v>433</v>
      </c>
      <c r="E493" s="16"/>
      <c r="F493" s="15" t="s">
        <v>437</v>
      </c>
      <c r="G493" s="15" t="s">
        <v>428</v>
      </c>
      <c r="H493" s="15" t="s">
        <v>161</v>
      </c>
      <c r="I493" s="17" t="n">
        <v>122.4</v>
      </c>
      <c r="J493" s="16"/>
      <c r="K493" s="15" t="s">
        <v>372</v>
      </c>
      <c r="L493" s="15" t="n">
        <f aca="false">IF(AND(OR(Search!$C$4="",Search!$C$4="All",B493=Search!$C$4),OR(Search!$C$5="",Search!$C$5="All",C493=Search!$C$5),OR(Search!$C$6="",Search!$C$6="All",D493=Search!$C$6),OR(Search!$C$7="",ISNUMBER(SEARCH(Search!$C$7,D493&amp;" "&amp;E493&amp;" "&amp;F493&amp;" "&amp;G493&amp;" "&amp;H493&amp;" "&amp;J493))),OR(Search!$C$8="",ISNUMBER(SEARCH(Search!$C$8,G493)))),1,0)</f>
        <v>1</v>
      </c>
      <c r="M493" s="15" t="n">
        <f aca="false">M492+L493</f>
        <v>492</v>
      </c>
    </row>
    <row r="494" customFormat="false" ht="15" hidden="false" customHeight="false" outlineLevel="0" collapsed="false">
      <c r="A494" s="14" t="n">
        <v>493</v>
      </c>
      <c r="B494" s="15" t="s">
        <v>370</v>
      </c>
      <c r="C494" s="15" t="s">
        <v>258</v>
      </c>
      <c r="D494" s="16" t="s">
        <v>433</v>
      </c>
      <c r="E494" s="16"/>
      <c r="F494" s="15" t="s">
        <v>437</v>
      </c>
      <c r="G494" s="15" t="s">
        <v>164</v>
      </c>
      <c r="H494" s="15" t="s">
        <v>161</v>
      </c>
      <c r="I494" s="17" t="n">
        <v>938.4</v>
      </c>
      <c r="J494" s="16"/>
      <c r="K494" s="15" t="s">
        <v>372</v>
      </c>
      <c r="L494" s="15" t="n">
        <f aca="false">IF(AND(OR(Search!$C$4="",Search!$C$4="All",B494=Search!$C$4),OR(Search!$C$5="",Search!$C$5="All",C494=Search!$C$5),OR(Search!$C$6="",Search!$C$6="All",D494=Search!$C$6),OR(Search!$C$7="",ISNUMBER(SEARCH(Search!$C$7,D494&amp;" "&amp;E494&amp;" "&amp;F494&amp;" "&amp;G494&amp;" "&amp;H494&amp;" "&amp;J494))),OR(Search!$C$8="",ISNUMBER(SEARCH(Search!$C$8,G494)))),1,0)</f>
        <v>1</v>
      </c>
      <c r="M494" s="15" t="n">
        <f aca="false">M493+L494</f>
        <v>493</v>
      </c>
    </row>
    <row r="495" customFormat="false" ht="15" hidden="false" customHeight="false" outlineLevel="0" collapsed="false">
      <c r="A495" s="14" t="n">
        <v>494</v>
      </c>
      <c r="B495" s="15" t="s">
        <v>370</v>
      </c>
      <c r="C495" s="15" t="s">
        <v>258</v>
      </c>
      <c r="D495" s="16" t="s">
        <v>433</v>
      </c>
      <c r="E495" s="16"/>
      <c r="F495" s="15" t="s">
        <v>437</v>
      </c>
      <c r="G495" s="15" t="s">
        <v>163</v>
      </c>
      <c r="H495" s="15" t="s">
        <v>161</v>
      </c>
      <c r="I495" s="17" t="n">
        <v>1020</v>
      </c>
      <c r="J495" s="16"/>
      <c r="K495" s="15" t="s">
        <v>372</v>
      </c>
      <c r="L495" s="15" t="n">
        <f aca="false">IF(AND(OR(Search!$C$4="",Search!$C$4="All",B495=Search!$C$4),OR(Search!$C$5="",Search!$C$5="All",C495=Search!$C$5),OR(Search!$C$6="",Search!$C$6="All",D495=Search!$C$6),OR(Search!$C$7="",ISNUMBER(SEARCH(Search!$C$7,D495&amp;" "&amp;E495&amp;" "&amp;F495&amp;" "&amp;G495&amp;" "&amp;H495&amp;" "&amp;J495))),OR(Search!$C$8="",ISNUMBER(SEARCH(Search!$C$8,G495)))),1,0)</f>
        <v>1</v>
      </c>
      <c r="M495" s="15" t="n">
        <f aca="false">M494+L495</f>
        <v>494</v>
      </c>
    </row>
    <row r="496" customFormat="false" ht="15" hidden="false" customHeight="false" outlineLevel="0" collapsed="false">
      <c r="A496" s="14" t="n">
        <v>495</v>
      </c>
      <c r="B496" s="15" t="s">
        <v>370</v>
      </c>
      <c r="C496" s="15" t="s">
        <v>258</v>
      </c>
      <c r="D496" s="16" t="s">
        <v>433</v>
      </c>
      <c r="E496" s="16"/>
      <c r="F496" s="15" t="s">
        <v>437</v>
      </c>
      <c r="G496" s="15" t="s">
        <v>429</v>
      </c>
      <c r="H496" s="15" t="s">
        <v>161</v>
      </c>
      <c r="I496" s="17" t="n">
        <v>969</v>
      </c>
      <c r="J496" s="16"/>
      <c r="K496" s="15" t="s">
        <v>372</v>
      </c>
      <c r="L496" s="15" t="n">
        <f aca="false">IF(AND(OR(Search!$C$4="",Search!$C$4="All",B496=Search!$C$4),OR(Search!$C$5="",Search!$C$5="All",C496=Search!$C$5),OR(Search!$C$6="",Search!$C$6="All",D496=Search!$C$6),OR(Search!$C$7="",ISNUMBER(SEARCH(Search!$C$7,D496&amp;" "&amp;E496&amp;" "&amp;F496&amp;" "&amp;G496&amp;" "&amp;H496&amp;" "&amp;J496))),OR(Search!$C$8="",ISNUMBER(SEARCH(Search!$C$8,G496)))),1,0)</f>
        <v>1</v>
      </c>
      <c r="M496" s="15" t="n">
        <f aca="false">M495+L496</f>
        <v>495</v>
      </c>
    </row>
    <row r="497" customFormat="false" ht="15" hidden="false" customHeight="false" outlineLevel="0" collapsed="false">
      <c r="A497" s="14" t="n">
        <v>496</v>
      </c>
      <c r="B497" s="15" t="s">
        <v>370</v>
      </c>
      <c r="C497" s="15" t="s">
        <v>258</v>
      </c>
      <c r="D497" s="16" t="s">
        <v>438</v>
      </c>
      <c r="E497" s="16"/>
      <c r="F497" s="15"/>
      <c r="G497" s="15" t="s">
        <v>427</v>
      </c>
      <c r="H497" s="15" t="s">
        <v>161</v>
      </c>
      <c r="I497" s="17" t="n">
        <v>145.35</v>
      </c>
      <c r="J497" s="16"/>
      <c r="K497" s="15" t="s">
        <v>372</v>
      </c>
      <c r="L497" s="15" t="n">
        <f aca="false">IF(AND(OR(Search!$C$4="",Search!$C$4="All",B497=Search!$C$4),OR(Search!$C$5="",Search!$C$5="All",C497=Search!$C$5),OR(Search!$C$6="",Search!$C$6="All",D497=Search!$C$6),OR(Search!$C$7="",ISNUMBER(SEARCH(Search!$C$7,D497&amp;" "&amp;E497&amp;" "&amp;F497&amp;" "&amp;G497&amp;" "&amp;H497&amp;" "&amp;J497))),OR(Search!$C$8="",ISNUMBER(SEARCH(Search!$C$8,G497)))),1,0)</f>
        <v>1</v>
      </c>
      <c r="M497" s="15" t="n">
        <f aca="false">M496+L497</f>
        <v>496</v>
      </c>
    </row>
    <row r="498" customFormat="false" ht="15" hidden="false" customHeight="false" outlineLevel="0" collapsed="false">
      <c r="A498" s="14" t="n">
        <v>497</v>
      </c>
      <c r="B498" s="15" t="s">
        <v>370</v>
      </c>
      <c r="C498" s="15" t="s">
        <v>258</v>
      </c>
      <c r="D498" s="16" t="s">
        <v>438</v>
      </c>
      <c r="E498" s="16"/>
      <c r="F498" s="15"/>
      <c r="G498" s="15" t="s">
        <v>428</v>
      </c>
      <c r="H498" s="15" t="s">
        <v>161</v>
      </c>
      <c r="I498" s="17" t="n">
        <v>173.4</v>
      </c>
      <c r="J498" s="16"/>
      <c r="K498" s="15" t="s">
        <v>372</v>
      </c>
      <c r="L498" s="15" t="n">
        <f aca="false">IF(AND(OR(Search!$C$4="",Search!$C$4="All",B498=Search!$C$4),OR(Search!$C$5="",Search!$C$5="All",C498=Search!$C$5),OR(Search!$C$6="",Search!$C$6="All",D498=Search!$C$6),OR(Search!$C$7="",ISNUMBER(SEARCH(Search!$C$7,D498&amp;" "&amp;E498&amp;" "&amp;F498&amp;" "&amp;G498&amp;" "&amp;H498&amp;" "&amp;J498))),OR(Search!$C$8="",ISNUMBER(SEARCH(Search!$C$8,G498)))),1,0)</f>
        <v>1</v>
      </c>
      <c r="M498" s="15" t="n">
        <f aca="false">M497+L498</f>
        <v>497</v>
      </c>
    </row>
    <row r="499" customFormat="false" ht="15" hidden="false" customHeight="false" outlineLevel="0" collapsed="false">
      <c r="A499" s="14" t="n">
        <v>498</v>
      </c>
      <c r="B499" s="15" t="s">
        <v>370</v>
      </c>
      <c r="C499" s="15" t="s">
        <v>258</v>
      </c>
      <c r="D499" s="16" t="s">
        <v>438</v>
      </c>
      <c r="E499" s="16"/>
      <c r="F499" s="15"/>
      <c r="G499" s="15" t="s">
        <v>164</v>
      </c>
      <c r="H499" s="15" t="s">
        <v>161</v>
      </c>
      <c r="I499" s="17" t="n">
        <v>1132.2</v>
      </c>
      <c r="J499" s="16"/>
      <c r="K499" s="15" t="s">
        <v>372</v>
      </c>
      <c r="L499" s="15" t="n">
        <f aca="false">IF(AND(OR(Search!$C$4="",Search!$C$4="All",B499=Search!$C$4),OR(Search!$C$5="",Search!$C$5="All",C499=Search!$C$5),OR(Search!$C$6="",Search!$C$6="All",D499=Search!$C$6),OR(Search!$C$7="",ISNUMBER(SEARCH(Search!$C$7,D499&amp;" "&amp;E499&amp;" "&amp;F499&amp;" "&amp;G499&amp;" "&amp;H499&amp;" "&amp;J499))),OR(Search!$C$8="",ISNUMBER(SEARCH(Search!$C$8,G499)))),1,0)</f>
        <v>1</v>
      </c>
      <c r="M499" s="15" t="n">
        <f aca="false">M498+L499</f>
        <v>498</v>
      </c>
    </row>
    <row r="500" customFormat="false" ht="15" hidden="false" customHeight="false" outlineLevel="0" collapsed="false">
      <c r="A500" s="14" t="n">
        <v>499</v>
      </c>
      <c r="B500" s="15" t="s">
        <v>370</v>
      </c>
      <c r="C500" s="15" t="s">
        <v>258</v>
      </c>
      <c r="D500" s="16" t="s">
        <v>438</v>
      </c>
      <c r="E500" s="16"/>
      <c r="F500" s="15"/>
      <c r="G500" s="15" t="s">
        <v>163</v>
      </c>
      <c r="H500" s="15" t="s">
        <v>161</v>
      </c>
      <c r="I500" s="17" t="n">
        <v>1428</v>
      </c>
      <c r="J500" s="16"/>
      <c r="K500" s="15" t="s">
        <v>372</v>
      </c>
      <c r="L500" s="15" t="n">
        <f aca="false">IF(AND(OR(Search!$C$4="",Search!$C$4="All",B500=Search!$C$4),OR(Search!$C$5="",Search!$C$5="All",C500=Search!$C$5),OR(Search!$C$6="",Search!$C$6="All",D500=Search!$C$6),OR(Search!$C$7="",ISNUMBER(SEARCH(Search!$C$7,D500&amp;" "&amp;E500&amp;" "&amp;F500&amp;" "&amp;G500&amp;" "&amp;H500&amp;" "&amp;J500))),OR(Search!$C$8="",ISNUMBER(SEARCH(Search!$C$8,G500)))),1,0)</f>
        <v>1</v>
      </c>
      <c r="M500" s="15" t="n">
        <f aca="false">M499+L500</f>
        <v>499</v>
      </c>
    </row>
    <row r="501" customFormat="false" ht="23.85" hidden="false" customHeight="false" outlineLevel="0" collapsed="false">
      <c r="A501" s="14" t="n">
        <v>500</v>
      </c>
      <c r="B501" s="15" t="s">
        <v>370</v>
      </c>
      <c r="C501" s="15" t="s">
        <v>258</v>
      </c>
      <c r="D501" s="16" t="s">
        <v>439</v>
      </c>
      <c r="E501" s="16"/>
      <c r="F501" s="15"/>
      <c r="G501" s="15" t="s">
        <v>427</v>
      </c>
      <c r="H501" s="15" t="s">
        <v>440</v>
      </c>
      <c r="I501" s="17" t="n">
        <v>285.6</v>
      </c>
      <c r="J501" s="16"/>
      <c r="K501" s="15" t="s">
        <v>372</v>
      </c>
      <c r="L501" s="15" t="n">
        <f aca="false">IF(AND(OR(Search!$C$4="",Search!$C$4="All",B501=Search!$C$4),OR(Search!$C$5="",Search!$C$5="All",C501=Search!$C$5),OR(Search!$C$6="",Search!$C$6="All",D501=Search!$C$6),OR(Search!$C$7="",ISNUMBER(SEARCH(Search!$C$7,D501&amp;" "&amp;E501&amp;" "&amp;F501&amp;" "&amp;G501&amp;" "&amp;H501&amp;" "&amp;J501))),OR(Search!$C$8="",ISNUMBER(SEARCH(Search!$C$8,G501)))),1,0)</f>
        <v>1</v>
      </c>
      <c r="M501" s="15" t="n">
        <f aca="false">M500+L501</f>
        <v>500</v>
      </c>
    </row>
    <row r="502" customFormat="false" ht="23.85" hidden="false" customHeight="false" outlineLevel="0" collapsed="false">
      <c r="A502" s="14" t="n">
        <v>501</v>
      </c>
      <c r="B502" s="15" t="s">
        <v>370</v>
      </c>
      <c r="C502" s="15" t="s">
        <v>258</v>
      </c>
      <c r="D502" s="16" t="s">
        <v>439</v>
      </c>
      <c r="E502" s="16"/>
      <c r="F502" s="15"/>
      <c r="G502" s="15" t="s">
        <v>428</v>
      </c>
      <c r="H502" s="15" t="s">
        <v>440</v>
      </c>
      <c r="I502" s="17" t="n">
        <v>341.7</v>
      </c>
      <c r="J502" s="16"/>
      <c r="K502" s="15" t="s">
        <v>372</v>
      </c>
      <c r="L502" s="15" t="n">
        <f aca="false">IF(AND(OR(Search!$C$4="",Search!$C$4="All",B502=Search!$C$4),OR(Search!$C$5="",Search!$C$5="All",C502=Search!$C$5),OR(Search!$C$6="",Search!$C$6="All",D502=Search!$C$6),OR(Search!$C$7="",ISNUMBER(SEARCH(Search!$C$7,D502&amp;" "&amp;E502&amp;" "&amp;F502&amp;" "&amp;G502&amp;" "&amp;H502&amp;" "&amp;J502))),OR(Search!$C$8="",ISNUMBER(SEARCH(Search!$C$8,G502)))),1,0)</f>
        <v>1</v>
      </c>
      <c r="M502" s="15" t="n">
        <f aca="false">M501+L502</f>
        <v>501</v>
      </c>
    </row>
    <row r="503" customFormat="false" ht="23.85" hidden="false" customHeight="false" outlineLevel="0" collapsed="false">
      <c r="A503" s="14" t="n">
        <v>502</v>
      </c>
      <c r="B503" s="15" t="s">
        <v>370</v>
      </c>
      <c r="C503" s="15" t="s">
        <v>258</v>
      </c>
      <c r="D503" s="16" t="s">
        <v>439</v>
      </c>
      <c r="E503" s="16"/>
      <c r="F503" s="15"/>
      <c r="G503" s="15" t="s">
        <v>429</v>
      </c>
      <c r="H503" s="15" t="s">
        <v>440</v>
      </c>
      <c r="I503" s="17" t="n">
        <v>1361.7</v>
      </c>
      <c r="J503" s="16"/>
      <c r="K503" s="15" t="s">
        <v>372</v>
      </c>
      <c r="L503" s="15" t="n">
        <f aca="false">IF(AND(OR(Search!$C$4="",Search!$C$4="All",B503=Search!$C$4),OR(Search!$C$5="",Search!$C$5="All",C503=Search!$C$5),OR(Search!$C$6="",Search!$C$6="All",D503=Search!$C$6),OR(Search!$C$7="",ISNUMBER(SEARCH(Search!$C$7,D503&amp;" "&amp;E503&amp;" "&amp;F503&amp;" "&amp;G503&amp;" "&amp;H503&amp;" "&amp;J503))),OR(Search!$C$8="",ISNUMBER(SEARCH(Search!$C$8,G503)))),1,0)</f>
        <v>1</v>
      </c>
      <c r="M503" s="15" t="n">
        <f aca="false">M502+L503</f>
        <v>502</v>
      </c>
    </row>
    <row r="504" customFormat="false" ht="15" hidden="false" customHeight="false" outlineLevel="0" collapsed="false">
      <c r="A504" s="14" t="n">
        <v>503</v>
      </c>
      <c r="B504" s="15" t="s">
        <v>370</v>
      </c>
      <c r="C504" s="15" t="s">
        <v>166</v>
      </c>
      <c r="D504" s="16" t="s">
        <v>166</v>
      </c>
      <c r="E504" s="16"/>
      <c r="F504" s="15" t="s">
        <v>441</v>
      </c>
      <c r="G504" s="15" t="s">
        <v>427</v>
      </c>
      <c r="H504" s="15" t="s">
        <v>161</v>
      </c>
      <c r="I504" s="17" t="n">
        <v>137.7</v>
      </c>
      <c r="J504" s="16"/>
      <c r="K504" s="15" t="s">
        <v>372</v>
      </c>
      <c r="L504" s="15" t="n">
        <f aca="false">IF(AND(OR(Search!$C$4="",Search!$C$4="All",B504=Search!$C$4),OR(Search!$C$5="",Search!$C$5="All",C504=Search!$C$5),OR(Search!$C$6="",Search!$C$6="All",D504=Search!$C$6),OR(Search!$C$7="",ISNUMBER(SEARCH(Search!$C$7,D504&amp;" "&amp;E504&amp;" "&amp;F504&amp;" "&amp;G504&amp;" "&amp;H504&amp;" "&amp;J504))),OR(Search!$C$8="",ISNUMBER(SEARCH(Search!$C$8,G504)))),1,0)</f>
        <v>1</v>
      </c>
      <c r="M504" s="15" t="n">
        <f aca="false">M503+L504</f>
        <v>503</v>
      </c>
    </row>
    <row r="505" customFormat="false" ht="15" hidden="false" customHeight="false" outlineLevel="0" collapsed="false">
      <c r="A505" s="14" t="n">
        <v>504</v>
      </c>
      <c r="B505" s="15" t="s">
        <v>370</v>
      </c>
      <c r="C505" s="15" t="s">
        <v>166</v>
      </c>
      <c r="D505" s="16" t="s">
        <v>166</v>
      </c>
      <c r="E505" s="16"/>
      <c r="F505" s="15" t="s">
        <v>441</v>
      </c>
      <c r="G505" s="15" t="s">
        <v>428</v>
      </c>
      <c r="H505" s="15" t="s">
        <v>161</v>
      </c>
      <c r="I505" s="17" t="n">
        <v>158.1</v>
      </c>
      <c r="J505" s="16"/>
      <c r="K505" s="15" t="s">
        <v>372</v>
      </c>
      <c r="L505" s="15" t="n">
        <f aca="false">IF(AND(OR(Search!$C$4="",Search!$C$4="All",B505=Search!$C$4),OR(Search!$C$5="",Search!$C$5="All",C505=Search!$C$5),OR(Search!$C$6="",Search!$C$6="All",D505=Search!$C$6),OR(Search!$C$7="",ISNUMBER(SEARCH(Search!$C$7,D505&amp;" "&amp;E505&amp;" "&amp;F505&amp;" "&amp;G505&amp;" "&amp;H505&amp;" "&amp;J505))),OR(Search!$C$8="",ISNUMBER(SEARCH(Search!$C$8,G505)))),1,0)</f>
        <v>1</v>
      </c>
      <c r="M505" s="15" t="n">
        <f aca="false">M504+L505</f>
        <v>504</v>
      </c>
    </row>
    <row r="506" customFormat="false" ht="15" hidden="false" customHeight="false" outlineLevel="0" collapsed="false">
      <c r="A506" s="14" t="n">
        <v>505</v>
      </c>
      <c r="B506" s="15" t="s">
        <v>370</v>
      </c>
      <c r="C506" s="15" t="s">
        <v>166</v>
      </c>
      <c r="D506" s="16" t="s">
        <v>166</v>
      </c>
      <c r="E506" s="16"/>
      <c r="F506" s="15" t="s">
        <v>441</v>
      </c>
      <c r="G506" s="15" t="s">
        <v>163</v>
      </c>
      <c r="H506" s="15" t="s">
        <v>161</v>
      </c>
      <c r="I506" s="17" t="n">
        <v>1275.51</v>
      </c>
      <c r="J506" s="16"/>
      <c r="K506" s="15" t="s">
        <v>372</v>
      </c>
      <c r="L506" s="15" t="n">
        <f aca="false">IF(AND(OR(Search!$C$4="",Search!$C$4="All",B506=Search!$C$4),OR(Search!$C$5="",Search!$C$5="All",C506=Search!$C$5),OR(Search!$C$6="",Search!$C$6="All",D506=Search!$C$6),OR(Search!$C$7="",ISNUMBER(SEARCH(Search!$C$7,D506&amp;" "&amp;E506&amp;" "&amp;F506&amp;" "&amp;G506&amp;" "&amp;H506&amp;" "&amp;J506))),OR(Search!$C$8="",ISNUMBER(SEARCH(Search!$C$8,G506)))),1,0)</f>
        <v>1</v>
      </c>
      <c r="M506" s="15" t="n">
        <f aca="false">M505+L506</f>
        <v>505</v>
      </c>
    </row>
    <row r="507" customFormat="false" ht="15" hidden="false" customHeight="false" outlineLevel="0" collapsed="false">
      <c r="A507" s="14" t="n">
        <v>506</v>
      </c>
      <c r="B507" s="15" t="s">
        <v>370</v>
      </c>
      <c r="C507" s="15" t="s">
        <v>166</v>
      </c>
      <c r="D507" s="16" t="s">
        <v>166</v>
      </c>
      <c r="E507" s="16"/>
      <c r="F507" s="15" t="s">
        <v>441</v>
      </c>
      <c r="G507" s="15" t="s">
        <v>173</v>
      </c>
      <c r="H507" s="15" t="s">
        <v>161</v>
      </c>
      <c r="I507" s="17" t="n">
        <v>1244.4</v>
      </c>
      <c r="J507" s="16"/>
      <c r="K507" s="15" t="s">
        <v>372</v>
      </c>
      <c r="L507" s="15" t="n">
        <f aca="false">IF(AND(OR(Search!$C$4="",Search!$C$4="All",B507=Search!$C$4),OR(Search!$C$5="",Search!$C$5="All",C507=Search!$C$5),OR(Search!$C$6="",Search!$C$6="All",D507=Search!$C$6),OR(Search!$C$7="",ISNUMBER(SEARCH(Search!$C$7,D507&amp;" "&amp;E507&amp;" "&amp;F507&amp;" "&amp;G507&amp;" "&amp;H507&amp;" "&amp;J507))),OR(Search!$C$8="",ISNUMBER(SEARCH(Search!$C$8,G507)))),1,0)</f>
        <v>1</v>
      </c>
      <c r="M507" s="15" t="n">
        <f aca="false">M506+L507</f>
        <v>506</v>
      </c>
    </row>
    <row r="508" customFormat="false" ht="15" hidden="false" customHeight="false" outlineLevel="0" collapsed="false">
      <c r="A508" s="14" t="n">
        <v>507</v>
      </c>
      <c r="B508" s="15" t="s">
        <v>370</v>
      </c>
      <c r="C508" s="15" t="s">
        <v>166</v>
      </c>
      <c r="D508" s="16" t="s">
        <v>166</v>
      </c>
      <c r="E508" s="16"/>
      <c r="F508" s="15" t="s">
        <v>441</v>
      </c>
      <c r="G508" s="15"/>
      <c r="H508" s="15" t="s">
        <v>197</v>
      </c>
      <c r="I508" s="17" t="n">
        <v>31.11</v>
      </c>
      <c r="J508" s="16"/>
      <c r="K508" s="15" t="s">
        <v>372</v>
      </c>
      <c r="L508" s="15" t="n">
        <f aca="false">IF(AND(OR(Search!$C$4="",Search!$C$4="All",B508=Search!$C$4),OR(Search!$C$5="",Search!$C$5="All",C508=Search!$C$5),OR(Search!$C$6="",Search!$C$6="All",D508=Search!$C$6),OR(Search!$C$7="",ISNUMBER(SEARCH(Search!$C$7,D508&amp;" "&amp;E508&amp;" "&amp;F508&amp;" "&amp;G508&amp;" "&amp;H508&amp;" "&amp;J508))),OR(Search!$C$8="",ISNUMBER(SEARCH(Search!$C$8,G508)))),1,0)</f>
        <v>1</v>
      </c>
      <c r="M508" s="15" t="n">
        <f aca="false">M507+L508</f>
        <v>507</v>
      </c>
    </row>
    <row r="509" customFormat="false" ht="15" hidden="false" customHeight="false" outlineLevel="0" collapsed="false">
      <c r="A509" s="14" t="n">
        <v>508</v>
      </c>
      <c r="B509" s="15" t="s">
        <v>370</v>
      </c>
      <c r="C509" s="15" t="s">
        <v>166</v>
      </c>
      <c r="D509" s="16" t="s">
        <v>166</v>
      </c>
      <c r="E509" s="16"/>
      <c r="F509" s="15" t="s">
        <v>442</v>
      </c>
      <c r="G509" s="15" t="s">
        <v>427</v>
      </c>
      <c r="H509" s="15" t="s">
        <v>161</v>
      </c>
      <c r="I509" s="17" t="n">
        <v>154.02</v>
      </c>
      <c r="J509" s="16"/>
      <c r="K509" s="15" t="s">
        <v>372</v>
      </c>
      <c r="L509" s="15" t="n">
        <f aca="false">IF(AND(OR(Search!$C$4="",Search!$C$4="All",B509=Search!$C$4),OR(Search!$C$5="",Search!$C$5="All",C509=Search!$C$5),OR(Search!$C$6="",Search!$C$6="All",D509=Search!$C$6),OR(Search!$C$7="",ISNUMBER(SEARCH(Search!$C$7,D509&amp;" "&amp;E509&amp;" "&amp;F509&amp;" "&amp;G509&amp;" "&amp;H509&amp;" "&amp;J509))),OR(Search!$C$8="",ISNUMBER(SEARCH(Search!$C$8,G509)))),1,0)</f>
        <v>1</v>
      </c>
      <c r="M509" s="15" t="n">
        <f aca="false">M508+L509</f>
        <v>508</v>
      </c>
    </row>
    <row r="510" customFormat="false" ht="15" hidden="false" customHeight="false" outlineLevel="0" collapsed="false">
      <c r="A510" s="14" t="n">
        <v>509</v>
      </c>
      <c r="B510" s="15" t="s">
        <v>370</v>
      </c>
      <c r="C510" s="15" t="s">
        <v>166</v>
      </c>
      <c r="D510" s="16" t="s">
        <v>166</v>
      </c>
      <c r="E510" s="16"/>
      <c r="F510" s="15" t="s">
        <v>442</v>
      </c>
      <c r="G510" s="15" t="s">
        <v>428</v>
      </c>
      <c r="H510" s="15" t="s">
        <v>161</v>
      </c>
      <c r="I510" s="17" t="n">
        <v>181.56</v>
      </c>
      <c r="J510" s="16"/>
      <c r="K510" s="15" t="s">
        <v>372</v>
      </c>
      <c r="L510" s="15" t="n">
        <f aca="false">IF(AND(OR(Search!$C$4="",Search!$C$4="All",B510=Search!$C$4),OR(Search!$C$5="",Search!$C$5="All",C510=Search!$C$5),OR(Search!$C$6="",Search!$C$6="All",D510=Search!$C$6),OR(Search!$C$7="",ISNUMBER(SEARCH(Search!$C$7,D510&amp;" "&amp;E510&amp;" "&amp;F510&amp;" "&amp;G510&amp;" "&amp;H510&amp;" "&amp;J510))),OR(Search!$C$8="",ISNUMBER(SEARCH(Search!$C$8,G510)))),1,0)</f>
        <v>1</v>
      </c>
      <c r="M510" s="15" t="n">
        <f aca="false">M509+L510</f>
        <v>509</v>
      </c>
    </row>
    <row r="511" customFormat="false" ht="15" hidden="false" customHeight="false" outlineLevel="0" collapsed="false">
      <c r="A511" s="14" t="n">
        <v>510</v>
      </c>
      <c r="B511" s="15" t="s">
        <v>370</v>
      </c>
      <c r="C511" s="15" t="s">
        <v>166</v>
      </c>
      <c r="D511" s="16" t="s">
        <v>166</v>
      </c>
      <c r="E511" s="16"/>
      <c r="F511" s="15" t="s">
        <v>442</v>
      </c>
      <c r="G511" s="15" t="s">
        <v>164</v>
      </c>
      <c r="H511" s="15" t="s">
        <v>161</v>
      </c>
      <c r="I511" s="17" t="n">
        <v>1162.8</v>
      </c>
      <c r="J511" s="16"/>
      <c r="K511" s="15" t="s">
        <v>372</v>
      </c>
      <c r="L511" s="15" t="n">
        <f aca="false">IF(AND(OR(Search!$C$4="",Search!$C$4="All",B511=Search!$C$4),OR(Search!$C$5="",Search!$C$5="All",C511=Search!$C$5),OR(Search!$C$6="",Search!$C$6="All",D511=Search!$C$6),OR(Search!$C$7="",ISNUMBER(SEARCH(Search!$C$7,D511&amp;" "&amp;E511&amp;" "&amp;F511&amp;" "&amp;G511&amp;" "&amp;H511&amp;" "&amp;J511))),OR(Search!$C$8="",ISNUMBER(SEARCH(Search!$C$8,G511)))),1,0)</f>
        <v>1</v>
      </c>
      <c r="M511" s="15" t="n">
        <f aca="false">M510+L511</f>
        <v>510</v>
      </c>
    </row>
    <row r="512" customFormat="false" ht="15" hidden="false" customHeight="false" outlineLevel="0" collapsed="false">
      <c r="A512" s="14" t="n">
        <v>511</v>
      </c>
      <c r="B512" s="15" t="s">
        <v>370</v>
      </c>
      <c r="C512" s="15" t="s">
        <v>166</v>
      </c>
      <c r="D512" s="16" t="s">
        <v>166</v>
      </c>
      <c r="E512" s="16"/>
      <c r="F512" s="15" t="s">
        <v>442</v>
      </c>
      <c r="G512" s="15" t="s">
        <v>163</v>
      </c>
      <c r="H512" s="15" t="s">
        <v>161</v>
      </c>
      <c r="I512" s="17" t="n">
        <v>1482.57</v>
      </c>
      <c r="J512" s="16"/>
      <c r="K512" s="15" t="s">
        <v>372</v>
      </c>
      <c r="L512" s="15" t="n">
        <f aca="false">IF(AND(OR(Search!$C$4="",Search!$C$4="All",B512=Search!$C$4),OR(Search!$C$5="",Search!$C$5="All",C512=Search!$C$5),OR(Search!$C$6="",Search!$C$6="All",D512=Search!$C$6),OR(Search!$C$7="",ISNUMBER(SEARCH(Search!$C$7,D512&amp;" "&amp;E512&amp;" "&amp;F512&amp;" "&amp;G512&amp;" "&amp;H512&amp;" "&amp;J512))),OR(Search!$C$8="",ISNUMBER(SEARCH(Search!$C$8,G512)))),1,0)</f>
        <v>1</v>
      </c>
      <c r="M512" s="15" t="n">
        <f aca="false">M511+L512</f>
        <v>511</v>
      </c>
    </row>
    <row r="513" customFormat="false" ht="15" hidden="false" customHeight="false" outlineLevel="0" collapsed="false">
      <c r="A513" s="14" t="n">
        <v>512</v>
      </c>
      <c r="B513" s="15" t="s">
        <v>370</v>
      </c>
      <c r="C513" s="15" t="s">
        <v>166</v>
      </c>
      <c r="D513" s="16" t="s">
        <v>166</v>
      </c>
      <c r="E513" s="16"/>
      <c r="F513" s="15" t="s">
        <v>442</v>
      </c>
      <c r="G513" s="15" t="s">
        <v>173</v>
      </c>
      <c r="H513" s="15" t="s">
        <v>161</v>
      </c>
      <c r="I513" s="17" t="n">
        <v>1453.5</v>
      </c>
      <c r="J513" s="16"/>
      <c r="K513" s="15" t="s">
        <v>372</v>
      </c>
      <c r="L513" s="15" t="n">
        <f aca="false">IF(AND(OR(Search!$C$4="",Search!$C$4="All",B513=Search!$C$4),OR(Search!$C$5="",Search!$C$5="All",C513=Search!$C$5),OR(Search!$C$6="",Search!$C$6="All",D513=Search!$C$6),OR(Search!$C$7="",ISNUMBER(SEARCH(Search!$C$7,D513&amp;" "&amp;E513&amp;" "&amp;F513&amp;" "&amp;G513&amp;" "&amp;H513&amp;" "&amp;J513))),OR(Search!$C$8="",ISNUMBER(SEARCH(Search!$C$8,G513)))),1,0)</f>
        <v>1</v>
      </c>
      <c r="M513" s="15" t="n">
        <f aca="false">M512+L513</f>
        <v>512</v>
      </c>
    </row>
    <row r="514" customFormat="false" ht="15" hidden="false" customHeight="false" outlineLevel="0" collapsed="false">
      <c r="A514" s="14" t="n">
        <v>513</v>
      </c>
      <c r="B514" s="15" t="s">
        <v>370</v>
      </c>
      <c r="C514" s="15" t="s">
        <v>166</v>
      </c>
      <c r="D514" s="16" t="s">
        <v>166</v>
      </c>
      <c r="E514" s="16"/>
      <c r="F514" s="15" t="s">
        <v>442</v>
      </c>
      <c r="G514" s="15" t="s">
        <v>443</v>
      </c>
      <c r="H514" s="15" t="s">
        <v>161</v>
      </c>
      <c r="I514" s="17" t="n">
        <v>159.12</v>
      </c>
      <c r="J514" s="16"/>
      <c r="K514" s="15" t="s">
        <v>372</v>
      </c>
      <c r="L514" s="15" t="n">
        <f aca="false">IF(AND(OR(Search!$C$4="",Search!$C$4="All",B514=Search!$C$4),OR(Search!$C$5="",Search!$C$5="All",C514=Search!$C$5),OR(Search!$C$6="",Search!$C$6="All",D514=Search!$C$6),OR(Search!$C$7="",ISNUMBER(SEARCH(Search!$C$7,D514&amp;" "&amp;E514&amp;" "&amp;F514&amp;" "&amp;G514&amp;" "&amp;H514&amp;" "&amp;J514))),OR(Search!$C$8="",ISNUMBER(SEARCH(Search!$C$8,G514)))),1,0)</f>
        <v>1</v>
      </c>
      <c r="M514" s="15" t="n">
        <f aca="false">M513+L514</f>
        <v>513</v>
      </c>
    </row>
    <row r="515" customFormat="false" ht="15" hidden="false" customHeight="false" outlineLevel="0" collapsed="false">
      <c r="A515" s="14" t="n">
        <v>514</v>
      </c>
      <c r="B515" s="15" t="s">
        <v>370</v>
      </c>
      <c r="C515" s="15" t="s">
        <v>166</v>
      </c>
      <c r="D515" s="16" t="s">
        <v>166</v>
      </c>
      <c r="E515" s="16"/>
      <c r="F515" s="15" t="s">
        <v>442</v>
      </c>
      <c r="G515" s="15"/>
      <c r="H515" s="15" t="s">
        <v>197</v>
      </c>
      <c r="I515" s="17" t="n">
        <v>29.07</v>
      </c>
      <c r="J515" s="16"/>
      <c r="K515" s="15" t="s">
        <v>372</v>
      </c>
      <c r="L515" s="15" t="n">
        <f aca="false">IF(AND(OR(Search!$C$4="",Search!$C$4="All",B515=Search!$C$4),OR(Search!$C$5="",Search!$C$5="All",C515=Search!$C$5),OR(Search!$C$6="",Search!$C$6="All",D515=Search!$C$6),OR(Search!$C$7="",ISNUMBER(SEARCH(Search!$C$7,D515&amp;" "&amp;E515&amp;" "&amp;F515&amp;" "&amp;G515&amp;" "&amp;H515&amp;" "&amp;J515))),OR(Search!$C$8="",ISNUMBER(SEARCH(Search!$C$8,G515)))),1,0)</f>
        <v>1</v>
      </c>
      <c r="M515" s="15" t="n">
        <f aca="false">M514+L515</f>
        <v>514</v>
      </c>
    </row>
    <row r="516" customFormat="false" ht="15" hidden="false" customHeight="false" outlineLevel="0" collapsed="false">
      <c r="A516" s="14" t="n">
        <v>515</v>
      </c>
      <c r="B516" s="15" t="s">
        <v>370</v>
      </c>
      <c r="C516" s="15" t="s">
        <v>166</v>
      </c>
      <c r="D516" s="16" t="s">
        <v>166</v>
      </c>
      <c r="E516" s="16"/>
      <c r="F516" s="15" t="s">
        <v>371</v>
      </c>
      <c r="G516" s="15" t="s">
        <v>427</v>
      </c>
      <c r="H516" s="15" t="s">
        <v>161</v>
      </c>
      <c r="I516" s="17" t="n">
        <v>170.34</v>
      </c>
      <c r="J516" s="16"/>
      <c r="K516" s="15" t="s">
        <v>372</v>
      </c>
      <c r="L516" s="15" t="n">
        <f aca="false">IF(AND(OR(Search!$C$4="",Search!$C$4="All",B516=Search!$C$4),OR(Search!$C$5="",Search!$C$5="All",C516=Search!$C$5),OR(Search!$C$6="",Search!$C$6="All",D516=Search!$C$6),OR(Search!$C$7="",ISNUMBER(SEARCH(Search!$C$7,D516&amp;" "&amp;E516&amp;" "&amp;F516&amp;" "&amp;G516&amp;" "&amp;H516&amp;" "&amp;J516))),OR(Search!$C$8="",ISNUMBER(SEARCH(Search!$C$8,G516)))),1,0)</f>
        <v>1</v>
      </c>
      <c r="M516" s="15" t="n">
        <f aca="false">M515+L516</f>
        <v>515</v>
      </c>
    </row>
    <row r="517" customFormat="false" ht="15" hidden="false" customHeight="false" outlineLevel="0" collapsed="false">
      <c r="A517" s="14" t="n">
        <v>516</v>
      </c>
      <c r="B517" s="15" t="s">
        <v>370</v>
      </c>
      <c r="C517" s="15" t="s">
        <v>166</v>
      </c>
      <c r="D517" s="16" t="s">
        <v>166</v>
      </c>
      <c r="E517" s="16"/>
      <c r="F517" s="15" t="s">
        <v>371</v>
      </c>
      <c r="G517" s="15" t="s">
        <v>428</v>
      </c>
      <c r="H517" s="15" t="s">
        <v>161</v>
      </c>
      <c r="I517" s="17" t="n">
        <v>200.94</v>
      </c>
      <c r="J517" s="16"/>
      <c r="K517" s="15" t="s">
        <v>372</v>
      </c>
      <c r="L517" s="15" t="n">
        <f aca="false">IF(AND(OR(Search!$C$4="",Search!$C$4="All",B517=Search!$C$4),OR(Search!$C$5="",Search!$C$5="All",C517=Search!$C$5),OR(Search!$C$6="",Search!$C$6="All",D517=Search!$C$6),OR(Search!$C$7="",ISNUMBER(SEARCH(Search!$C$7,D517&amp;" "&amp;E517&amp;" "&amp;F517&amp;" "&amp;G517&amp;" "&amp;H517&amp;" "&amp;J517))),OR(Search!$C$8="",ISNUMBER(SEARCH(Search!$C$8,G517)))),1,0)</f>
        <v>1</v>
      </c>
      <c r="M517" s="15" t="n">
        <f aca="false">M516+L517</f>
        <v>516</v>
      </c>
    </row>
    <row r="518" customFormat="false" ht="15" hidden="false" customHeight="false" outlineLevel="0" collapsed="false">
      <c r="A518" s="14" t="n">
        <v>517</v>
      </c>
      <c r="B518" s="15" t="s">
        <v>370</v>
      </c>
      <c r="C518" s="15" t="s">
        <v>166</v>
      </c>
      <c r="D518" s="16" t="s">
        <v>166</v>
      </c>
      <c r="E518" s="16"/>
      <c r="F518" s="15" t="s">
        <v>371</v>
      </c>
      <c r="G518" s="15" t="s">
        <v>164</v>
      </c>
      <c r="H518" s="15" t="s">
        <v>161</v>
      </c>
      <c r="I518" s="17" t="n">
        <v>1321.92</v>
      </c>
      <c r="J518" s="16"/>
      <c r="K518" s="15" t="s">
        <v>372</v>
      </c>
      <c r="L518" s="15" t="n">
        <f aca="false">IF(AND(OR(Search!$C$4="",Search!$C$4="All",B518=Search!$C$4),OR(Search!$C$5="",Search!$C$5="All",C518=Search!$C$5),OR(Search!$C$6="",Search!$C$6="All",D518=Search!$C$6),OR(Search!$C$7="",ISNUMBER(SEARCH(Search!$C$7,D518&amp;" "&amp;E518&amp;" "&amp;F518&amp;" "&amp;G518&amp;" "&amp;H518&amp;" "&amp;J518))),OR(Search!$C$8="",ISNUMBER(SEARCH(Search!$C$8,G518)))),1,0)</f>
        <v>1</v>
      </c>
      <c r="M518" s="15" t="n">
        <f aca="false">M517+L518</f>
        <v>517</v>
      </c>
    </row>
    <row r="519" customFormat="false" ht="15" hidden="false" customHeight="false" outlineLevel="0" collapsed="false">
      <c r="A519" s="14" t="n">
        <v>518</v>
      </c>
      <c r="B519" s="15" t="s">
        <v>370</v>
      </c>
      <c r="C519" s="15" t="s">
        <v>166</v>
      </c>
      <c r="D519" s="16" t="s">
        <v>166</v>
      </c>
      <c r="E519" s="16"/>
      <c r="F519" s="15" t="s">
        <v>371</v>
      </c>
      <c r="G519" s="15" t="s">
        <v>163</v>
      </c>
      <c r="H519" s="15" t="s">
        <v>161</v>
      </c>
      <c r="I519" s="17" t="n">
        <v>1679.94</v>
      </c>
      <c r="J519" s="16"/>
      <c r="K519" s="15" t="s">
        <v>372</v>
      </c>
      <c r="L519" s="15" t="n">
        <f aca="false">IF(AND(OR(Search!$C$4="",Search!$C$4="All",B519=Search!$C$4),OR(Search!$C$5="",Search!$C$5="All",C519=Search!$C$5),OR(Search!$C$6="",Search!$C$6="All",D519=Search!$C$6),OR(Search!$C$7="",ISNUMBER(SEARCH(Search!$C$7,D519&amp;" "&amp;E519&amp;" "&amp;F519&amp;" "&amp;G519&amp;" "&amp;H519&amp;" "&amp;J519))),OR(Search!$C$8="",ISNUMBER(SEARCH(Search!$C$8,G519)))),1,0)</f>
        <v>1</v>
      </c>
      <c r="M519" s="15" t="n">
        <f aca="false">M518+L519</f>
        <v>518</v>
      </c>
    </row>
    <row r="520" customFormat="false" ht="15" hidden="false" customHeight="false" outlineLevel="0" collapsed="false">
      <c r="A520" s="14" t="n">
        <v>519</v>
      </c>
      <c r="B520" s="15" t="s">
        <v>370</v>
      </c>
      <c r="C520" s="15" t="s">
        <v>166</v>
      </c>
      <c r="D520" s="16" t="s">
        <v>166</v>
      </c>
      <c r="E520" s="16"/>
      <c r="F520" s="15" t="s">
        <v>371</v>
      </c>
      <c r="G520" s="15" t="s">
        <v>173</v>
      </c>
      <c r="H520" s="15" t="s">
        <v>161</v>
      </c>
      <c r="I520" s="17" t="n">
        <v>1652.4</v>
      </c>
      <c r="J520" s="16"/>
      <c r="K520" s="15" t="s">
        <v>372</v>
      </c>
      <c r="L520" s="15" t="n">
        <f aca="false">IF(AND(OR(Search!$C$4="",Search!$C$4="All",B520=Search!$C$4),OR(Search!$C$5="",Search!$C$5="All",C520=Search!$C$5),OR(Search!$C$6="",Search!$C$6="All",D520=Search!$C$6),OR(Search!$C$7="",ISNUMBER(SEARCH(Search!$C$7,D520&amp;" "&amp;E520&amp;" "&amp;F520&amp;" "&amp;G520&amp;" "&amp;H520&amp;" "&amp;J520))),OR(Search!$C$8="",ISNUMBER(SEARCH(Search!$C$8,G520)))),1,0)</f>
        <v>1</v>
      </c>
      <c r="M520" s="15" t="n">
        <f aca="false">M519+L520</f>
        <v>519</v>
      </c>
    </row>
    <row r="521" customFormat="false" ht="15" hidden="false" customHeight="false" outlineLevel="0" collapsed="false">
      <c r="A521" s="14" t="n">
        <v>520</v>
      </c>
      <c r="B521" s="15" t="s">
        <v>370</v>
      </c>
      <c r="C521" s="15" t="s">
        <v>166</v>
      </c>
      <c r="D521" s="16" t="s">
        <v>166</v>
      </c>
      <c r="E521" s="16"/>
      <c r="F521" s="15" t="s">
        <v>371</v>
      </c>
      <c r="G521" s="15" t="s">
        <v>443</v>
      </c>
      <c r="H521" s="15" t="s">
        <v>161</v>
      </c>
      <c r="I521" s="17" t="n">
        <v>176.46</v>
      </c>
      <c r="J521" s="16"/>
      <c r="K521" s="15" t="s">
        <v>372</v>
      </c>
      <c r="L521" s="15" t="n">
        <f aca="false">IF(AND(OR(Search!$C$4="",Search!$C$4="All",B521=Search!$C$4),OR(Search!$C$5="",Search!$C$5="All",C521=Search!$C$5),OR(Search!$C$6="",Search!$C$6="All",D521=Search!$C$6),OR(Search!$C$7="",ISNUMBER(SEARCH(Search!$C$7,D521&amp;" "&amp;E521&amp;" "&amp;F521&amp;" "&amp;G521&amp;" "&amp;H521&amp;" "&amp;J521))),OR(Search!$C$8="",ISNUMBER(SEARCH(Search!$C$8,G521)))),1,0)</f>
        <v>1</v>
      </c>
      <c r="M521" s="15" t="n">
        <f aca="false">M520+L521</f>
        <v>520</v>
      </c>
    </row>
    <row r="522" customFormat="false" ht="15" hidden="false" customHeight="false" outlineLevel="0" collapsed="false">
      <c r="A522" s="14" t="n">
        <v>521</v>
      </c>
      <c r="B522" s="15" t="s">
        <v>370</v>
      </c>
      <c r="C522" s="15" t="s">
        <v>166</v>
      </c>
      <c r="D522" s="16" t="s">
        <v>166</v>
      </c>
      <c r="E522" s="16"/>
      <c r="F522" s="15" t="s">
        <v>371</v>
      </c>
      <c r="G522" s="15"/>
      <c r="H522" s="15" t="s">
        <v>197</v>
      </c>
      <c r="I522" s="17" t="n">
        <v>27.54</v>
      </c>
      <c r="J522" s="16"/>
      <c r="K522" s="15" t="s">
        <v>372</v>
      </c>
      <c r="L522" s="15" t="n">
        <f aca="false">IF(AND(OR(Search!$C$4="",Search!$C$4="All",B522=Search!$C$4),OR(Search!$C$5="",Search!$C$5="All",C522=Search!$C$5),OR(Search!$C$6="",Search!$C$6="All",D522=Search!$C$6),OR(Search!$C$7="",ISNUMBER(SEARCH(Search!$C$7,D522&amp;" "&amp;E522&amp;" "&amp;F522&amp;" "&amp;G522&amp;" "&amp;H522&amp;" "&amp;J522))),OR(Search!$C$8="",ISNUMBER(SEARCH(Search!$C$8,G522)))),1,0)</f>
        <v>1</v>
      </c>
      <c r="M522" s="15" t="n">
        <f aca="false">M521+L522</f>
        <v>521</v>
      </c>
    </row>
    <row r="523" customFormat="false" ht="15" hidden="false" customHeight="false" outlineLevel="0" collapsed="false">
      <c r="A523" s="14" t="n">
        <v>522</v>
      </c>
      <c r="B523" s="15" t="s">
        <v>370</v>
      </c>
      <c r="C523" s="15" t="s">
        <v>166</v>
      </c>
      <c r="D523" s="16" t="s">
        <v>166</v>
      </c>
      <c r="E523" s="16"/>
      <c r="F523" s="15" t="s">
        <v>374</v>
      </c>
      <c r="G523" s="15" t="s">
        <v>427</v>
      </c>
      <c r="H523" s="15" t="s">
        <v>161</v>
      </c>
      <c r="I523" s="17" t="n">
        <v>224.4</v>
      </c>
      <c r="J523" s="16"/>
      <c r="K523" s="15" t="s">
        <v>372</v>
      </c>
      <c r="L523" s="15" t="n">
        <f aca="false">IF(AND(OR(Search!$C$4="",Search!$C$4="All",B523=Search!$C$4),OR(Search!$C$5="",Search!$C$5="All",C523=Search!$C$5),OR(Search!$C$6="",Search!$C$6="All",D523=Search!$C$6),OR(Search!$C$7="",ISNUMBER(SEARCH(Search!$C$7,D523&amp;" "&amp;E523&amp;" "&amp;F523&amp;" "&amp;G523&amp;" "&amp;H523&amp;" "&amp;J523))),OR(Search!$C$8="",ISNUMBER(SEARCH(Search!$C$8,G523)))),1,0)</f>
        <v>1</v>
      </c>
      <c r="M523" s="15" t="n">
        <f aca="false">M522+L523</f>
        <v>522</v>
      </c>
    </row>
    <row r="524" customFormat="false" ht="15" hidden="false" customHeight="false" outlineLevel="0" collapsed="false">
      <c r="A524" s="14" t="n">
        <v>523</v>
      </c>
      <c r="B524" s="15" t="s">
        <v>370</v>
      </c>
      <c r="C524" s="15" t="s">
        <v>166</v>
      </c>
      <c r="D524" s="16" t="s">
        <v>166</v>
      </c>
      <c r="E524" s="16"/>
      <c r="F524" s="15" t="s">
        <v>374</v>
      </c>
      <c r="G524" s="15" t="s">
        <v>428</v>
      </c>
      <c r="H524" s="15" t="s">
        <v>161</v>
      </c>
      <c r="I524" s="17" t="n">
        <v>257.04</v>
      </c>
      <c r="J524" s="16"/>
      <c r="K524" s="15" t="s">
        <v>372</v>
      </c>
      <c r="L524" s="15" t="n">
        <f aca="false">IF(AND(OR(Search!$C$4="",Search!$C$4="All",B524=Search!$C$4),OR(Search!$C$5="",Search!$C$5="All",C524=Search!$C$5),OR(Search!$C$6="",Search!$C$6="All",D524=Search!$C$6),OR(Search!$C$7="",ISNUMBER(SEARCH(Search!$C$7,D524&amp;" "&amp;E524&amp;" "&amp;F524&amp;" "&amp;G524&amp;" "&amp;H524&amp;" "&amp;J524))),OR(Search!$C$8="",ISNUMBER(SEARCH(Search!$C$8,G524)))),1,0)</f>
        <v>1</v>
      </c>
      <c r="M524" s="15" t="n">
        <f aca="false">M523+L524</f>
        <v>523</v>
      </c>
    </row>
    <row r="525" customFormat="false" ht="15" hidden="false" customHeight="false" outlineLevel="0" collapsed="false">
      <c r="A525" s="14" t="n">
        <v>524</v>
      </c>
      <c r="B525" s="15" t="s">
        <v>370</v>
      </c>
      <c r="C525" s="15" t="s">
        <v>166</v>
      </c>
      <c r="D525" s="16" t="s">
        <v>166</v>
      </c>
      <c r="E525" s="16"/>
      <c r="F525" s="15" t="s">
        <v>374</v>
      </c>
      <c r="G525" s="15" t="s">
        <v>164</v>
      </c>
      <c r="H525" s="15" t="s">
        <v>161</v>
      </c>
      <c r="I525" s="17" t="n">
        <v>1656.48</v>
      </c>
      <c r="J525" s="16"/>
      <c r="K525" s="15" t="s">
        <v>372</v>
      </c>
      <c r="L525" s="15" t="n">
        <f aca="false">IF(AND(OR(Search!$C$4="",Search!$C$4="All",B525=Search!$C$4),OR(Search!$C$5="",Search!$C$5="All",C525=Search!$C$5),OR(Search!$C$6="",Search!$C$6="All",D525=Search!$C$6),OR(Search!$C$7="",ISNUMBER(SEARCH(Search!$C$7,D525&amp;" "&amp;E525&amp;" "&amp;F525&amp;" "&amp;G525&amp;" "&amp;H525&amp;" "&amp;J525))),OR(Search!$C$8="",ISNUMBER(SEARCH(Search!$C$8,G525)))),1,0)</f>
        <v>1</v>
      </c>
      <c r="M525" s="15" t="n">
        <f aca="false">M524+L525</f>
        <v>524</v>
      </c>
    </row>
    <row r="526" customFormat="false" ht="15" hidden="false" customHeight="false" outlineLevel="0" collapsed="false">
      <c r="A526" s="14" t="n">
        <v>525</v>
      </c>
      <c r="B526" s="15" t="s">
        <v>370</v>
      </c>
      <c r="C526" s="15" t="s">
        <v>166</v>
      </c>
      <c r="D526" s="16" t="s">
        <v>166</v>
      </c>
      <c r="E526" s="16"/>
      <c r="F526" s="15" t="s">
        <v>374</v>
      </c>
      <c r="G526" s="15" t="s">
        <v>163</v>
      </c>
      <c r="H526" s="15" t="s">
        <v>161</v>
      </c>
      <c r="I526" s="17" t="n">
        <v>2100.18</v>
      </c>
      <c r="J526" s="16"/>
      <c r="K526" s="15" t="s">
        <v>372</v>
      </c>
      <c r="L526" s="15" t="n">
        <f aca="false">IF(AND(OR(Search!$C$4="",Search!$C$4="All",B526=Search!$C$4),OR(Search!$C$5="",Search!$C$5="All",C526=Search!$C$5),OR(Search!$C$6="",Search!$C$6="All",D526=Search!$C$6),OR(Search!$C$7="",ISNUMBER(SEARCH(Search!$C$7,D526&amp;" "&amp;E526&amp;" "&amp;F526&amp;" "&amp;G526&amp;" "&amp;H526&amp;" "&amp;J526))),OR(Search!$C$8="",ISNUMBER(SEARCH(Search!$C$8,G526)))),1,0)</f>
        <v>1</v>
      </c>
      <c r="M526" s="15" t="n">
        <f aca="false">M525+L526</f>
        <v>525</v>
      </c>
    </row>
    <row r="527" customFormat="false" ht="15" hidden="false" customHeight="false" outlineLevel="0" collapsed="false">
      <c r="A527" s="14" t="n">
        <v>526</v>
      </c>
      <c r="B527" s="15" t="s">
        <v>370</v>
      </c>
      <c r="C527" s="15" t="s">
        <v>166</v>
      </c>
      <c r="D527" s="16" t="s">
        <v>166</v>
      </c>
      <c r="E527" s="16"/>
      <c r="F527" s="15" t="s">
        <v>374</v>
      </c>
      <c r="G527" s="15" t="s">
        <v>173</v>
      </c>
      <c r="H527" s="15" t="s">
        <v>161</v>
      </c>
      <c r="I527" s="17" t="n">
        <v>2070.6</v>
      </c>
      <c r="J527" s="16"/>
      <c r="K527" s="15" t="s">
        <v>372</v>
      </c>
      <c r="L527" s="15" t="n">
        <f aca="false">IF(AND(OR(Search!$C$4="",Search!$C$4="All",B527=Search!$C$4),OR(Search!$C$5="",Search!$C$5="All",C527=Search!$C$5),OR(Search!$C$6="",Search!$C$6="All",D527=Search!$C$6),OR(Search!$C$7="",ISNUMBER(SEARCH(Search!$C$7,D527&amp;" "&amp;E527&amp;" "&amp;F527&amp;" "&amp;G527&amp;" "&amp;H527&amp;" "&amp;J527))),OR(Search!$C$8="",ISNUMBER(SEARCH(Search!$C$8,G527)))),1,0)</f>
        <v>1</v>
      </c>
      <c r="M527" s="15" t="n">
        <f aca="false">M526+L527</f>
        <v>526</v>
      </c>
    </row>
    <row r="528" customFormat="false" ht="15" hidden="false" customHeight="false" outlineLevel="0" collapsed="false">
      <c r="A528" s="14" t="n">
        <v>527</v>
      </c>
      <c r="B528" s="15" t="s">
        <v>370</v>
      </c>
      <c r="C528" s="15" t="s">
        <v>166</v>
      </c>
      <c r="D528" s="16" t="s">
        <v>166</v>
      </c>
      <c r="E528" s="16"/>
      <c r="F528" s="15" t="s">
        <v>374</v>
      </c>
      <c r="G528" s="15"/>
      <c r="H528" s="15" t="s">
        <v>197</v>
      </c>
      <c r="I528" s="17" t="n">
        <v>29.58</v>
      </c>
      <c r="J528" s="16"/>
      <c r="K528" s="15" t="s">
        <v>372</v>
      </c>
      <c r="L528" s="15" t="n">
        <f aca="false">IF(AND(OR(Search!$C$4="",Search!$C$4="All",B528=Search!$C$4),OR(Search!$C$5="",Search!$C$5="All",C528=Search!$C$5),OR(Search!$C$6="",Search!$C$6="All",D528=Search!$C$6),OR(Search!$C$7="",ISNUMBER(SEARCH(Search!$C$7,D528&amp;" "&amp;E528&amp;" "&amp;F528&amp;" "&amp;G528&amp;" "&amp;H528&amp;" "&amp;J528))),OR(Search!$C$8="",ISNUMBER(SEARCH(Search!$C$8,G528)))),1,0)</f>
        <v>1</v>
      </c>
      <c r="M528" s="15" t="n">
        <f aca="false">M527+L528</f>
        <v>527</v>
      </c>
    </row>
    <row r="529" customFormat="false" ht="15" hidden="false" customHeight="false" outlineLevel="0" collapsed="false">
      <c r="A529" s="14" t="n">
        <v>528</v>
      </c>
      <c r="B529" s="15" t="s">
        <v>370</v>
      </c>
      <c r="C529" s="15" t="s">
        <v>166</v>
      </c>
      <c r="D529" s="16" t="s">
        <v>166</v>
      </c>
      <c r="E529" s="16"/>
      <c r="F529" s="15" t="s">
        <v>375</v>
      </c>
      <c r="G529" s="15" t="s">
        <v>427</v>
      </c>
      <c r="H529" s="15" t="s">
        <v>161</v>
      </c>
      <c r="I529" s="17" t="n">
        <v>255</v>
      </c>
      <c r="J529" s="16"/>
      <c r="K529" s="15" t="s">
        <v>372</v>
      </c>
      <c r="L529" s="15" t="n">
        <f aca="false">IF(AND(OR(Search!$C$4="",Search!$C$4="All",B529=Search!$C$4),OR(Search!$C$5="",Search!$C$5="All",C529=Search!$C$5),OR(Search!$C$6="",Search!$C$6="All",D529=Search!$C$6),OR(Search!$C$7="",ISNUMBER(SEARCH(Search!$C$7,D529&amp;" "&amp;E529&amp;" "&amp;F529&amp;" "&amp;G529&amp;" "&amp;H529&amp;" "&amp;J529))),OR(Search!$C$8="",ISNUMBER(SEARCH(Search!$C$8,G529)))),1,0)</f>
        <v>1</v>
      </c>
      <c r="M529" s="15" t="n">
        <f aca="false">M528+L529</f>
        <v>528</v>
      </c>
    </row>
    <row r="530" customFormat="false" ht="15" hidden="false" customHeight="false" outlineLevel="0" collapsed="false">
      <c r="A530" s="14" t="n">
        <v>529</v>
      </c>
      <c r="B530" s="15" t="s">
        <v>370</v>
      </c>
      <c r="C530" s="15" t="s">
        <v>166</v>
      </c>
      <c r="D530" s="16" t="s">
        <v>166</v>
      </c>
      <c r="E530" s="16"/>
      <c r="F530" s="15" t="s">
        <v>375</v>
      </c>
      <c r="G530" s="15" t="s">
        <v>428</v>
      </c>
      <c r="H530" s="15" t="s">
        <v>161</v>
      </c>
      <c r="I530" s="17" t="n">
        <v>285.6</v>
      </c>
      <c r="J530" s="16"/>
      <c r="K530" s="15" t="s">
        <v>372</v>
      </c>
      <c r="L530" s="15" t="n">
        <f aca="false">IF(AND(OR(Search!$C$4="",Search!$C$4="All",B530=Search!$C$4),OR(Search!$C$5="",Search!$C$5="All",C530=Search!$C$5),OR(Search!$C$6="",Search!$C$6="All",D530=Search!$C$6),OR(Search!$C$7="",ISNUMBER(SEARCH(Search!$C$7,D530&amp;" "&amp;E530&amp;" "&amp;F530&amp;" "&amp;G530&amp;" "&amp;H530&amp;" "&amp;J530))),OR(Search!$C$8="",ISNUMBER(SEARCH(Search!$C$8,G530)))),1,0)</f>
        <v>1</v>
      </c>
      <c r="M530" s="15" t="n">
        <f aca="false">M529+L530</f>
        <v>529</v>
      </c>
    </row>
    <row r="531" customFormat="false" ht="15" hidden="false" customHeight="false" outlineLevel="0" collapsed="false">
      <c r="A531" s="14" t="n">
        <v>530</v>
      </c>
      <c r="B531" s="15" t="s">
        <v>370</v>
      </c>
      <c r="C531" s="15" t="s">
        <v>166</v>
      </c>
      <c r="D531" s="16" t="s">
        <v>166</v>
      </c>
      <c r="E531" s="16"/>
      <c r="F531" s="15" t="s">
        <v>375</v>
      </c>
      <c r="G531" s="15" t="s">
        <v>164</v>
      </c>
      <c r="H531" s="15" t="s">
        <v>161</v>
      </c>
      <c r="I531" s="17" t="n">
        <v>1893.12</v>
      </c>
      <c r="J531" s="16"/>
      <c r="K531" s="15" t="s">
        <v>372</v>
      </c>
      <c r="L531" s="15" t="n">
        <f aca="false">IF(AND(OR(Search!$C$4="",Search!$C$4="All",B531=Search!$C$4),OR(Search!$C$5="",Search!$C$5="All",C531=Search!$C$5),OR(Search!$C$6="",Search!$C$6="All",D531=Search!$C$6),OR(Search!$C$7="",ISNUMBER(SEARCH(Search!$C$7,D531&amp;" "&amp;E531&amp;" "&amp;F531&amp;" "&amp;G531&amp;" "&amp;H531&amp;" "&amp;J531))),OR(Search!$C$8="",ISNUMBER(SEARCH(Search!$C$8,G531)))),1,0)</f>
        <v>1</v>
      </c>
      <c r="M531" s="15" t="n">
        <f aca="false">M530+L531</f>
        <v>530</v>
      </c>
    </row>
    <row r="532" customFormat="false" ht="15" hidden="false" customHeight="false" outlineLevel="0" collapsed="false">
      <c r="A532" s="14" t="n">
        <v>531</v>
      </c>
      <c r="B532" s="15" t="s">
        <v>370</v>
      </c>
      <c r="C532" s="15" t="s">
        <v>166</v>
      </c>
      <c r="D532" s="16" t="s">
        <v>166</v>
      </c>
      <c r="E532" s="16"/>
      <c r="F532" s="15" t="s">
        <v>375</v>
      </c>
      <c r="G532" s="15" t="s">
        <v>163</v>
      </c>
      <c r="H532" s="15" t="s">
        <v>161</v>
      </c>
      <c r="I532" s="17" t="n">
        <v>2395.98</v>
      </c>
      <c r="J532" s="16"/>
      <c r="K532" s="15" t="s">
        <v>372</v>
      </c>
      <c r="L532" s="15" t="n">
        <f aca="false">IF(AND(OR(Search!$C$4="",Search!$C$4="All",B532=Search!$C$4),OR(Search!$C$5="",Search!$C$5="All",C532=Search!$C$5),OR(Search!$C$6="",Search!$C$6="All",D532=Search!$C$6),OR(Search!$C$7="",ISNUMBER(SEARCH(Search!$C$7,D532&amp;" "&amp;E532&amp;" "&amp;F532&amp;" "&amp;G532&amp;" "&amp;H532&amp;" "&amp;J532))),OR(Search!$C$8="",ISNUMBER(SEARCH(Search!$C$8,G532)))),1,0)</f>
        <v>1</v>
      </c>
      <c r="M532" s="15" t="n">
        <f aca="false">M531+L532</f>
        <v>531</v>
      </c>
    </row>
    <row r="533" customFormat="false" ht="15" hidden="false" customHeight="false" outlineLevel="0" collapsed="false">
      <c r="A533" s="14" t="n">
        <v>532</v>
      </c>
      <c r="B533" s="15" t="s">
        <v>370</v>
      </c>
      <c r="C533" s="15" t="s">
        <v>166</v>
      </c>
      <c r="D533" s="16" t="s">
        <v>166</v>
      </c>
      <c r="E533" s="16"/>
      <c r="F533" s="15" t="s">
        <v>375</v>
      </c>
      <c r="G533" s="15" t="s">
        <v>173</v>
      </c>
      <c r="H533" s="15" t="s">
        <v>161</v>
      </c>
      <c r="I533" s="17" t="n">
        <v>2366.4</v>
      </c>
      <c r="J533" s="16"/>
      <c r="K533" s="15" t="s">
        <v>372</v>
      </c>
      <c r="L533" s="15" t="n">
        <f aca="false">IF(AND(OR(Search!$C$4="",Search!$C$4="All",B533=Search!$C$4),OR(Search!$C$5="",Search!$C$5="All",C533=Search!$C$5),OR(Search!$C$6="",Search!$C$6="All",D533=Search!$C$6),OR(Search!$C$7="",ISNUMBER(SEARCH(Search!$C$7,D533&amp;" "&amp;E533&amp;" "&amp;F533&amp;" "&amp;G533&amp;" "&amp;H533&amp;" "&amp;J533))),OR(Search!$C$8="",ISNUMBER(SEARCH(Search!$C$8,G533)))),1,0)</f>
        <v>1</v>
      </c>
      <c r="M533" s="15" t="n">
        <f aca="false">M532+L533</f>
        <v>532</v>
      </c>
    </row>
    <row r="534" customFormat="false" ht="15" hidden="false" customHeight="false" outlineLevel="0" collapsed="false">
      <c r="A534" s="14" t="n">
        <v>533</v>
      </c>
      <c r="B534" s="15" t="s">
        <v>370</v>
      </c>
      <c r="C534" s="15" t="s">
        <v>166</v>
      </c>
      <c r="D534" s="16" t="s">
        <v>166</v>
      </c>
      <c r="E534" s="16"/>
      <c r="F534" s="15" t="s">
        <v>375</v>
      </c>
      <c r="G534" s="15"/>
      <c r="H534" s="15" t="s">
        <v>197</v>
      </c>
      <c r="I534" s="17" t="n">
        <v>29.58</v>
      </c>
      <c r="J534" s="16"/>
      <c r="K534" s="15" t="s">
        <v>372</v>
      </c>
      <c r="L534" s="15" t="n">
        <f aca="false">IF(AND(OR(Search!$C$4="",Search!$C$4="All",B534=Search!$C$4),OR(Search!$C$5="",Search!$C$5="All",C534=Search!$C$5),OR(Search!$C$6="",Search!$C$6="All",D534=Search!$C$6),OR(Search!$C$7="",ISNUMBER(SEARCH(Search!$C$7,D534&amp;" "&amp;E534&amp;" "&amp;F534&amp;" "&amp;G534&amp;" "&amp;H534&amp;" "&amp;J534))),OR(Search!$C$8="",ISNUMBER(SEARCH(Search!$C$8,G534)))),1,0)</f>
        <v>1</v>
      </c>
      <c r="M534" s="15" t="n">
        <f aca="false">M533+L534</f>
        <v>533</v>
      </c>
    </row>
    <row r="535" customFormat="false" ht="15" hidden="false" customHeight="false" outlineLevel="0" collapsed="false">
      <c r="A535" s="14" t="n">
        <v>534</v>
      </c>
      <c r="B535" s="15" t="s">
        <v>370</v>
      </c>
      <c r="C535" s="15" t="s">
        <v>166</v>
      </c>
      <c r="D535" s="16" t="s">
        <v>444</v>
      </c>
      <c r="E535" s="16"/>
      <c r="F535" s="15" t="s">
        <v>442</v>
      </c>
      <c r="G535" s="15" t="s">
        <v>427</v>
      </c>
      <c r="H535" s="15" t="s">
        <v>445</v>
      </c>
      <c r="I535" s="17" t="n">
        <v>770.1</v>
      </c>
      <c r="J535" s="16"/>
      <c r="K535" s="15" t="s">
        <v>372</v>
      </c>
      <c r="L535" s="15" t="n">
        <f aca="false">IF(AND(OR(Search!$C$4="",Search!$C$4="All",B535=Search!$C$4),OR(Search!$C$5="",Search!$C$5="All",C535=Search!$C$5),OR(Search!$C$6="",Search!$C$6="All",D535=Search!$C$6),OR(Search!$C$7="",ISNUMBER(SEARCH(Search!$C$7,D535&amp;" "&amp;E535&amp;" "&amp;F535&amp;" "&amp;G535&amp;" "&amp;H535&amp;" "&amp;J535))),OR(Search!$C$8="",ISNUMBER(SEARCH(Search!$C$8,G535)))),1,0)</f>
        <v>1</v>
      </c>
      <c r="M535" s="15" t="n">
        <f aca="false">M534+L535</f>
        <v>534</v>
      </c>
    </row>
    <row r="536" customFormat="false" ht="15" hidden="false" customHeight="false" outlineLevel="0" collapsed="false">
      <c r="A536" s="14" t="n">
        <v>535</v>
      </c>
      <c r="B536" s="15" t="s">
        <v>370</v>
      </c>
      <c r="C536" s="15" t="s">
        <v>166</v>
      </c>
      <c r="D536" s="16" t="s">
        <v>444</v>
      </c>
      <c r="E536" s="16"/>
      <c r="F536" s="15" t="s">
        <v>442</v>
      </c>
      <c r="G536" s="15" t="s">
        <v>428</v>
      </c>
      <c r="H536" s="15" t="s">
        <v>445</v>
      </c>
      <c r="I536" s="17" t="n">
        <v>907.8</v>
      </c>
      <c r="J536" s="16"/>
      <c r="K536" s="15" t="s">
        <v>372</v>
      </c>
      <c r="L536" s="15" t="n">
        <f aca="false">IF(AND(OR(Search!$C$4="",Search!$C$4="All",B536=Search!$C$4),OR(Search!$C$5="",Search!$C$5="All",C536=Search!$C$5),OR(Search!$C$6="",Search!$C$6="All",D536=Search!$C$6),OR(Search!$C$7="",ISNUMBER(SEARCH(Search!$C$7,D536&amp;" "&amp;E536&amp;" "&amp;F536&amp;" "&amp;G536&amp;" "&amp;H536&amp;" "&amp;J536))),OR(Search!$C$8="",ISNUMBER(SEARCH(Search!$C$8,G536)))),1,0)</f>
        <v>1</v>
      </c>
      <c r="M536" s="15" t="n">
        <f aca="false">M535+L536</f>
        <v>535</v>
      </c>
    </row>
    <row r="537" customFormat="false" ht="15" hidden="false" customHeight="false" outlineLevel="0" collapsed="false">
      <c r="A537" s="14" t="n">
        <v>536</v>
      </c>
      <c r="B537" s="15" t="s">
        <v>370</v>
      </c>
      <c r="C537" s="15" t="s">
        <v>166</v>
      </c>
      <c r="D537" s="16" t="s">
        <v>444</v>
      </c>
      <c r="E537" s="16"/>
      <c r="F537" s="15" t="s">
        <v>371</v>
      </c>
      <c r="G537" s="15" t="s">
        <v>427</v>
      </c>
      <c r="H537" s="15" t="s">
        <v>445</v>
      </c>
      <c r="I537" s="17" t="n">
        <v>851.7</v>
      </c>
      <c r="J537" s="16"/>
      <c r="K537" s="15" t="s">
        <v>372</v>
      </c>
      <c r="L537" s="15" t="n">
        <f aca="false">IF(AND(OR(Search!$C$4="",Search!$C$4="All",B537=Search!$C$4),OR(Search!$C$5="",Search!$C$5="All",C537=Search!$C$5),OR(Search!$C$6="",Search!$C$6="All",D537=Search!$C$6),OR(Search!$C$7="",ISNUMBER(SEARCH(Search!$C$7,D537&amp;" "&amp;E537&amp;" "&amp;F537&amp;" "&amp;G537&amp;" "&amp;H537&amp;" "&amp;J537))),OR(Search!$C$8="",ISNUMBER(SEARCH(Search!$C$8,G537)))),1,0)</f>
        <v>1</v>
      </c>
      <c r="M537" s="15" t="n">
        <f aca="false">M536+L537</f>
        <v>536</v>
      </c>
    </row>
    <row r="538" customFormat="false" ht="15" hidden="false" customHeight="false" outlineLevel="0" collapsed="false">
      <c r="A538" s="14" t="n">
        <v>537</v>
      </c>
      <c r="B538" s="15" t="s">
        <v>370</v>
      </c>
      <c r="C538" s="15" t="s">
        <v>166</v>
      </c>
      <c r="D538" s="16" t="s">
        <v>444</v>
      </c>
      <c r="E538" s="16"/>
      <c r="F538" s="15" t="s">
        <v>371</v>
      </c>
      <c r="G538" s="15" t="s">
        <v>428</v>
      </c>
      <c r="H538" s="15" t="s">
        <v>445</v>
      </c>
      <c r="I538" s="17" t="n">
        <v>1004.7</v>
      </c>
      <c r="J538" s="16"/>
      <c r="K538" s="15" t="s">
        <v>372</v>
      </c>
      <c r="L538" s="15" t="n">
        <f aca="false">IF(AND(OR(Search!$C$4="",Search!$C$4="All",B538=Search!$C$4),OR(Search!$C$5="",Search!$C$5="All",C538=Search!$C$5),OR(Search!$C$6="",Search!$C$6="All",D538=Search!$C$6),OR(Search!$C$7="",ISNUMBER(SEARCH(Search!$C$7,D538&amp;" "&amp;E538&amp;" "&amp;F538&amp;" "&amp;G538&amp;" "&amp;H538&amp;" "&amp;J538))),OR(Search!$C$8="",ISNUMBER(SEARCH(Search!$C$8,G538)))),1,0)</f>
        <v>1</v>
      </c>
      <c r="M538" s="15" t="n">
        <f aca="false">M537+L538</f>
        <v>537</v>
      </c>
    </row>
    <row r="539" customFormat="false" ht="15" hidden="false" customHeight="false" outlineLevel="0" collapsed="false">
      <c r="A539" s="14" t="n">
        <v>538</v>
      </c>
      <c r="B539" s="15" t="s">
        <v>370</v>
      </c>
      <c r="C539" s="15" t="s">
        <v>166</v>
      </c>
      <c r="D539" s="16" t="s">
        <v>166</v>
      </c>
      <c r="E539" s="16"/>
      <c r="F539" s="15" t="s">
        <v>441</v>
      </c>
      <c r="G539" s="15" t="s">
        <v>429</v>
      </c>
      <c r="H539" s="15" t="s">
        <v>161</v>
      </c>
      <c r="I539" s="17" t="n">
        <v>1173</v>
      </c>
      <c r="J539" s="16"/>
      <c r="K539" s="15" t="s">
        <v>372</v>
      </c>
      <c r="L539" s="15" t="n">
        <f aca="false">IF(AND(OR(Search!$C$4="",Search!$C$4="All",B539=Search!$C$4),OR(Search!$C$5="",Search!$C$5="All",C539=Search!$C$5),OR(Search!$C$6="",Search!$C$6="All",D539=Search!$C$6),OR(Search!$C$7="",ISNUMBER(SEARCH(Search!$C$7,D539&amp;" "&amp;E539&amp;" "&amp;F539&amp;" "&amp;G539&amp;" "&amp;H539&amp;" "&amp;J539))),OR(Search!$C$8="",ISNUMBER(SEARCH(Search!$C$8,G539)))),1,0)</f>
        <v>1</v>
      </c>
      <c r="M539" s="15" t="n">
        <f aca="false">M538+L539</f>
        <v>538</v>
      </c>
    </row>
    <row r="540" customFormat="false" ht="15" hidden="false" customHeight="false" outlineLevel="0" collapsed="false">
      <c r="A540" s="14" t="n">
        <v>539</v>
      </c>
      <c r="B540" s="15" t="s">
        <v>370</v>
      </c>
      <c r="C540" s="15" t="s">
        <v>166</v>
      </c>
      <c r="D540" s="16" t="s">
        <v>166</v>
      </c>
      <c r="E540" s="16"/>
      <c r="F540" s="15" t="s">
        <v>375</v>
      </c>
      <c r="G540" s="15" t="s">
        <v>429</v>
      </c>
      <c r="H540" s="15" t="s">
        <v>161</v>
      </c>
      <c r="I540" s="17" t="n">
        <v>2397</v>
      </c>
      <c r="J540" s="16"/>
      <c r="K540" s="15" t="s">
        <v>372</v>
      </c>
      <c r="L540" s="15" t="n">
        <f aca="false">IF(AND(OR(Search!$C$4="",Search!$C$4="All",B540=Search!$C$4),OR(Search!$C$5="",Search!$C$5="All",C540=Search!$C$5),OR(Search!$C$6="",Search!$C$6="All",D540=Search!$C$6),OR(Search!$C$7="",ISNUMBER(SEARCH(Search!$C$7,D540&amp;" "&amp;E540&amp;" "&amp;F540&amp;" "&amp;G540&amp;" "&amp;H540&amp;" "&amp;J540))),OR(Search!$C$8="",ISNUMBER(SEARCH(Search!$C$8,G540)))),1,0)</f>
        <v>1</v>
      </c>
      <c r="M540" s="15" t="n">
        <f aca="false">M539+L540</f>
        <v>539</v>
      </c>
    </row>
    <row r="541" customFormat="false" ht="15" hidden="false" customHeight="false" outlineLevel="0" collapsed="false">
      <c r="A541" s="14" t="n">
        <v>540</v>
      </c>
      <c r="B541" s="15" t="s">
        <v>370</v>
      </c>
      <c r="C541" s="15" t="s">
        <v>166</v>
      </c>
      <c r="D541" s="16" t="s">
        <v>166</v>
      </c>
      <c r="E541" s="16"/>
      <c r="F541" s="15" t="s">
        <v>446</v>
      </c>
      <c r="G541" s="15"/>
      <c r="H541" s="15" t="s">
        <v>161</v>
      </c>
      <c r="I541" s="17" t="n">
        <v>795.6</v>
      </c>
      <c r="J541" s="16" t="s">
        <v>384</v>
      </c>
      <c r="K541" s="15" t="s">
        <v>372</v>
      </c>
      <c r="L541" s="15" t="n">
        <f aca="false">IF(AND(OR(Search!$C$4="",Search!$C$4="All",B541=Search!$C$4),OR(Search!$C$5="",Search!$C$5="All",C541=Search!$C$5),OR(Search!$C$6="",Search!$C$6="All",D541=Search!$C$6),OR(Search!$C$7="",ISNUMBER(SEARCH(Search!$C$7,D541&amp;" "&amp;E541&amp;" "&amp;F541&amp;" "&amp;G541&amp;" "&amp;H541&amp;" "&amp;J541))),OR(Search!$C$8="",ISNUMBER(SEARCH(Search!$C$8,G541)))),1,0)</f>
        <v>1</v>
      </c>
      <c r="M541" s="15" t="n">
        <f aca="false">M540+L541</f>
        <v>540</v>
      </c>
    </row>
    <row r="542" customFormat="false" ht="15" hidden="false" customHeight="false" outlineLevel="0" collapsed="false">
      <c r="A542" s="14" t="n">
        <v>541</v>
      </c>
      <c r="B542" s="15" t="s">
        <v>370</v>
      </c>
      <c r="C542" s="15" t="s">
        <v>166</v>
      </c>
      <c r="D542" s="16" t="s">
        <v>166</v>
      </c>
      <c r="E542" s="16"/>
      <c r="F542" s="15" t="s">
        <v>371</v>
      </c>
      <c r="G542" s="15"/>
      <c r="H542" s="15" t="s">
        <v>161</v>
      </c>
      <c r="I542" s="17" t="n">
        <v>882.3</v>
      </c>
      <c r="J542" s="16" t="s">
        <v>384</v>
      </c>
      <c r="K542" s="15" t="s">
        <v>372</v>
      </c>
      <c r="L542" s="15" t="n">
        <f aca="false">IF(AND(OR(Search!$C$4="",Search!$C$4="All",B542=Search!$C$4),OR(Search!$C$5="",Search!$C$5="All",C542=Search!$C$5),OR(Search!$C$6="",Search!$C$6="All",D542=Search!$C$6),OR(Search!$C$7="",ISNUMBER(SEARCH(Search!$C$7,D542&amp;" "&amp;E542&amp;" "&amp;F542&amp;" "&amp;G542&amp;" "&amp;H542&amp;" "&amp;J542))),OR(Search!$C$8="",ISNUMBER(SEARCH(Search!$C$8,G542)))),1,0)</f>
        <v>1</v>
      </c>
      <c r="M542" s="15" t="n">
        <f aca="false">M541+L542</f>
        <v>541</v>
      </c>
    </row>
    <row r="543" customFormat="false" ht="15" hidden="false" customHeight="false" outlineLevel="0" collapsed="false">
      <c r="A543" s="14" t="n">
        <v>542</v>
      </c>
      <c r="B543" s="15" t="s">
        <v>370</v>
      </c>
      <c r="C543" s="15" t="s">
        <v>158</v>
      </c>
      <c r="D543" s="16" t="s">
        <v>447</v>
      </c>
      <c r="E543" s="16"/>
      <c r="F543" s="15" t="s">
        <v>448</v>
      </c>
      <c r="G543" s="15" t="s">
        <v>427</v>
      </c>
      <c r="H543" s="15" t="s">
        <v>161</v>
      </c>
      <c r="I543" s="17" t="n">
        <v>91.8</v>
      </c>
      <c r="J543" s="16"/>
      <c r="K543" s="15" t="s">
        <v>372</v>
      </c>
      <c r="L543" s="15" t="n">
        <f aca="false">IF(AND(OR(Search!$C$4="",Search!$C$4="All",B543=Search!$C$4),OR(Search!$C$5="",Search!$C$5="All",C543=Search!$C$5),OR(Search!$C$6="",Search!$C$6="All",D543=Search!$C$6),OR(Search!$C$7="",ISNUMBER(SEARCH(Search!$C$7,D543&amp;" "&amp;E543&amp;" "&amp;F543&amp;" "&amp;G543&amp;" "&amp;H543&amp;" "&amp;J543))),OR(Search!$C$8="",ISNUMBER(SEARCH(Search!$C$8,G543)))),1,0)</f>
        <v>1</v>
      </c>
      <c r="M543" s="15" t="n">
        <f aca="false">M542+L543</f>
        <v>542</v>
      </c>
    </row>
    <row r="544" customFormat="false" ht="15" hidden="false" customHeight="false" outlineLevel="0" collapsed="false">
      <c r="A544" s="14" t="n">
        <v>543</v>
      </c>
      <c r="B544" s="15" t="s">
        <v>370</v>
      </c>
      <c r="C544" s="15" t="s">
        <v>158</v>
      </c>
      <c r="D544" s="16" t="s">
        <v>447</v>
      </c>
      <c r="E544" s="16"/>
      <c r="F544" s="15" t="s">
        <v>448</v>
      </c>
      <c r="G544" s="15" t="s">
        <v>428</v>
      </c>
      <c r="H544" s="15" t="s">
        <v>161</v>
      </c>
      <c r="I544" s="17" t="n">
        <v>96.9</v>
      </c>
      <c r="J544" s="16"/>
      <c r="K544" s="15" t="s">
        <v>372</v>
      </c>
      <c r="L544" s="15" t="n">
        <f aca="false">IF(AND(OR(Search!$C$4="",Search!$C$4="All",B544=Search!$C$4),OR(Search!$C$5="",Search!$C$5="All",C544=Search!$C$5),OR(Search!$C$6="",Search!$C$6="All",D544=Search!$C$6),OR(Search!$C$7="",ISNUMBER(SEARCH(Search!$C$7,D544&amp;" "&amp;E544&amp;" "&amp;F544&amp;" "&amp;G544&amp;" "&amp;H544&amp;" "&amp;J544))),OR(Search!$C$8="",ISNUMBER(SEARCH(Search!$C$8,G544)))),1,0)</f>
        <v>1</v>
      </c>
      <c r="M544" s="15" t="n">
        <f aca="false">M543+L544</f>
        <v>543</v>
      </c>
    </row>
    <row r="545" customFormat="false" ht="15" hidden="false" customHeight="false" outlineLevel="0" collapsed="false">
      <c r="A545" s="14" t="n">
        <v>544</v>
      </c>
      <c r="B545" s="15" t="s">
        <v>370</v>
      </c>
      <c r="C545" s="15" t="s">
        <v>158</v>
      </c>
      <c r="D545" s="16" t="s">
        <v>447</v>
      </c>
      <c r="E545" s="16"/>
      <c r="F545" s="15" t="s">
        <v>448</v>
      </c>
      <c r="G545" s="15" t="s">
        <v>449</v>
      </c>
      <c r="H545" s="15" t="s">
        <v>161</v>
      </c>
      <c r="I545" s="17" t="n">
        <v>423.3</v>
      </c>
      <c r="J545" s="16"/>
      <c r="K545" s="15" t="s">
        <v>372</v>
      </c>
      <c r="L545" s="15" t="n">
        <f aca="false">IF(AND(OR(Search!$C$4="",Search!$C$4="All",B545=Search!$C$4),OR(Search!$C$5="",Search!$C$5="All",C545=Search!$C$5),OR(Search!$C$6="",Search!$C$6="All",D545=Search!$C$6),OR(Search!$C$7="",ISNUMBER(SEARCH(Search!$C$7,D545&amp;" "&amp;E545&amp;" "&amp;F545&amp;" "&amp;G545&amp;" "&amp;H545&amp;" "&amp;J545))),OR(Search!$C$8="",ISNUMBER(SEARCH(Search!$C$8,G545)))),1,0)</f>
        <v>1</v>
      </c>
      <c r="M545" s="15" t="n">
        <f aca="false">M544+L545</f>
        <v>544</v>
      </c>
    </row>
    <row r="546" customFormat="false" ht="15" hidden="false" customHeight="false" outlineLevel="0" collapsed="false">
      <c r="A546" s="14" t="n">
        <v>545</v>
      </c>
      <c r="B546" s="15" t="s">
        <v>370</v>
      </c>
      <c r="C546" s="15" t="s">
        <v>158</v>
      </c>
      <c r="D546" s="16" t="s">
        <v>447</v>
      </c>
      <c r="E546" s="16"/>
      <c r="F546" s="15" t="s">
        <v>448</v>
      </c>
      <c r="G546" s="15" t="s">
        <v>164</v>
      </c>
      <c r="H546" s="15" t="s">
        <v>161</v>
      </c>
      <c r="I546" s="17" t="n">
        <v>714</v>
      </c>
      <c r="J546" s="16"/>
      <c r="K546" s="15" t="s">
        <v>372</v>
      </c>
      <c r="L546" s="15" t="n">
        <f aca="false">IF(AND(OR(Search!$C$4="",Search!$C$4="All",B546=Search!$C$4),OR(Search!$C$5="",Search!$C$5="All",C546=Search!$C$5),OR(Search!$C$6="",Search!$C$6="All",D546=Search!$C$6),OR(Search!$C$7="",ISNUMBER(SEARCH(Search!$C$7,D546&amp;" "&amp;E546&amp;" "&amp;F546&amp;" "&amp;G546&amp;" "&amp;H546&amp;" "&amp;J546))),OR(Search!$C$8="",ISNUMBER(SEARCH(Search!$C$8,G546)))),1,0)</f>
        <v>1</v>
      </c>
      <c r="M546" s="15" t="n">
        <f aca="false">M545+L546</f>
        <v>545</v>
      </c>
    </row>
    <row r="547" customFormat="false" ht="15" hidden="false" customHeight="false" outlineLevel="0" collapsed="false">
      <c r="A547" s="14" t="n">
        <v>546</v>
      </c>
      <c r="B547" s="15" t="s">
        <v>370</v>
      </c>
      <c r="C547" s="15" t="s">
        <v>158</v>
      </c>
      <c r="D547" s="16" t="s">
        <v>447</v>
      </c>
      <c r="E547" s="16"/>
      <c r="F547" s="15" t="s">
        <v>448</v>
      </c>
      <c r="G547" s="15" t="s">
        <v>160</v>
      </c>
      <c r="H547" s="15" t="s">
        <v>161</v>
      </c>
      <c r="I547" s="17" t="n">
        <v>744.6</v>
      </c>
      <c r="J547" s="16"/>
      <c r="K547" s="15" t="s">
        <v>372</v>
      </c>
      <c r="L547" s="15" t="n">
        <f aca="false">IF(AND(OR(Search!$C$4="",Search!$C$4="All",B547=Search!$C$4),OR(Search!$C$5="",Search!$C$5="All",C547=Search!$C$5),OR(Search!$C$6="",Search!$C$6="All",D547=Search!$C$6),OR(Search!$C$7="",ISNUMBER(SEARCH(Search!$C$7,D547&amp;" "&amp;E547&amp;" "&amp;F547&amp;" "&amp;G547&amp;" "&amp;H547&amp;" "&amp;J547))),OR(Search!$C$8="",ISNUMBER(SEARCH(Search!$C$8,G547)))),1,0)</f>
        <v>1</v>
      </c>
      <c r="M547" s="15" t="n">
        <f aca="false">M546+L547</f>
        <v>546</v>
      </c>
    </row>
    <row r="548" customFormat="false" ht="15" hidden="false" customHeight="false" outlineLevel="0" collapsed="false">
      <c r="A548" s="14" t="n">
        <v>547</v>
      </c>
      <c r="B548" s="15" t="s">
        <v>370</v>
      </c>
      <c r="C548" s="15" t="s">
        <v>158</v>
      </c>
      <c r="D548" s="16" t="s">
        <v>447</v>
      </c>
      <c r="E548" s="16"/>
      <c r="F548" s="15" t="s">
        <v>448</v>
      </c>
      <c r="G548" s="15" t="s">
        <v>163</v>
      </c>
      <c r="H548" s="15" t="s">
        <v>161</v>
      </c>
      <c r="I548" s="17" t="n">
        <v>810.9</v>
      </c>
      <c r="J548" s="16"/>
      <c r="K548" s="15" t="s">
        <v>372</v>
      </c>
      <c r="L548" s="15" t="n">
        <f aca="false">IF(AND(OR(Search!$C$4="",Search!$C$4="All",B548=Search!$C$4),OR(Search!$C$5="",Search!$C$5="All",C548=Search!$C$5),OR(Search!$C$6="",Search!$C$6="All",D548=Search!$C$6),OR(Search!$C$7="",ISNUMBER(SEARCH(Search!$C$7,D548&amp;" "&amp;E548&amp;" "&amp;F548&amp;" "&amp;G548&amp;" "&amp;H548&amp;" "&amp;J548))),OR(Search!$C$8="",ISNUMBER(SEARCH(Search!$C$8,G548)))),1,0)</f>
        <v>1</v>
      </c>
      <c r="M548" s="15" t="n">
        <f aca="false">M547+L548</f>
        <v>547</v>
      </c>
    </row>
    <row r="549" customFormat="false" ht="15" hidden="false" customHeight="false" outlineLevel="0" collapsed="false">
      <c r="A549" s="14" t="n">
        <v>548</v>
      </c>
      <c r="B549" s="15" t="s">
        <v>370</v>
      </c>
      <c r="C549" s="15" t="s">
        <v>158</v>
      </c>
      <c r="D549" s="16" t="s">
        <v>447</v>
      </c>
      <c r="E549" s="16"/>
      <c r="F549" s="15" t="s">
        <v>450</v>
      </c>
      <c r="G549" s="15" t="s">
        <v>427</v>
      </c>
      <c r="H549" s="15" t="s">
        <v>161</v>
      </c>
      <c r="I549" s="17" t="n">
        <v>96.9</v>
      </c>
      <c r="J549" s="16"/>
      <c r="K549" s="15" t="s">
        <v>372</v>
      </c>
      <c r="L549" s="15" t="n">
        <f aca="false">IF(AND(OR(Search!$C$4="",Search!$C$4="All",B549=Search!$C$4),OR(Search!$C$5="",Search!$C$5="All",C549=Search!$C$5),OR(Search!$C$6="",Search!$C$6="All",D549=Search!$C$6),OR(Search!$C$7="",ISNUMBER(SEARCH(Search!$C$7,D549&amp;" "&amp;E549&amp;" "&amp;F549&amp;" "&amp;G549&amp;" "&amp;H549&amp;" "&amp;J549))),OR(Search!$C$8="",ISNUMBER(SEARCH(Search!$C$8,G549)))),1,0)</f>
        <v>1</v>
      </c>
      <c r="M549" s="15" t="n">
        <f aca="false">M548+L549</f>
        <v>548</v>
      </c>
    </row>
    <row r="550" customFormat="false" ht="15" hidden="false" customHeight="false" outlineLevel="0" collapsed="false">
      <c r="A550" s="14" t="n">
        <v>549</v>
      </c>
      <c r="B550" s="15" t="s">
        <v>370</v>
      </c>
      <c r="C550" s="15" t="s">
        <v>158</v>
      </c>
      <c r="D550" s="16" t="s">
        <v>447</v>
      </c>
      <c r="E550" s="16"/>
      <c r="F550" s="15" t="s">
        <v>450</v>
      </c>
      <c r="G550" s="15" t="s">
        <v>428</v>
      </c>
      <c r="H550" s="15" t="s">
        <v>161</v>
      </c>
      <c r="I550" s="17" t="n">
        <v>107.1</v>
      </c>
      <c r="J550" s="16"/>
      <c r="K550" s="15" t="s">
        <v>372</v>
      </c>
      <c r="L550" s="15" t="n">
        <f aca="false">IF(AND(OR(Search!$C$4="",Search!$C$4="All",B550=Search!$C$4),OR(Search!$C$5="",Search!$C$5="All",C550=Search!$C$5),OR(Search!$C$6="",Search!$C$6="All",D550=Search!$C$6),OR(Search!$C$7="",ISNUMBER(SEARCH(Search!$C$7,D550&amp;" "&amp;E550&amp;" "&amp;F550&amp;" "&amp;G550&amp;" "&amp;H550&amp;" "&amp;J550))),OR(Search!$C$8="",ISNUMBER(SEARCH(Search!$C$8,G550)))),1,0)</f>
        <v>1</v>
      </c>
      <c r="M550" s="15" t="n">
        <f aca="false">M549+L550</f>
        <v>549</v>
      </c>
    </row>
    <row r="551" customFormat="false" ht="15" hidden="false" customHeight="false" outlineLevel="0" collapsed="false">
      <c r="A551" s="14" t="n">
        <v>550</v>
      </c>
      <c r="B551" s="15" t="s">
        <v>370</v>
      </c>
      <c r="C551" s="15" t="s">
        <v>158</v>
      </c>
      <c r="D551" s="16" t="s">
        <v>447</v>
      </c>
      <c r="E551" s="16"/>
      <c r="F551" s="15" t="s">
        <v>450</v>
      </c>
      <c r="G551" s="15" t="s">
        <v>449</v>
      </c>
      <c r="H551" s="15" t="s">
        <v>161</v>
      </c>
      <c r="I551" s="17" t="n">
        <v>397.8</v>
      </c>
      <c r="J551" s="16"/>
      <c r="K551" s="15" t="s">
        <v>372</v>
      </c>
      <c r="L551" s="15" t="n">
        <f aca="false">IF(AND(OR(Search!$C$4="",Search!$C$4="All",B551=Search!$C$4),OR(Search!$C$5="",Search!$C$5="All",C551=Search!$C$5),OR(Search!$C$6="",Search!$C$6="All",D551=Search!$C$6),OR(Search!$C$7="",ISNUMBER(SEARCH(Search!$C$7,D551&amp;" "&amp;E551&amp;" "&amp;F551&amp;" "&amp;G551&amp;" "&amp;H551&amp;" "&amp;J551))),OR(Search!$C$8="",ISNUMBER(SEARCH(Search!$C$8,G551)))),1,0)</f>
        <v>1</v>
      </c>
      <c r="M551" s="15" t="n">
        <f aca="false">M550+L551</f>
        <v>550</v>
      </c>
    </row>
    <row r="552" customFormat="false" ht="15" hidden="false" customHeight="false" outlineLevel="0" collapsed="false">
      <c r="A552" s="14" t="n">
        <v>551</v>
      </c>
      <c r="B552" s="15" t="s">
        <v>370</v>
      </c>
      <c r="C552" s="15" t="s">
        <v>158</v>
      </c>
      <c r="D552" s="16" t="s">
        <v>447</v>
      </c>
      <c r="E552" s="16"/>
      <c r="F552" s="15" t="s">
        <v>450</v>
      </c>
      <c r="G552" s="15" t="s">
        <v>164</v>
      </c>
      <c r="H552" s="15" t="s">
        <v>161</v>
      </c>
      <c r="I552" s="17" t="n">
        <v>729.3</v>
      </c>
      <c r="J552" s="16"/>
      <c r="K552" s="15" t="s">
        <v>372</v>
      </c>
      <c r="L552" s="15" t="n">
        <f aca="false">IF(AND(OR(Search!$C$4="",Search!$C$4="All",B552=Search!$C$4),OR(Search!$C$5="",Search!$C$5="All",C552=Search!$C$5),OR(Search!$C$6="",Search!$C$6="All",D552=Search!$C$6),OR(Search!$C$7="",ISNUMBER(SEARCH(Search!$C$7,D552&amp;" "&amp;E552&amp;" "&amp;F552&amp;" "&amp;G552&amp;" "&amp;H552&amp;" "&amp;J552))),OR(Search!$C$8="",ISNUMBER(SEARCH(Search!$C$8,G552)))),1,0)</f>
        <v>1</v>
      </c>
      <c r="M552" s="15" t="n">
        <f aca="false">M551+L552</f>
        <v>551</v>
      </c>
    </row>
    <row r="553" customFormat="false" ht="15" hidden="false" customHeight="false" outlineLevel="0" collapsed="false">
      <c r="A553" s="14" t="n">
        <v>552</v>
      </c>
      <c r="B553" s="15" t="s">
        <v>370</v>
      </c>
      <c r="C553" s="15" t="s">
        <v>158</v>
      </c>
      <c r="D553" s="16" t="s">
        <v>447</v>
      </c>
      <c r="E553" s="16"/>
      <c r="F553" s="15" t="s">
        <v>450</v>
      </c>
      <c r="G553" s="15" t="s">
        <v>160</v>
      </c>
      <c r="H553" s="15" t="s">
        <v>161</v>
      </c>
      <c r="I553" s="17" t="n">
        <v>824.16</v>
      </c>
      <c r="J553" s="16"/>
      <c r="K553" s="15" t="s">
        <v>372</v>
      </c>
      <c r="L553" s="15" t="n">
        <f aca="false">IF(AND(OR(Search!$C$4="",Search!$C$4="All",B553=Search!$C$4),OR(Search!$C$5="",Search!$C$5="All",C553=Search!$C$5),OR(Search!$C$6="",Search!$C$6="All",D553=Search!$C$6),OR(Search!$C$7="",ISNUMBER(SEARCH(Search!$C$7,D553&amp;" "&amp;E553&amp;" "&amp;F553&amp;" "&amp;G553&amp;" "&amp;H553&amp;" "&amp;J553))),OR(Search!$C$8="",ISNUMBER(SEARCH(Search!$C$8,G553)))),1,0)</f>
        <v>1</v>
      </c>
      <c r="M553" s="15" t="n">
        <f aca="false">M552+L553</f>
        <v>552</v>
      </c>
    </row>
    <row r="554" customFormat="false" ht="15" hidden="false" customHeight="false" outlineLevel="0" collapsed="false">
      <c r="A554" s="14" t="n">
        <v>553</v>
      </c>
      <c r="B554" s="15" t="s">
        <v>370</v>
      </c>
      <c r="C554" s="15" t="s">
        <v>158</v>
      </c>
      <c r="D554" s="16" t="s">
        <v>447</v>
      </c>
      <c r="E554" s="16"/>
      <c r="F554" s="15" t="s">
        <v>450</v>
      </c>
      <c r="G554" s="15" t="s">
        <v>163</v>
      </c>
      <c r="H554" s="15" t="s">
        <v>161</v>
      </c>
      <c r="I554" s="17" t="n">
        <v>851.7</v>
      </c>
      <c r="J554" s="16"/>
      <c r="K554" s="15" t="s">
        <v>372</v>
      </c>
      <c r="L554" s="15" t="n">
        <f aca="false">IF(AND(OR(Search!$C$4="",Search!$C$4="All",B554=Search!$C$4),OR(Search!$C$5="",Search!$C$5="All",C554=Search!$C$5),OR(Search!$C$6="",Search!$C$6="All",D554=Search!$C$6),OR(Search!$C$7="",ISNUMBER(SEARCH(Search!$C$7,D554&amp;" "&amp;E554&amp;" "&amp;F554&amp;" "&amp;G554&amp;" "&amp;H554&amp;" "&amp;J554))),OR(Search!$C$8="",ISNUMBER(SEARCH(Search!$C$8,G554)))),1,0)</f>
        <v>1</v>
      </c>
      <c r="M554" s="15" t="n">
        <f aca="false">M553+L554</f>
        <v>553</v>
      </c>
    </row>
    <row r="555" customFormat="false" ht="15" hidden="false" customHeight="false" outlineLevel="0" collapsed="false">
      <c r="A555" s="14" t="n">
        <v>554</v>
      </c>
      <c r="B555" s="15" t="s">
        <v>370</v>
      </c>
      <c r="C555" s="15" t="s">
        <v>158</v>
      </c>
      <c r="D555" s="16" t="s">
        <v>447</v>
      </c>
      <c r="E555" s="16"/>
      <c r="F555" s="15" t="s">
        <v>451</v>
      </c>
      <c r="G555" s="15" t="s">
        <v>427</v>
      </c>
      <c r="H555" s="15" t="s">
        <v>161</v>
      </c>
      <c r="I555" s="17" t="n">
        <v>102</v>
      </c>
      <c r="J555" s="16"/>
      <c r="K555" s="15" t="s">
        <v>372</v>
      </c>
      <c r="L555" s="15" t="n">
        <f aca="false">IF(AND(OR(Search!$C$4="",Search!$C$4="All",B555=Search!$C$4),OR(Search!$C$5="",Search!$C$5="All",C555=Search!$C$5),OR(Search!$C$6="",Search!$C$6="All",D555=Search!$C$6),OR(Search!$C$7="",ISNUMBER(SEARCH(Search!$C$7,D555&amp;" "&amp;E555&amp;" "&amp;F555&amp;" "&amp;G555&amp;" "&amp;H555&amp;" "&amp;J555))),OR(Search!$C$8="",ISNUMBER(SEARCH(Search!$C$8,G555)))),1,0)</f>
        <v>1</v>
      </c>
      <c r="M555" s="15" t="n">
        <f aca="false">M554+L555</f>
        <v>554</v>
      </c>
    </row>
    <row r="556" customFormat="false" ht="15" hidden="false" customHeight="false" outlineLevel="0" collapsed="false">
      <c r="A556" s="14" t="n">
        <v>555</v>
      </c>
      <c r="B556" s="15" t="s">
        <v>370</v>
      </c>
      <c r="C556" s="15" t="s">
        <v>158</v>
      </c>
      <c r="D556" s="16" t="s">
        <v>447</v>
      </c>
      <c r="E556" s="16"/>
      <c r="F556" s="15" t="s">
        <v>451</v>
      </c>
      <c r="G556" s="15" t="s">
        <v>428</v>
      </c>
      <c r="H556" s="15" t="s">
        <v>161</v>
      </c>
      <c r="I556" s="17" t="n">
        <v>112.2</v>
      </c>
      <c r="J556" s="16"/>
      <c r="K556" s="15" t="s">
        <v>372</v>
      </c>
      <c r="L556" s="15" t="n">
        <f aca="false">IF(AND(OR(Search!$C$4="",Search!$C$4="All",B556=Search!$C$4),OR(Search!$C$5="",Search!$C$5="All",C556=Search!$C$5),OR(Search!$C$6="",Search!$C$6="All",D556=Search!$C$6),OR(Search!$C$7="",ISNUMBER(SEARCH(Search!$C$7,D556&amp;" "&amp;E556&amp;" "&amp;F556&amp;" "&amp;G556&amp;" "&amp;H556&amp;" "&amp;J556))),OR(Search!$C$8="",ISNUMBER(SEARCH(Search!$C$8,G556)))),1,0)</f>
        <v>1</v>
      </c>
      <c r="M556" s="15" t="n">
        <f aca="false">M555+L556</f>
        <v>555</v>
      </c>
    </row>
    <row r="557" customFormat="false" ht="15" hidden="false" customHeight="false" outlineLevel="0" collapsed="false">
      <c r="A557" s="14" t="n">
        <v>556</v>
      </c>
      <c r="B557" s="15" t="s">
        <v>370</v>
      </c>
      <c r="C557" s="15" t="s">
        <v>158</v>
      </c>
      <c r="D557" s="16" t="s">
        <v>447</v>
      </c>
      <c r="E557" s="16"/>
      <c r="F557" s="15" t="s">
        <v>451</v>
      </c>
      <c r="G557" s="15" t="s">
        <v>449</v>
      </c>
      <c r="H557" s="15" t="s">
        <v>161</v>
      </c>
      <c r="I557" s="17" t="n">
        <v>438.6</v>
      </c>
      <c r="J557" s="16"/>
      <c r="K557" s="15" t="s">
        <v>372</v>
      </c>
      <c r="L557" s="15" t="n">
        <f aca="false">IF(AND(OR(Search!$C$4="",Search!$C$4="All",B557=Search!$C$4),OR(Search!$C$5="",Search!$C$5="All",C557=Search!$C$5),OR(Search!$C$6="",Search!$C$6="All",D557=Search!$C$6),OR(Search!$C$7="",ISNUMBER(SEARCH(Search!$C$7,D557&amp;" "&amp;E557&amp;" "&amp;F557&amp;" "&amp;G557&amp;" "&amp;H557&amp;" "&amp;J557))),OR(Search!$C$8="",ISNUMBER(SEARCH(Search!$C$8,G557)))),1,0)</f>
        <v>1</v>
      </c>
      <c r="M557" s="15" t="n">
        <f aca="false">M556+L557</f>
        <v>556</v>
      </c>
    </row>
    <row r="558" customFormat="false" ht="15" hidden="false" customHeight="false" outlineLevel="0" collapsed="false">
      <c r="A558" s="14" t="n">
        <v>557</v>
      </c>
      <c r="B558" s="15" t="s">
        <v>370</v>
      </c>
      <c r="C558" s="15" t="s">
        <v>158</v>
      </c>
      <c r="D558" s="16" t="s">
        <v>447</v>
      </c>
      <c r="E558" s="16"/>
      <c r="F558" s="15" t="s">
        <v>451</v>
      </c>
      <c r="G558" s="15" t="s">
        <v>164</v>
      </c>
      <c r="H558" s="15" t="s">
        <v>161</v>
      </c>
      <c r="I558" s="17" t="n">
        <v>754.8</v>
      </c>
      <c r="J558" s="16"/>
      <c r="K558" s="15" t="s">
        <v>372</v>
      </c>
      <c r="L558" s="15" t="n">
        <f aca="false">IF(AND(OR(Search!$C$4="",Search!$C$4="All",B558=Search!$C$4),OR(Search!$C$5="",Search!$C$5="All",C558=Search!$C$5),OR(Search!$C$6="",Search!$C$6="All",D558=Search!$C$6),OR(Search!$C$7="",ISNUMBER(SEARCH(Search!$C$7,D558&amp;" "&amp;E558&amp;" "&amp;F558&amp;" "&amp;G558&amp;" "&amp;H558&amp;" "&amp;J558))),OR(Search!$C$8="",ISNUMBER(SEARCH(Search!$C$8,G558)))),1,0)</f>
        <v>1</v>
      </c>
      <c r="M558" s="15" t="n">
        <f aca="false">M557+L558</f>
        <v>557</v>
      </c>
    </row>
    <row r="559" customFormat="false" ht="15" hidden="false" customHeight="false" outlineLevel="0" collapsed="false">
      <c r="A559" s="14" t="n">
        <v>558</v>
      </c>
      <c r="B559" s="15" t="s">
        <v>370</v>
      </c>
      <c r="C559" s="15" t="s">
        <v>158</v>
      </c>
      <c r="D559" s="16" t="s">
        <v>447</v>
      </c>
      <c r="E559" s="16"/>
      <c r="F559" s="15" t="s">
        <v>451</v>
      </c>
      <c r="G559" s="15" t="s">
        <v>160</v>
      </c>
      <c r="H559" s="15" t="s">
        <v>161</v>
      </c>
      <c r="I559" s="17" t="n">
        <v>861.9</v>
      </c>
      <c r="J559" s="16"/>
      <c r="K559" s="15" t="s">
        <v>372</v>
      </c>
      <c r="L559" s="15" t="n">
        <f aca="false">IF(AND(OR(Search!$C$4="",Search!$C$4="All",B559=Search!$C$4),OR(Search!$C$5="",Search!$C$5="All",C559=Search!$C$5),OR(Search!$C$6="",Search!$C$6="All",D559=Search!$C$6),OR(Search!$C$7="",ISNUMBER(SEARCH(Search!$C$7,D559&amp;" "&amp;E559&amp;" "&amp;F559&amp;" "&amp;G559&amp;" "&amp;H559&amp;" "&amp;J559))),OR(Search!$C$8="",ISNUMBER(SEARCH(Search!$C$8,G559)))),1,0)</f>
        <v>1</v>
      </c>
      <c r="M559" s="15" t="n">
        <f aca="false">M558+L559</f>
        <v>558</v>
      </c>
    </row>
    <row r="560" customFormat="false" ht="15" hidden="false" customHeight="false" outlineLevel="0" collapsed="false">
      <c r="A560" s="14" t="n">
        <v>559</v>
      </c>
      <c r="B560" s="15" t="s">
        <v>370</v>
      </c>
      <c r="C560" s="15" t="s">
        <v>158</v>
      </c>
      <c r="D560" s="16" t="s">
        <v>447</v>
      </c>
      <c r="E560" s="16"/>
      <c r="F560" s="15" t="s">
        <v>451</v>
      </c>
      <c r="G560" s="15" t="s">
        <v>163</v>
      </c>
      <c r="H560" s="15" t="s">
        <v>161</v>
      </c>
      <c r="I560" s="17" t="n">
        <v>928.2</v>
      </c>
      <c r="J560" s="16"/>
      <c r="K560" s="15" t="s">
        <v>372</v>
      </c>
      <c r="L560" s="15" t="n">
        <f aca="false">IF(AND(OR(Search!$C$4="",Search!$C$4="All",B560=Search!$C$4),OR(Search!$C$5="",Search!$C$5="All",C560=Search!$C$5),OR(Search!$C$6="",Search!$C$6="All",D560=Search!$C$6),OR(Search!$C$7="",ISNUMBER(SEARCH(Search!$C$7,D560&amp;" "&amp;E560&amp;" "&amp;F560&amp;" "&amp;G560&amp;" "&amp;H560&amp;" "&amp;J560))),OR(Search!$C$8="",ISNUMBER(SEARCH(Search!$C$8,G560)))),1,0)</f>
        <v>1</v>
      </c>
      <c r="M560" s="15" t="n">
        <f aca="false">M559+L560</f>
        <v>559</v>
      </c>
    </row>
    <row r="561" customFormat="false" ht="15" hidden="false" customHeight="false" outlineLevel="0" collapsed="false">
      <c r="A561" s="14" t="n">
        <v>560</v>
      </c>
      <c r="B561" s="15" t="s">
        <v>370</v>
      </c>
      <c r="C561" s="15" t="s">
        <v>158</v>
      </c>
      <c r="D561" s="16" t="s">
        <v>447</v>
      </c>
      <c r="E561" s="16"/>
      <c r="F561" s="15" t="s">
        <v>452</v>
      </c>
      <c r="G561" s="15" t="s">
        <v>427</v>
      </c>
      <c r="H561" s="15" t="s">
        <v>161</v>
      </c>
      <c r="I561" s="17" t="n">
        <v>92.82</v>
      </c>
      <c r="J561" s="16"/>
      <c r="K561" s="15" t="s">
        <v>372</v>
      </c>
      <c r="L561" s="15" t="n">
        <f aca="false">IF(AND(OR(Search!$C$4="",Search!$C$4="All",B561=Search!$C$4),OR(Search!$C$5="",Search!$C$5="All",C561=Search!$C$5),OR(Search!$C$6="",Search!$C$6="All",D561=Search!$C$6),OR(Search!$C$7="",ISNUMBER(SEARCH(Search!$C$7,D561&amp;" "&amp;E561&amp;" "&amp;F561&amp;" "&amp;G561&amp;" "&amp;H561&amp;" "&amp;J561))),OR(Search!$C$8="",ISNUMBER(SEARCH(Search!$C$8,G561)))),1,0)</f>
        <v>1</v>
      </c>
      <c r="M561" s="15" t="n">
        <f aca="false">M560+L561</f>
        <v>560</v>
      </c>
    </row>
    <row r="562" customFormat="false" ht="15" hidden="false" customHeight="false" outlineLevel="0" collapsed="false">
      <c r="A562" s="14" t="n">
        <v>561</v>
      </c>
      <c r="B562" s="15" t="s">
        <v>370</v>
      </c>
      <c r="C562" s="15" t="s">
        <v>158</v>
      </c>
      <c r="D562" s="16" t="s">
        <v>447</v>
      </c>
      <c r="E562" s="16"/>
      <c r="F562" s="15" t="s">
        <v>452</v>
      </c>
      <c r="G562" s="15" t="s">
        <v>428</v>
      </c>
      <c r="H562" s="15" t="s">
        <v>161</v>
      </c>
      <c r="I562" s="17" t="n">
        <v>104.04</v>
      </c>
      <c r="J562" s="16"/>
      <c r="K562" s="15" t="s">
        <v>372</v>
      </c>
      <c r="L562" s="15" t="n">
        <f aca="false">IF(AND(OR(Search!$C$4="",Search!$C$4="All",B562=Search!$C$4),OR(Search!$C$5="",Search!$C$5="All",C562=Search!$C$5),OR(Search!$C$6="",Search!$C$6="All",D562=Search!$C$6),OR(Search!$C$7="",ISNUMBER(SEARCH(Search!$C$7,D562&amp;" "&amp;E562&amp;" "&amp;F562&amp;" "&amp;G562&amp;" "&amp;H562&amp;" "&amp;J562))),OR(Search!$C$8="",ISNUMBER(SEARCH(Search!$C$8,G562)))),1,0)</f>
        <v>1</v>
      </c>
      <c r="M562" s="15" t="n">
        <f aca="false">M561+L562</f>
        <v>561</v>
      </c>
    </row>
    <row r="563" customFormat="false" ht="15" hidden="false" customHeight="false" outlineLevel="0" collapsed="false">
      <c r="A563" s="14" t="n">
        <v>562</v>
      </c>
      <c r="B563" s="15" t="s">
        <v>370</v>
      </c>
      <c r="C563" s="15" t="s">
        <v>158</v>
      </c>
      <c r="D563" s="16" t="s">
        <v>447</v>
      </c>
      <c r="E563" s="16"/>
      <c r="F563" s="15" t="s">
        <v>452</v>
      </c>
      <c r="G563" s="15" t="s">
        <v>164</v>
      </c>
      <c r="H563" s="15" t="s">
        <v>161</v>
      </c>
      <c r="I563" s="17" t="n">
        <v>714</v>
      </c>
      <c r="J563" s="16"/>
      <c r="K563" s="15" t="s">
        <v>372</v>
      </c>
      <c r="L563" s="15" t="n">
        <f aca="false">IF(AND(OR(Search!$C$4="",Search!$C$4="All",B563=Search!$C$4),OR(Search!$C$5="",Search!$C$5="All",C563=Search!$C$5),OR(Search!$C$6="",Search!$C$6="All",D563=Search!$C$6),OR(Search!$C$7="",ISNUMBER(SEARCH(Search!$C$7,D563&amp;" "&amp;E563&amp;" "&amp;F563&amp;" "&amp;G563&amp;" "&amp;H563&amp;" "&amp;J563))),OR(Search!$C$8="",ISNUMBER(SEARCH(Search!$C$8,G563)))),1,0)</f>
        <v>1</v>
      </c>
      <c r="M563" s="15" t="n">
        <f aca="false">M562+L563</f>
        <v>562</v>
      </c>
    </row>
    <row r="564" customFormat="false" ht="15" hidden="false" customHeight="false" outlineLevel="0" collapsed="false">
      <c r="A564" s="14" t="n">
        <v>563</v>
      </c>
      <c r="B564" s="15" t="s">
        <v>370</v>
      </c>
      <c r="C564" s="15" t="s">
        <v>158</v>
      </c>
      <c r="D564" s="16" t="s">
        <v>447</v>
      </c>
      <c r="E564" s="16"/>
      <c r="F564" s="15" t="s">
        <v>452</v>
      </c>
      <c r="G564" s="15" t="s">
        <v>163</v>
      </c>
      <c r="H564" s="15" t="s">
        <v>161</v>
      </c>
      <c r="I564" s="17" t="n">
        <v>887.4</v>
      </c>
      <c r="J564" s="16"/>
      <c r="K564" s="15" t="s">
        <v>372</v>
      </c>
      <c r="L564" s="15" t="n">
        <f aca="false">IF(AND(OR(Search!$C$4="",Search!$C$4="All",B564=Search!$C$4),OR(Search!$C$5="",Search!$C$5="All",C564=Search!$C$5),OR(Search!$C$6="",Search!$C$6="All",D564=Search!$C$6),OR(Search!$C$7="",ISNUMBER(SEARCH(Search!$C$7,D564&amp;" "&amp;E564&amp;" "&amp;F564&amp;" "&amp;G564&amp;" "&amp;H564&amp;" "&amp;J564))),OR(Search!$C$8="",ISNUMBER(SEARCH(Search!$C$8,G564)))),1,0)</f>
        <v>1</v>
      </c>
      <c r="M564" s="15" t="n">
        <f aca="false">M563+L564</f>
        <v>563</v>
      </c>
    </row>
    <row r="565" customFormat="false" ht="15" hidden="false" customHeight="false" outlineLevel="0" collapsed="false">
      <c r="A565" s="14" t="n">
        <v>564</v>
      </c>
      <c r="B565" s="15" t="s">
        <v>370</v>
      </c>
      <c r="C565" s="15" t="s">
        <v>158</v>
      </c>
      <c r="D565" s="16" t="s">
        <v>453</v>
      </c>
      <c r="E565" s="16"/>
      <c r="F565" s="15" t="s">
        <v>454</v>
      </c>
      <c r="G565" s="15" t="s">
        <v>427</v>
      </c>
      <c r="H565" s="15" t="s">
        <v>161</v>
      </c>
      <c r="I565" s="17" t="n">
        <v>112.2</v>
      </c>
      <c r="J565" s="16"/>
      <c r="K565" s="15" t="s">
        <v>372</v>
      </c>
      <c r="L565" s="15" t="n">
        <f aca="false">IF(AND(OR(Search!$C$4="",Search!$C$4="All",B565=Search!$C$4),OR(Search!$C$5="",Search!$C$5="All",C565=Search!$C$5),OR(Search!$C$6="",Search!$C$6="All",D565=Search!$C$6),OR(Search!$C$7="",ISNUMBER(SEARCH(Search!$C$7,D565&amp;" "&amp;E565&amp;" "&amp;F565&amp;" "&amp;G565&amp;" "&amp;H565&amp;" "&amp;J565))),OR(Search!$C$8="",ISNUMBER(SEARCH(Search!$C$8,G565)))),1,0)</f>
        <v>1</v>
      </c>
      <c r="M565" s="15" t="n">
        <f aca="false">M564+L565</f>
        <v>564</v>
      </c>
    </row>
    <row r="566" customFormat="false" ht="15" hidden="false" customHeight="false" outlineLevel="0" collapsed="false">
      <c r="A566" s="14" t="n">
        <v>565</v>
      </c>
      <c r="B566" s="15" t="s">
        <v>370</v>
      </c>
      <c r="C566" s="15" t="s">
        <v>158</v>
      </c>
      <c r="D566" s="16" t="s">
        <v>453</v>
      </c>
      <c r="E566" s="16"/>
      <c r="F566" s="15" t="s">
        <v>454</v>
      </c>
      <c r="G566" s="15" t="s">
        <v>428</v>
      </c>
      <c r="H566" s="15" t="s">
        <v>161</v>
      </c>
      <c r="I566" s="17" t="n">
        <v>132.6</v>
      </c>
      <c r="J566" s="16"/>
      <c r="K566" s="15" t="s">
        <v>372</v>
      </c>
      <c r="L566" s="15" t="n">
        <f aca="false">IF(AND(OR(Search!$C$4="",Search!$C$4="All",B566=Search!$C$4),OR(Search!$C$5="",Search!$C$5="All",C566=Search!$C$5),OR(Search!$C$6="",Search!$C$6="All",D566=Search!$C$6),OR(Search!$C$7="",ISNUMBER(SEARCH(Search!$C$7,D566&amp;" "&amp;E566&amp;" "&amp;F566&amp;" "&amp;G566&amp;" "&amp;H566&amp;" "&amp;J566))),OR(Search!$C$8="",ISNUMBER(SEARCH(Search!$C$8,G566)))),1,0)</f>
        <v>1</v>
      </c>
      <c r="M566" s="15" t="n">
        <f aca="false">M565+L566</f>
        <v>565</v>
      </c>
    </row>
    <row r="567" customFormat="false" ht="15" hidden="false" customHeight="false" outlineLevel="0" collapsed="false">
      <c r="A567" s="14" t="n">
        <v>566</v>
      </c>
      <c r="B567" s="15" t="s">
        <v>370</v>
      </c>
      <c r="C567" s="15" t="s">
        <v>158</v>
      </c>
      <c r="D567" s="16" t="s">
        <v>453</v>
      </c>
      <c r="E567" s="16"/>
      <c r="F567" s="15" t="s">
        <v>454</v>
      </c>
      <c r="G567" s="15" t="s">
        <v>164</v>
      </c>
      <c r="H567" s="15" t="s">
        <v>161</v>
      </c>
      <c r="I567" s="17" t="n">
        <v>897.6</v>
      </c>
      <c r="J567" s="16"/>
      <c r="K567" s="15" t="s">
        <v>372</v>
      </c>
      <c r="L567" s="15" t="n">
        <f aca="false">IF(AND(OR(Search!$C$4="",Search!$C$4="All",B567=Search!$C$4),OR(Search!$C$5="",Search!$C$5="All",C567=Search!$C$5),OR(Search!$C$6="",Search!$C$6="All",D567=Search!$C$6),OR(Search!$C$7="",ISNUMBER(SEARCH(Search!$C$7,D567&amp;" "&amp;E567&amp;" "&amp;F567&amp;" "&amp;G567&amp;" "&amp;H567&amp;" "&amp;J567))),OR(Search!$C$8="",ISNUMBER(SEARCH(Search!$C$8,G567)))),1,0)</f>
        <v>1</v>
      </c>
      <c r="M567" s="15" t="n">
        <f aca="false">M566+L567</f>
        <v>566</v>
      </c>
    </row>
    <row r="568" customFormat="false" ht="15" hidden="false" customHeight="false" outlineLevel="0" collapsed="false">
      <c r="A568" s="14" t="n">
        <v>567</v>
      </c>
      <c r="B568" s="15" t="s">
        <v>370</v>
      </c>
      <c r="C568" s="15" t="s">
        <v>158</v>
      </c>
      <c r="D568" s="16" t="s">
        <v>453</v>
      </c>
      <c r="E568" s="16"/>
      <c r="F568" s="15" t="s">
        <v>454</v>
      </c>
      <c r="G568" s="15" t="s">
        <v>160</v>
      </c>
      <c r="H568" s="15" t="s">
        <v>161</v>
      </c>
      <c r="I568" s="17" t="n">
        <v>1014.9</v>
      </c>
      <c r="J568" s="16"/>
      <c r="K568" s="15" t="s">
        <v>372</v>
      </c>
      <c r="L568" s="15" t="n">
        <f aca="false">IF(AND(OR(Search!$C$4="",Search!$C$4="All",B568=Search!$C$4),OR(Search!$C$5="",Search!$C$5="All",C568=Search!$C$5),OR(Search!$C$6="",Search!$C$6="All",D568=Search!$C$6),OR(Search!$C$7="",ISNUMBER(SEARCH(Search!$C$7,D568&amp;" "&amp;E568&amp;" "&amp;F568&amp;" "&amp;G568&amp;" "&amp;H568&amp;" "&amp;J568))),OR(Search!$C$8="",ISNUMBER(SEARCH(Search!$C$8,G568)))),1,0)</f>
        <v>1</v>
      </c>
      <c r="M568" s="15" t="n">
        <f aca="false">M567+L568</f>
        <v>567</v>
      </c>
    </row>
    <row r="569" customFormat="false" ht="15" hidden="false" customHeight="false" outlineLevel="0" collapsed="false">
      <c r="A569" s="14" t="n">
        <v>568</v>
      </c>
      <c r="B569" s="15" t="s">
        <v>370</v>
      </c>
      <c r="C569" s="15" t="s">
        <v>158</v>
      </c>
      <c r="D569" s="16" t="s">
        <v>453</v>
      </c>
      <c r="E569" s="16"/>
      <c r="F569" s="15" t="s">
        <v>454</v>
      </c>
      <c r="G569" s="15" t="s">
        <v>163</v>
      </c>
      <c r="H569" s="15" t="s">
        <v>161</v>
      </c>
      <c r="I569" s="17" t="n">
        <v>1096.5</v>
      </c>
      <c r="J569" s="16"/>
      <c r="K569" s="15" t="s">
        <v>372</v>
      </c>
      <c r="L569" s="15" t="n">
        <f aca="false">IF(AND(OR(Search!$C$4="",Search!$C$4="All",B569=Search!$C$4),OR(Search!$C$5="",Search!$C$5="All",C569=Search!$C$5),OR(Search!$C$6="",Search!$C$6="All",D569=Search!$C$6),OR(Search!$C$7="",ISNUMBER(SEARCH(Search!$C$7,D569&amp;" "&amp;E569&amp;" "&amp;F569&amp;" "&amp;G569&amp;" "&amp;H569&amp;" "&amp;J569))),OR(Search!$C$8="",ISNUMBER(SEARCH(Search!$C$8,G569)))),1,0)</f>
        <v>1</v>
      </c>
      <c r="M569" s="15" t="n">
        <f aca="false">M568+L569</f>
        <v>568</v>
      </c>
    </row>
    <row r="570" customFormat="false" ht="15" hidden="false" customHeight="false" outlineLevel="0" collapsed="false">
      <c r="A570" s="14" t="n">
        <v>569</v>
      </c>
      <c r="B570" s="15" t="s">
        <v>370</v>
      </c>
      <c r="C570" s="15" t="s">
        <v>158</v>
      </c>
      <c r="D570" s="16" t="s">
        <v>453</v>
      </c>
      <c r="E570" s="16"/>
      <c r="F570" s="15" t="s">
        <v>455</v>
      </c>
      <c r="G570" s="15" t="s">
        <v>427</v>
      </c>
      <c r="H570" s="15" t="s">
        <v>161</v>
      </c>
      <c r="I570" s="17" t="n">
        <v>117.3</v>
      </c>
      <c r="J570" s="16"/>
      <c r="K570" s="15" t="s">
        <v>372</v>
      </c>
      <c r="L570" s="15" t="n">
        <f aca="false">IF(AND(OR(Search!$C$4="",Search!$C$4="All",B570=Search!$C$4),OR(Search!$C$5="",Search!$C$5="All",C570=Search!$C$5),OR(Search!$C$6="",Search!$C$6="All",D570=Search!$C$6),OR(Search!$C$7="",ISNUMBER(SEARCH(Search!$C$7,D570&amp;" "&amp;E570&amp;" "&amp;F570&amp;" "&amp;G570&amp;" "&amp;H570&amp;" "&amp;J570))),OR(Search!$C$8="",ISNUMBER(SEARCH(Search!$C$8,G570)))),1,0)</f>
        <v>1</v>
      </c>
      <c r="M570" s="15" t="n">
        <f aca="false">M569+L570</f>
        <v>569</v>
      </c>
    </row>
    <row r="571" customFormat="false" ht="15" hidden="false" customHeight="false" outlineLevel="0" collapsed="false">
      <c r="A571" s="14" t="n">
        <v>570</v>
      </c>
      <c r="B571" s="15" t="s">
        <v>370</v>
      </c>
      <c r="C571" s="15" t="s">
        <v>158</v>
      </c>
      <c r="D571" s="16" t="s">
        <v>453</v>
      </c>
      <c r="E571" s="16"/>
      <c r="F571" s="15" t="s">
        <v>455</v>
      </c>
      <c r="G571" s="15" t="s">
        <v>428</v>
      </c>
      <c r="H571" s="15" t="s">
        <v>161</v>
      </c>
      <c r="I571" s="17" t="n">
        <v>137.7</v>
      </c>
      <c r="J571" s="16"/>
      <c r="K571" s="15" t="s">
        <v>372</v>
      </c>
      <c r="L571" s="15" t="n">
        <f aca="false">IF(AND(OR(Search!$C$4="",Search!$C$4="All",B571=Search!$C$4),OR(Search!$C$5="",Search!$C$5="All",C571=Search!$C$5),OR(Search!$C$6="",Search!$C$6="All",D571=Search!$C$6),OR(Search!$C$7="",ISNUMBER(SEARCH(Search!$C$7,D571&amp;" "&amp;E571&amp;" "&amp;F571&amp;" "&amp;G571&amp;" "&amp;H571&amp;" "&amp;J571))),OR(Search!$C$8="",ISNUMBER(SEARCH(Search!$C$8,G571)))),1,0)</f>
        <v>1</v>
      </c>
      <c r="M571" s="15" t="n">
        <f aca="false">M570+L571</f>
        <v>570</v>
      </c>
    </row>
    <row r="572" customFormat="false" ht="15" hidden="false" customHeight="false" outlineLevel="0" collapsed="false">
      <c r="A572" s="14" t="n">
        <v>571</v>
      </c>
      <c r="B572" s="15" t="s">
        <v>370</v>
      </c>
      <c r="C572" s="15" t="s">
        <v>158</v>
      </c>
      <c r="D572" s="16" t="s">
        <v>453</v>
      </c>
      <c r="E572" s="16"/>
      <c r="F572" s="15" t="s">
        <v>455</v>
      </c>
      <c r="G572" s="15" t="s">
        <v>164</v>
      </c>
      <c r="H572" s="15" t="s">
        <v>161</v>
      </c>
      <c r="I572" s="17" t="n">
        <v>918</v>
      </c>
      <c r="J572" s="16"/>
      <c r="K572" s="15" t="s">
        <v>372</v>
      </c>
      <c r="L572" s="15" t="n">
        <f aca="false">IF(AND(OR(Search!$C$4="",Search!$C$4="All",B572=Search!$C$4),OR(Search!$C$5="",Search!$C$5="All",C572=Search!$C$5),OR(Search!$C$6="",Search!$C$6="All",D572=Search!$C$6),OR(Search!$C$7="",ISNUMBER(SEARCH(Search!$C$7,D572&amp;" "&amp;E572&amp;" "&amp;F572&amp;" "&amp;G572&amp;" "&amp;H572&amp;" "&amp;J572))),OR(Search!$C$8="",ISNUMBER(SEARCH(Search!$C$8,G572)))),1,0)</f>
        <v>1</v>
      </c>
      <c r="M572" s="15" t="n">
        <f aca="false">M571+L572</f>
        <v>571</v>
      </c>
    </row>
    <row r="573" customFormat="false" ht="15" hidden="false" customHeight="false" outlineLevel="0" collapsed="false">
      <c r="A573" s="14" t="n">
        <v>572</v>
      </c>
      <c r="B573" s="15" t="s">
        <v>370</v>
      </c>
      <c r="C573" s="15" t="s">
        <v>158</v>
      </c>
      <c r="D573" s="16" t="s">
        <v>453</v>
      </c>
      <c r="E573" s="16"/>
      <c r="F573" s="15" t="s">
        <v>455</v>
      </c>
      <c r="G573" s="15" t="s">
        <v>160</v>
      </c>
      <c r="H573" s="15" t="s">
        <v>161</v>
      </c>
      <c r="I573" s="17" t="n">
        <v>1071</v>
      </c>
      <c r="J573" s="16"/>
      <c r="K573" s="15" t="s">
        <v>372</v>
      </c>
      <c r="L573" s="15" t="n">
        <f aca="false">IF(AND(OR(Search!$C$4="",Search!$C$4="All",B573=Search!$C$4),OR(Search!$C$5="",Search!$C$5="All",C573=Search!$C$5),OR(Search!$C$6="",Search!$C$6="All",D573=Search!$C$6),OR(Search!$C$7="",ISNUMBER(SEARCH(Search!$C$7,D573&amp;" "&amp;E573&amp;" "&amp;F573&amp;" "&amp;G573&amp;" "&amp;H573&amp;" "&amp;J573))),OR(Search!$C$8="",ISNUMBER(SEARCH(Search!$C$8,G573)))),1,0)</f>
        <v>1</v>
      </c>
      <c r="M573" s="15" t="n">
        <f aca="false">M572+L573</f>
        <v>572</v>
      </c>
    </row>
    <row r="574" customFormat="false" ht="15" hidden="false" customHeight="false" outlineLevel="0" collapsed="false">
      <c r="A574" s="14" t="n">
        <v>573</v>
      </c>
      <c r="B574" s="15" t="s">
        <v>370</v>
      </c>
      <c r="C574" s="15" t="s">
        <v>158</v>
      </c>
      <c r="D574" s="16" t="s">
        <v>453</v>
      </c>
      <c r="E574" s="16"/>
      <c r="F574" s="15" t="s">
        <v>455</v>
      </c>
      <c r="G574" s="15" t="s">
        <v>163</v>
      </c>
      <c r="H574" s="15" t="s">
        <v>161</v>
      </c>
      <c r="I574" s="17" t="n">
        <v>1147.5</v>
      </c>
      <c r="J574" s="16"/>
      <c r="K574" s="15" t="s">
        <v>372</v>
      </c>
      <c r="L574" s="15" t="n">
        <f aca="false">IF(AND(OR(Search!$C$4="",Search!$C$4="All",B574=Search!$C$4),OR(Search!$C$5="",Search!$C$5="All",C574=Search!$C$5),OR(Search!$C$6="",Search!$C$6="All",D574=Search!$C$6),OR(Search!$C$7="",ISNUMBER(SEARCH(Search!$C$7,D574&amp;" "&amp;E574&amp;" "&amp;F574&amp;" "&amp;G574&amp;" "&amp;H574&amp;" "&amp;J574))),OR(Search!$C$8="",ISNUMBER(SEARCH(Search!$C$8,G574)))),1,0)</f>
        <v>1</v>
      </c>
      <c r="M574" s="15" t="n">
        <f aca="false">M573+L574</f>
        <v>573</v>
      </c>
    </row>
    <row r="575" customFormat="false" ht="15" hidden="false" customHeight="false" outlineLevel="0" collapsed="false">
      <c r="A575" s="14" t="n">
        <v>574</v>
      </c>
      <c r="B575" s="15" t="s">
        <v>370</v>
      </c>
      <c r="C575" s="15" t="s">
        <v>158</v>
      </c>
      <c r="D575" s="16" t="s">
        <v>453</v>
      </c>
      <c r="E575" s="16"/>
      <c r="F575" s="15" t="s">
        <v>456</v>
      </c>
      <c r="G575" s="15" t="s">
        <v>427</v>
      </c>
      <c r="H575" s="15" t="s">
        <v>161</v>
      </c>
      <c r="I575" s="17" t="n">
        <v>128.01</v>
      </c>
      <c r="J575" s="16"/>
      <c r="K575" s="15" t="s">
        <v>372</v>
      </c>
      <c r="L575" s="15" t="n">
        <f aca="false">IF(AND(OR(Search!$C$4="",Search!$C$4="All",B575=Search!$C$4),OR(Search!$C$5="",Search!$C$5="All",C575=Search!$C$5),OR(Search!$C$6="",Search!$C$6="All",D575=Search!$C$6),OR(Search!$C$7="",ISNUMBER(SEARCH(Search!$C$7,D575&amp;" "&amp;E575&amp;" "&amp;F575&amp;" "&amp;G575&amp;" "&amp;H575&amp;" "&amp;J575))),OR(Search!$C$8="",ISNUMBER(SEARCH(Search!$C$8,G575)))),1,0)</f>
        <v>1</v>
      </c>
      <c r="M575" s="15" t="n">
        <f aca="false">M574+L575</f>
        <v>574</v>
      </c>
    </row>
    <row r="576" customFormat="false" ht="15" hidden="false" customHeight="false" outlineLevel="0" collapsed="false">
      <c r="A576" s="14" t="n">
        <v>575</v>
      </c>
      <c r="B576" s="15" t="s">
        <v>370</v>
      </c>
      <c r="C576" s="15" t="s">
        <v>158</v>
      </c>
      <c r="D576" s="16" t="s">
        <v>453</v>
      </c>
      <c r="E576" s="16"/>
      <c r="F576" s="15" t="s">
        <v>456</v>
      </c>
      <c r="G576" s="15" t="s">
        <v>428</v>
      </c>
      <c r="H576" s="15" t="s">
        <v>161</v>
      </c>
      <c r="I576" s="17" t="n">
        <v>150.96</v>
      </c>
      <c r="J576" s="16"/>
      <c r="K576" s="15" t="s">
        <v>372</v>
      </c>
      <c r="L576" s="15" t="n">
        <f aca="false">IF(AND(OR(Search!$C$4="",Search!$C$4="All",B576=Search!$C$4),OR(Search!$C$5="",Search!$C$5="All",C576=Search!$C$5),OR(Search!$C$6="",Search!$C$6="All",D576=Search!$C$6),OR(Search!$C$7="",ISNUMBER(SEARCH(Search!$C$7,D576&amp;" "&amp;E576&amp;" "&amp;F576&amp;" "&amp;G576&amp;" "&amp;H576&amp;" "&amp;J576))),OR(Search!$C$8="",ISNUMBER(SEARCH(Search!$C$8,G576)))),1,0)</f>
        <v>1</v>
      </c>
      <c r="M576" s="15" t="n">
        <f aca="false">M575+L576</f>
        <v>575</v>
      </c>
    </row>
    <row r="577" customFormat="false" ht="15" hidden="false" customHeight="false" outlineLevel="0" collapsed="false">
      <c r="A577" s="14" t="n">
        <v>576</v>
      </c>
      <c r="B577" s="15" t="s">
        <v>370</v>
      </c>
      <c r="C577" s="15" t="s">
        <v>158</v>
      </c>
      <c r="D577" s="16" t="s">
        <v>453</v>
      </c>
      <c r="E577" s="16"/>
      <c r="F577" s="15" t="s">
        <v>456</v>
      </c>
      <c r="G577" s="15" t="s">
        <v>164</v>
      </c>
      <c r="H577" s="15" t="s">
        <v>161</v>
      </c>
      <c r="I577" s="17" t="n">
        <v>1050.6</v>
      </c>
      <c r="J577" s="16"/>
      <c r="K577" s="15" t="s">
        <v>372</v>
      </c>
      <c r="L577" s="15" t="n">
        <f aca="false">IF(AND(OR(Search!$C$4="",Search!$C$4="All",B577=Search!$C$4),OR(Search!$C$5="",Search!$C$5="All",C577=Search!$C$5),OR(Search!$C$6="",Search!$C$6="All",D577=Search!$C$6),OR(Search!$C$7="",ISNUMBER(SEARCH(Search!$C$7,D577&amp;" "&amp;E577&amp;" "&amp;F577&amp;" "&amp;G577&amp;" "&amp;H577&amp;" "&amp;J577))),OR(Search!$C$8="",ISNUMBER(SEARCH(Search!$C$8,G577)))),1,0)</f>
        <v>1</v>
      </c>
      <c r="M577" s="15" t="n">
        <f aca="false">M576+L577</f>
        <v>576</v>
      </c>
    </row>
    <row r="578" customFormat="false" ht="15" hidden="false" customHeight="false" outlineLevel="0" collapsed="false">
      <c r="A578" s="14" t="n">
        <v>577</v>
      </c>
      <c r="B578" s="15" t="s">
        <v>370</v>
      </c>
      <c r="C578" s="15" t="s">
        <v>158</v>
      </c>
      <c r="D578" s="16" t="s">
        <v>453</v>
      </c>
      <c r="E578" s="16"/>
      <c r="F578" s="15" t="s">
        <v>456</v>
      </c>
      <c r="G578" s="15" t="s">
        <v>160</v>
      </c>
      <c r="H578" s="15" t="s">
        <v>161</v>
      </c>
      <c r="I578" s="17" t="n">
        <v>1173</v>
      </c>
      <c r="J578" s="16"/>
      <c r="K578" s="15" t="s">
        <v>372</v>
      </c>
      <c r="L578" s="15" t="n">
        <f aca="false">IF(AND(OR(Search!$C$4="",Search!$C$4="All",B578=Search!$C$4),OR(Search!$C$5="",Search!$C$5="All",C578=Search!$C$5),OR(Search!$C$6="",Search!$C$6="All",D578=Search!$C$6),OR(Search!$C$7="",ISNUMBER(SEARCH(Search!$C$7,D578&amp;" "&amp;E578&amp;" "&amp;F578&amp;" "&amp;G578&amp;" "&amp;H578&amp;" "&amp;J578))),OR(Search!$C$8="",ISNUMBER(SEARCH(Search!$C$8,G578)))),1,0)</f>
        <v>1</v>
      </c>
      <c r="M578" s="15" t="n">
        <f aca="false">M577+L578</f>
        <v>577</v>
      </c>
    </row>
    <row r="579" customFormat="false" ht="15" hidden="false" customHeight="false" outlineLevel="0" collapsed="false">
      <c r="A579" s="14" t="n">
        <v>578</v>
      </c>
      <c r="B579" s="15" t="s">
        <v>370</v>
      </c>
      <c r="C579" s="15" t="s">
        <v>158</v>
      </c>
      <c r="D579" s="16" t="s">
        <v>453</v>
      </c>
      <c r="E579" s="16"/>
      <c r="F579" s="15" t="s">
        <v>456</v>
      </c>
      <c r="G579" s="15" t="s">
        <v>163</v>
      </c>
      <c r="H579" s="15" t="s">
        <v>161</v>
      </c>
      <c r="I579" s="17" t="n">
        <v>1280.1</v>
      </c>
      <c r="J579" s="16"/>
      <c r="K579" s="15" t="s">
        <v>372</v>
      </c>
      <c r="L579" s="15" t="n">
        <f aca="false">IF(AND(OR(Search!$C$4="",Search!$C$4="All",B579=Search!$C$4),OR(Search!$C$5="",Search!$C$5="All",C579=Search!$C$5),OR(Search!$C$6="",Search!$C$6="All",D579=Search!$C$6),OR(Search!$C$7="",ISNUMBER(SEARCH(Search!$C$7,D579&amp;" "&amp;E579&amp;" "&amp;F579&amp;" "&amp;G579&amp;" "&amp;H579&amp;" "&amp;J579))),OR(Search!$C$8="",ISNUMBER(SEARCH(Search!$C$8,G579)))),1,0)</f>
        <v>1</v>
      </c>
      <c r="M579" s="15" t="n">
        <f aca="false">M578+L579</f>
        <v>578</v>
      </c>
    </row>
    <row r="580" customFormat="false" ht="15" hidden="false" customHeight="false" outlineLevel="0" collapsed="false">
      <c r="A580" s="14" t="n">
        <v>579</v>
      </c>
      <c r="B580" s="15" t="s">
        <v>370</v>
      </c>
      <c r="C580" s="15" t="s">
        <v>282</v>
      </c>
      <c r="D580" s="16" t="s">
        <v>457</v>
      </c>
      <c r="E580" s="16" t="s">
        <v>458</v>
      </c>
      <c r="F580" s="15" t="s">
        <v>459</v>
      </c>
      <c r="G580" s="15" t="s">
        <v>284</v>
      </c>
      <c r="H580" s="15" t="s">
        <v>407</v>
      </c>
      <c r="I580" s="17" t="n">
        <v>367.2</v>
      </c>
      <c r="J580" s="16" t="s">
        <v>384</v>
      </c>
      <c r="K580" s="15" t="s">
        <v>372</v>
      </c>
      <c r="L580" s="15" t="n">
        <f aca="false">IF(AND(OR(Search!$C$4="",Search!$C$4="All",B580=Search!$C$4),OR(Search!$C$5="",Search!$C$5="All",C580=Search!$C$5),OR(Search!$C$6="",Search!$C$6="All",D580=Search!$C$6),OR(Search!$C$7="",ISNUMBER(SEARCH(Search!$C$7,D580&amp;" "&amp;E580&amp;" "&amp;F580&amp;" "&amp;G580&amp;" "&amp;H580&amp;" "&amp;J580))),OR(Search!$C$8="",ISNUMBER(SEARCH(Search!$C$8,G580)))),1,0)</f>
        <v>1</v>
      </c>
      <c r="M580" s="15" t="n">
        <f aca="false">M579+L580</f>
        <v>579</v>
      </c>
    </row>
    <row r="581" customFormat="false" ht="15" hidden="false" customHeight="false" outlineLevel="0" collapsed="false">
      <c r="A581" s="14" t="n">
        <v>580</v>
      </c>
      <c r="B581" s="15" t="s">
        <v>370</v>
      </c>
      <c r="C581" s="15" t="s">
        <v>282</v>
      </c>
      <c r="D581" s="16" t="s">
        <v>457</v>
      </c>
      <c r="E581" s="16" t="s">
        <v>458</v>
      </c>
      <c r="F581" s="15" t="s">
        <v>459</v>
      </c>
      <c r="G581" s="15" t="s">
        <v>284</v>
      </c>
      <c r="H581" s="15" t="s">
        <v>460</v>
      </c>
      <c r="I581" s="17" t="n">
        <v>765</v>
      </c>
      <c r="J581" s="16" t="s">
        <v>384</v>
      </c>
      <c r="K581" s="15" t="s">
        <v>372</v>
      </c>
      <c r="L581" s="15" t="n">
        <f aca="false">IF(AND(OR(Search!$C$4="",Search!$C$4="All",B581=Search!$C$4),OR(Search!$C$5="",Search!$C$5="All",C581=Search!$C$5),OR(Search!$C$6="",Search!$C$6="All",D581=Search!$C$6),OR(Search!$C$7="",ISNUMBER(SEARCH(Search!$C$7,D581&amp;" "&amp;E581&amp;" "&amp;F581&amp;" "&amp;G581&amp;" "&amp;H581&amp;" "&amp;J581))),OR(Search!$C$8="",ISNUMBER(SEARCH(Search!$C$8,G581)))),1,0)</f>
        <v>1</v>
      </c>
      <c r="M581" s="15" t="n">
        <f aca="false">M580+L581</f>
        <v>580</v>
      </c>
    </row>
    <row r="582" customFormat="false" ht="15" hidden="false" customHeight="false" outlineLevel="0" collapsed="false">
      <c r="A582" s="14" t="n">
        <v>581</v>
      </c>
      <c r="B582" s="15" t="s">
        <v>370</v>
      </c>
      <c r="C582" s="15" t="s">
        <v>282</v>
      </c>
      <c r="D582" s="16" t="s">
        <v>457</v>
      </c>
      <c r="E582" s="16" t="s">
        <v>458</v>
      </c>
      <c r="F582" s="15" t="s">
        <v>376</v>
      </c>
      <c r="G582" s="15" t="s">
        <v>284</v>
      </c>
      <c r="H582" s="15" t="s">
        <v>407</v>
      </c>
      <c r="I582" s="17" t="n">
        <v>744.6</v>
      </c>
      <c r="J582" s="16" t="s">
        <v>384</v>
      </c>
      <c r="K582" s="15" t="s">
        <v>372</v>
      </c>
      <c r="L582" s="15" t="n">
        <f aca="false">IF(AND(OR(Search!$C$4="",Search!$C$4="All",B582=Search!$C$4),OR(Search!$C$5="",Search!$C$5="All",C582=Search!$C$5),OR(Search!$C$6="",Search!$C$6="All",D582=Search!$C$6),OR(Search!$C$7="",ISNUMBER(SEARCH(Search!$C$7,D582&amp;" "&amp;E582&amp;" "&amp;F582&amp;" "&amp;G582&amp;" "&amp;H582&amp;" "&amp;J582))),OR(Search!$C$8="",ISNUMBER(SEARCH(Search!$C$8,G582)))),1,0)</f>
        <v>1</v>
      </c>
      <c r="M582" s="15" t="n">
        <f aca="false">M581+L582</f>
        <v>581</v>
      </c>
    </row>
    <row r="583" customFormat="false" ht="15" hidden="false" customHeight="false" outlineLevel="0" collapsed="false">
      <c r="A583" s="14" t="n">
        <v>582</v>
      </c>
      <c r="B583" s="15" t="s">
        <v>370</v>
      </c>
      <c r="C583" s="15" t="s">
        <v>282</v>
      </c>
      <c r="D583" s="16" t="s">
        <v>457</v>
      </c>
      <c r="E583" s="16" t="s">
        <v>458</v>
      </c>
      <c r="F583" s="15" t="s">
        <v>376</v>
      </c>
      <c r="G583" s="15" t="s">
        <v>284</v>
      </c>
      <c r="H583" s="15" t="s">
        <v>460</v>
      </c>
      <c r="I583" s="17" t="n">
        <v>1810.5</v>
      </c>
      <c r="J583" s="16" t="s">
        <v>384</v>
      </c>
      <c r="K583" s="15" t="s">
        <v>372</v>
      </c>
      <c r="L583" s="15" t="n">
        <f aca="false">IF(AND(OR(Search!$C$4="",Search!$C$4="All",B583=Search!$C$4),OR(Search!$C$5="",Search!$C$5="All",C583=Search!$C$5),OR(Search!$C$6="",Search!$C$6="All",D583=Search!$C$6),OR(Search!$C$7="",ISNUMBER(SEARCH(Search!$C$7,D583&amp;" "&amp;E583&amp;" "&amp;F583&amp;" "&amp;G583&amp;" "&amp;H583&amp;" "&amp;J583))),OR(Search!$C$8="",ISNUMBER(SEARCH(Search!$C$8,G583)))),1,0)</f>
        <v>1</v>
      </c>
      <c r="M583" s="15" t="n">
        <f aca="false">M582+L583</f>
        <v>582</v>
      </c>
    </row>
    <row r="584" customFormat="false" ht="15" hidden="false" customHeight="false" outlineLevel="0" collapsed="false">
      <c r="A584" s="14" t="n">
        <v>583</v>
      </c>
      <c r="B584" s="15" t="s">
        <v>370</v>
      </c>
      <c r="C584" s="15" t="s">
        <v>282</v>
      </c>
      <c r="D584" s="16" t="s">
        <v>457</v>
      </c>
      <c r="E584" s="16" t="s">
        <v>461</v>
      </c>
      <c r="F584" s="15" t="s">
        <v>459</v>
      </c>
      <c r="G584" s="15" t="s">
        <v>284</v>
      </c>
      <c r="H584" s="15" t="s">
        <v>407</v>
      </c>
      <c r="I584" s="17" t="n">
        <v>663</v>
      </c>
      <c r="J584" s="16" t="s">
        <v>384</v>
      </c>
      <c r="K584" s="15" t="s">
        <v>372</v>
      </c>
      <c r="L584" s="15" t="n">
        <f aca="false">IF(AND(OR(Search!$C$4="",Search!$C$4="All",B584=Search!$C$4),OR(Search!$C$5="",Search!$C$5="All",C584=Search!$C$5),OR(Search!$C$6="",Search!$C$6="All",D584=Search!$C$6),OR(Search!$C$7="",ISNUMBER(SEARCH(Search!$C$7,D584&amp;" "&amp;E584&amp;" "&amp;F584&amp;" "&amp;G584&amp;" "&amp;H584&amp;" "&amp;J584))),OR(Search!$C$8="",ISNUMBER(SEARCH(Search!$C$8,G584)))),1,0)</f>
        <v>1</v>
      </c>
      <c r="M584" s="15" t="n">
        <f aca="false">M583+L584</f>
        <v>583</v>
      </c>
    </row>
    <row r="585" customFormat="false" ht="15" hidden="false" customHeight="false" outlineLevel="0" collapsed="false">
      <c r="A585" s="14" t="n">
        <v>584</v>
      </c>
      <c r="B585" s="15" t="s">
        <v>370</v>
      </c>
      <c r="C585" s="15" t="s">
        <v>282</v>
      </c>
      <c r="D585" s="16" t="s">
        <v>457</v>
      </c>
      <c r="E585" s="16" t="s">
        <v>461</v>
      </c>
      <c r="F585" s="15" t="s">
        <v>459</v>
      </c>
      <c r="G585" s="15" t="s">
        <v>284</v>
      </c>
      <c r="H585" s="15" t="s">
        <v>460</v>
      </c>
      <c r="I585" s="17" t="n">
        <v>1632</v>
      </c>
      <c r="J585" s="16" t="s">
        <v>384</v>
      </c>
      <c r="K585" s="15" t="s">
        <v>372</v>
      </c>
      <c r="L585" s="15" t="n">
        <f aca="false">IF(AND(OR(Search!$C$4="",Search!$C$4="All",B585=Search!$C$4),OR(Search!$C$5="",Search!$C$5="All",C585=Search!$C$5),OR(Search!$C$6="",Search!$C$6="All",D585=Search!$C$6),OR(Search!$C$7="",ISNUMBER(SEARCH(Search!$C$7,D585&amp;" "&amp;E585&amp;" "&amp;F585&amp;" "&amp;G585&amp;" "&amp;H585&amp;" "&amp;J585))),OR(Search!$C$8="",ISNUMBER(SEARCH(Search!$C$8,G585)))),1,0)</f>
        <v>1</v>
      </c>
      <c r="M585" s="15" t="n">
        <f aca="false">M584+L585</f>
        <v>584</v>
      </c>
    </row>
    <row r="586" customFormat="false" ht="15" hidden="false" customHeight="false" outlineLevel="0" collapsed="false">
      <c r="A586" s="14" t="n">
        <v>585</v>
      </c>
      <c r="B586" s="15" t="s">
        <v>370</v>
      </c>
      <c r="C586" s="15" t="s">
        <v>282</v>
      </c>
      <c r="D586" s="16" t="s">
        <v>457</v>
      </c>
      <c r="E586" s="16" t="s">
        <v>462</v>
      </c>
      <c r="F586" s="15" t="s">
        <v>459</v>
      </c>
      <c r="G586" s="15" t="s">
        <v>284</v>
      </c>
      <c r="H586" s="15" t="s">
        <v>407</v>
      </c>
      <c r="I586" s="17" t="n">
        <v>816</v>
      </c>
      <c r="J586" s="16" t="s">
        <v>384</v>
      </c>
      <c r="K586" s="15" t="s">
        <v>372</v>
      </c>
      <c r="L586" s="15" t="n">
        <f aca="false">IF(AND(OR(Search!$C$4="",Search!$C$4="All",B586=Search!$C$4),OR(Search!$C$5="",Search!$C$5="All",C586=Search!$C$5),OR(Search!$C$6="",Search!$C$6="All",D586=Search!$C$6),OR(Search!$C$7="",ISNUMBER(SEARCH(Search!$C$7,D586&amp;" "&amp;E586&amp;" "&amp;F586&amp;" "&amp;G586&amp;" "&amp;H586&amp;" "&amp;J586))),OR(Search!$C$8="",ISNUMBER(SEARCH(Search!$C$8,G586)))),1,0)</f>
        <v>1</v>
      </c>
      <c r="M586" s="15" t="n">
        <f aca="false">M585+L586</f>
        <v>585</v>
      </c>
    </row>
    <row r="587" customFormat="false" ht="15" hidden="false" customHeight="false" outlineLevel="0" collapsed="false">
      <c r="A587" s="14" t="n">
        <v>586</v>
      </c>
      <c r="B587" s="15" t="s">
        <v>370</v>
      </c>
      <c r="C587" s="15" t="s">
        <v>282</v>
      </c>
      <c r="D587" s="16" t="s">
        <v>457</v>
      </c>
      <c r="E587" s="16" t="s">
        <v>462</v>
      </c>
      <c r="F587" s="15" t="s">
        <v>376</v>
      </c>
      <c r="G587" s="15" t="s">
        <v>284</v>
      </c>
      <c r="H587" s="15" t="s">
        <v>407</v>
      </c>
      <c r="I587" s="17" t="n">
        <v>971.04</v>
      </c>
      <c r="J587" s="16" t="s">
        <v>384</v>
      </c>
      <c r="K587" s="15" t="s">
        <v>372</v>
      </c>
      <c r="L587" s="15" t="n">
        <f aca="false">IF(AND(OR(Search!$C$4="",Search!$C$4="All",B587=Search!$C$4),OR(Search!$C$5="",Search!$C$5="All",C587=Search!$C$5),OR(Search!$C$6="",Search!$C$6="All",D587=Search!$C$6),OR(Search!$C$7="",ISNUMBER(SEARCH(Search!$C$7,D587&amp;" "&amp;E587&amp;" "&amp;F587&amp;" "&amp;G587&amp;" "&amp;H587&amp;" "&amp;J587))),OR(Search!$C$8="",ISNUMBER(SEARCH(Search!$C$8,G587)))),1,0)</f>
        <v>1</v>
      </c>
      <c r="M587" s="15" t="n">
        <f aca="false">M586+L587</f>
        <v>586</v>
      </c>
    </row>
    <row r="588" customFormat="false" ht="15" hidden="false" customHeight="false" outlineLevel="0" collapsed="false">
      <c r="A588" s="14" t="n">
        <v>587</v>
      </c>
      <c r="B588" s="15" t="s">
        <v>370</v>
      </c>
      <c r="C588" s="15" t="s">
        <v>282</v>
      </c>
      <c r="D588" s="16" t="s">
        <v>457</v>
      </c>
      <c r="E588" s="16" t="s">
        <v>462</v>
      </c>
      <c r="F588" s="15" t="s">
        <v>376</v>
      </c>
      <c r="G588" s="15" t="s">
        <v>284</v>
      </c>
      <c r="H588" s="15" t="s">
        <v>460</v>
      </c>
      <c r="I588" s="17" t="n">
        <v>2167.5</v>
      </c>
      <c r="J588" s="16" t="s">
        <v>384</v>
      </c>
      <c r="K588" s="15" t="s">
        <v>372</v>
      </c>
      <c r="L588" s="15" t="n">
        <f aca="false">IF(AND(OR(Search!$C$4="",Search!$C$4="All",B588=Search!$C$4),OR(Search!$C$5="",Search!$C$5="All",C588=Search!$C$5),OR(Search!$C$6="",Search!$C$6="All",D588=Search!$C$6),OR(Search!$C$7="",ISNUMBER(SEARCH(Search!$C$7,D588&amp;" "&amp;E588&amp;" "&amp;F588&amp;" "&amp;G588&amp;" "&amp;H588&amp;" "&amp;J588))),OR(Search!$C$8="",ISNUMBER(SEARCH(Search!$C$8,G588)))),1,0)</f>
        <v>1</v>
      </c>
      <c r="M588" s="15" t="n">
        <f aca="false">M587+L588</f>
        <v>587</v>
      </c>
    </row>
    <row r="589" customFormat="false" ht="15" hidden="false" customHeight="false" outlineLevel="0" collapsed="false">
      <c r="A589" s="14" t="n">
        <v>588</v>
      </c>
      <c r="B589" s="15" t="s">
        <v>370</v>
      </c>
      <c r="C589" s="15" t="s">
        <v>282</v>
      </c>
      <c r="D589" s="16" t="s">
        <v>457</v>
      </c>
      <c r="E589" s="16" t="s">
        <v>463</v>
      </c>
      <c r="F589" s="15" t="s">
        <v>376</v>
      </c>
      <c r="G589" s="15" t="s">
        <v>284</v>
      </c>
      <c r="H589" s="15" t="s">
        <v>407</v>
      </c>
      <c r="I589" s="17" t="n">
        <v>1081.2</v>
      </c>
      <c r="J589" s="16" t="s">
        <v>384</v>
      </c>
      <c r="K589" s="15" t="s">
        <v>372</v>
      </c>
      <c r="L589" s="15" t="n">
        <f aca="false">IF(AND(OR(Search!$C$4="",Search!$C$4="All",B589=Search!$C$4),OR(Search!$C$5="",Search!$C$5="All",C589=Search!$C$5),OR(Search!$C$6="",Search!$C$6="All",D589=Search!$C$6),OR(Search!$C$7="",ISNUMBER(SEARCH(Search!$C$7,D589&amp;" "&amp;E589&amp;" "&amp;F589&amp;" "&amp;G589&amp;" "&amp;H589&amp;" "&amp;J589))),OR(Search!$C$8="",ISNUMBER(SEARCH(Search!$C$8,G589)))),1,0)</f>
        <v>1</v>
      </c>
      <c r="M589" s="15" t="n">
        <f aca="false">M588+L589</f>
        <v>588</v>
      </c>
    </row>
    <row r="590" customFormat="false" ht="15" hidden="false" customHeight="false" outlineLevel="0" collapsed="false">
      <c r="A590" s="14" t="n">
        <v>589</v>
      </c>
      <c r="B590" s="15" t="s">
        <v>370</v>
      </c>
      <c r="C590" s="15" t="s">
        <v>282</v>
      </c>
      <c r="D590" s="16" t="s">
        <v>457</v>
      </c>
      <c r="E590" s="16" t="s">
        <v>464</v>
      </c>
      <c r="F590" s="15" t="s">
        <v>376</v>
      </c>
      <c r="G590" s="15" t="s">
        <v>284</v>
      </c>
      <c r="H590" s="15" t="s">
        <v>407</v>
      </c>
      <c r="I590" s="17" t="n">
        <v>785.4</v>
      </c>
      <c r="J590" s="16" t="s">
        <v>384</v>
      </c>
      <c r="K590" s="15" t="s">
        <v>372</v>
      </c>
      <c r="L590" s="15" t="n">
        <f aca="false">IF(AND(OR(Search!$C$4="",Search!$C$4="All",B590=Search!$C$4),OR(Search!$C$5="",Search!$C$5="All",C590=Search!$C$5),OR(Search!$C$6="",Search!$C$6="All",D590=Search!$C$6),OR(Search!$C$7="",ISNUMBER(SEARCH(Search!$C$7,D590&amp;" "&amp;E590&amp;" "&amp;F590&amp;" "&amp;G590&amp;" "&amp;H590&amp;" "&amp;J590))),OR(Search!$C$8="",ISNUMBER(SEARCH(Search!$C$8,G590)))),1,0)</f>
        <v>1</v>
      </c>
      <c r="M590" s="15" t="n">
        <f aca="false">M589+L590</f>
        <v>589</v>
      </c>
    </row>
    <row r="591" customFormat="false" ht="15" hidden="false" customHeight="false" outlineLevel="0" collapsed="false">
      <c r="A591" s="14" t="n">
        <v>590</v>
      </c>
      <c r="B591" s="15" t="s">
        <v>370</v>
      </c>
      <c r="C591" s="15" t="s">
        <v>282</v>
      </c>
      <c r="D591" s="16" t="s">
        <v>457</v>
      </c>
      <c r="E591" s="16" t="s">
        <v>464</v>
      </c>
      <c r="F591" s="15" t="s">
        <v>376</v>
      </c>
      <c r="G591" s="15" t="s">
        <v>284</v>
      </c>
      <c r="H591" s="15" t="s">
        <v>460</v>
      </c>
      <c r="I591" s="17" t="n">
        <v>1823.25</v>
      </c>
      <c r="J591" s="16" t="s">
        <v>384</v>
      </c>
      <c r="K591" s="15" t="s">
        <v>372</v>
      </c>
      <c r="L591" s="15" t="n">
        <f aca="false">IF(AND(OR(Search!$C$4="",Search!$C$4="All",B591=Search!$C$4),OR(Search!$C$5="",Search!$C$5="All",C591=Search!$C$5),OR(Search!$C$6="",Search!$C$6="All",D591=Search!$C$6),OR(Search!$C$7="",ISNUMBER(SEARCH(Search!$C$7,D591&amp;" "&amp;E591&amp;" "&amp;F591&amp;" "&amp;G591&amp;" "&amp;H591&amp;" "&amp;J591))),OR(Search!$C$8="",ISNUMBER(SEARCH(Search!$C$8,G591)))),1,0)</f>
        <v>1</v>
      </c>
      <c r="M591" s="15" t="n">
        <f aca="false">M590+L591</f>
        <v>590</v>
      </c>
    </row>
    <row r="592" customFormat="false" ht="15" hidden="false" customHeight="false" outlineLevel="0" collapsed="false">
      <c r="A592" s="14" t="n">
        <v>591</v>
      </c>
      <c r="B592" s="15" t="s">
        <v>370</v>
      </c>
      <c r="C592" s="15" t="s">
        <v>282</v>
      </c>
      <c r="D592" s="16" t="s">
        <v>457</v>
      </c>
      <c r="E592" s="16" t="s">
        <v>465</v>
      </c>
      <c r="F592" s="15"/>
      <c r="G592" s="15" t="s">
        <v>284</v>
      </c>
      <c r="H592" s="15" t="s">
        <v>407</v>
      </c>
      <c r="I592" s="17" t="n">
        <v>438.6</v>
      </c>
      <c r="J592" s="16" t="s">
        <v>384</v>
      </c>
      <c r="K592" s="15" t="s">
        <v>372</v>
      </c>
      <c r="L592" s="15" t="n">
        <f aca="false">IF(AND(OR(Search!$C$4="",Search!$C$4="All",B592=Search!$C$4),OR(Search!$C$5="",Search!$C$5="All",C592=Search!$C$5),OR(Search!$C$6="",Search!$C$6="All",D592=Search!$C$6),OR(Search!$C$7="",ISNUMBER(SEARCH(Search!$C$7,D592&amp;" "&amp;E592&amp;" "&amp;F592&amp;" "&amp;G592&amp;" "&amp;H592&amp;" "&amp;J592))),OR(Search!$C$8="",ISNUMBER(SEARCH(Search!$C$8,G592)))),1,0)</f>
        <v>1</v>
      </c>
      <c r="M592" s="15" t="n">
        <f aca="false">M591+L592</f>
        <v>591</v>
      </c>
    </row>
    <row r="593" customFormat="false" ht="15" hidden="false" customHeight="false" outlineLevel="0" collapsed="false">
      <c r="A593" s="14" t="n">
        <v>592</v>
      </c>
      <c r="B593" s="15" t="s">
        <v>370</v>
      </c>
      <c r="C593" s="15" t="s">
        <v>282</v>
      </c>
      <c r="D593" s="16" t="s">
        <v>457</v>
      </c>
      <c r="E593" s="16" t="s">
        <v>465</v>
      </c>
      <c r="F593" s="15"/>
      <c r="G593" s="15" t="s">
        <v>284</v>
      </c>
      <c r="H593" s="15" t="s">
        <v>460</v>
      </c>
      <c r="I593" s="17" t="n">
        <v>1071</v>
      </c>
      <c r="J593" s="16" t="s">
        <v>384</v>
      </c>
      <c r="K593" s="15" t="s">
        <v>372</v>
      </c>
      <c r="L593" s="15" t="n">
        <f aca="false">IF(AND(OR(Search!$C$4="",Search!$C$4="All",B593=Search!$C$4),OR(Search!$C$5="",Search!$C$5="All",C593=Search!$C$5),OR(Search!$C$6="",Search!$C$6="All",D593=Search!$C$6),OR(Search!$C$7="",ISNUMBER(SEARCH(Search!$C$7,D593&amp;" "&amp;E593&amp;" "&amp;F593&amp;" "&amp;G593&amp;" "&amp;H593&amp;" "&amp;J593))),OR(Search!$C$8="",ISNUMBER(SEARCH(Search!$C$8,G593)))),1,0)</f>
        <v>1</v>
      </c>
      <c r="M593" s="15" t="n">
        <f aca="false">M592+L593</f>
        <v>592</v>
      </c>
    </row>
    <row r="594" customFormat="false" ht="15" hidden="false" customHeight="false" outlineLevel="0" collapsed="false">
      <c r="A594" s="14" t="n">
        <v>593</v>
      </c>
      <c r="B594" s="15" t="s">
        <v>370</v>
      </c>
      <c r="C594" s="15" t="s">
        <v>282</v>
      </c>
      <c r="D594" s="16" t="s">
        <v>457</v>
      </c>
      <c r="E594" s="16" t="s">
        <v>466</v>
      </c>
      <c r="F594" s="15"/>
      <c r="G594" s="15" t="s">
        <v>284</v>
      </c>
      <c r="H594" s="15" t="s">
        <v>407</v>
      </c>
      <c r="I594" s="17" t="n">
        <v>714</v>
      </c>
      <c r="J594" s="16" t="s">
        <v>384</v>
      </c>
      <c r="K594" s="15" t="s">
        <v>372</v>
      </c>
      <c r="L594" s="15" t="n">
        <f aca="false">IF(AND(OR(Search!$C$4="",Search!$C$4="All",B594=Search!$C$4),OR(Search!$C$5="",Search!$C$5="All",C594=Search!$C$5),OR(Search!$C$6="",Search!$C$6="All",D594=Search!$C$6),OR(Search!$C$7="",ISNUMBER(SEARCH(Search!$C$7,D594&amp;" "&amp;E594&amp;" "&amp;F594&amp;" "&amp;G594&amp;" "&amp;H594&amp;" "&amp;J594))),OR(Search!$C$8="",ISNUMBER(SEARCH(Search!$C$8,G594)))),1,0)</f>
        <v>1</v>
      </c>
      <c r="M594" s="15" t="n">
        <f aca="false">M593+L594</f>
        <v>593</v>
      </c>
    </row>
    <row r="595" customFormat="false" ht="15" hidden="false" customHeight="false" outlineLevel="0" collapsed="false">
      <c r="A595" s="14" t="n">
        <v>594</v>
      </c>
      <c r="B595" s="15" t="s">
        <v>370</v>
      </c>
      <c r="C595" s="15" t="s">
        <v>282</v>
      </c>
      <c r="D595" s="16" t="s">
        <v>457</v>
      </c>
      <c r="E595" s="16" t="s">
        <v>466</v>
      </c>
      <c r="F595" s="15"/>
      <c r="G595" s="15" t="s">
        <v>284</v>
      </c>
      <c r="H595" s="15" t="s">
        <v>460</v>
      </c>
      <c r="I595" s="17" t="n">
        <v>1657.5</v>
      </c>
      <c r="J595" s="16" t="s">
        <v>384</v>
      </c>
      <c r="K595" s="15" t="s">
        <v>372</v>
      </c>
      <c r="L595" s="15" t="n">
        <f aca="false">IF(AND(OR(Search!$C$4="",Search!$C$4="All",B595=Search!$C$4),OR(Search!$C$5="",Search!$C$5="All",C595=Search!$C$5),OR(Search!$C$6="",Search!$C$6="All",D595=Search!$C$6),OR(Search!$C$7="",ISNUMBER(SEARCH(Search!$C$7,D595&amp;" "&amp;E595&amp;" "&amp;F595&amp;" "&amp;G595&amp;" "&amp;H595&amp;" "&amp;J595))),OR(Search!$C$8="",ISNUMBER(SEARCH(Search!$C$8,G595)))),1,0)</f>
        <v>1</v>
      </c>
      <c r="M595" s="15" t="n">
        <f aca="false">M594+L595</f>
        <v>594</v>
      </c>
    </row>
    <row r="596" customFormat="false" ht="15" hidden="false" customHeight="false" outlineLevel="0" collapsed="false">
      <c r="A596" s="14" t="n">
        <v>595</v>
      </c>
      <c r="B596" s="15" t="s">
        <v>370</v>
      </c>
      <c r="C596" s="15" t="s">
        <v>282</v>
      </c>
      <c r="D596" s="16" t="s">
        <v>457</v>
      </c>
      <c r="E596" s="16" t="s">
        <v>458</v>
      </c>
      <c r="F596" s="15" t="s">
        <v>377</v>
      </c>
      <c r="G596" s="15" t="s">
        <v>284</v>
      </c>
      <c r="H596" s="15" t="s">
        <v>203</v>
      </c>
      <c r="I596" s="17" t="n">
        <v>9.38</v>
      </c>
      <c r="J596" s="16"/>
      <c r="K596" s="15" t="s">
        <v>372</v>
      </c>
      <c r="L596" s="15" t="n">
        <f aca="false">IF(AND(OR(Search!$C$4="",Search!$C$4="All",B596=Search!$C$4),OR(Search!$C$5="",Search!$C$5="All",C596=Search!$C$5),OR(Search!$C$6="",Search!$C$6="All",D596=Search!$C$6),OR(Search!$C$7="",ISNUMBER(SEARCH(Search!$C$7,D596&amp;" "&amp;E596&amp;" "&amp;F596&amp;" "&amp;G596&amp;" "&amp;H596&amp;" "&amp;J596))),OR(Search!$C$8="",ISNUMBER(SEARCH(Search!$C$8,G596)))),1,0)</f>
        <v>1</v>
      </c>
      <c r="M596" s="15" t="n">
        <f aca="false">M595+L596</f>
        <v>595</v>
      </c>
    </row>
    <row r="597" customFormat="false" ht="15" hidden="false" customHeight="false" outlineLevel="0" collapsed="false">
      <c r="A597" s="14" t="n">
        <v>596</v>
      </c>
      <c r="B597" s="15" t="s">
        <v>370</v>
      </c>
      <c r="C597" s="15" t="s">
        <v>282</v>
      </c>
      <c r="D597" s="16" t="s">
        <v>457</v>
      </c>
      <c r="E597" s="16" t="s">
        <v>467</v>
      </c>
      <c r="F597" s="15" t="s">
        <v>459</v>
      </c>
      <c r="G597" s="15" t="s">
        <v>284</v>
      </c>
      <c r="H597" s="15" t="s">
        <v>460</v>
      </c>
      <c r="I597" s="17" t="n">
        <v>1338.24</v>
      </c>
      <c r="J597" s="16" t="s">
        <v>384</v>
      </c>
      <c r="K597" s="15" t="s">
        <v>372</v>
      </c>
      <c r="L597" s="15" t="n">
        <f aca="false">IF(AND(OR(Search!$C$4="",Search!$C$4="All",B597=Search!$C$4),OR(Search!$C$5="",Search!$C$5="All",C597=Search!$C$5),OR(Search!$C$6="",Search!$C$6="All",D597=Search!$C$6),OR(Search!$C$7="",ISNUMBER(SEARCH(Search!$C$7,D597&amp;" "&amp;E597&amp;" "&amp;F597&amp;" "&amp;G597&amp;" "&amp;H597&amp;" "&amp;J597))),OR(Search!$C$8="",ISNUMBER(SEARCH(Search!$C$8,G597)))),1,0)</f>
        <v>1</v>
      </c>
      <c r="M597" s="15" t="n">
        <f aca="false">M596+L597</f>
        <v>596</v>
      </c>
    </row>
    <row r="598" customFormat="false" ht="15" hidden="false" customHeight="false" outlineLevel="0" collapsed="false">
      <c r="A598" s="14" t="n">
        <v>597</v>
      </c>
      <c r="B598" s="15" t="s">
        <v>370</v>
      </c>
      <c r="C598" s="15" t="s">
        <v>282</v>
      </c>
      <c r="D598" s="16" t="s">
        <v>468</v>
      </c>
      <c r="E598" s="16" t="s">
        <v>467</v>
      </c>
      <c r="F598" s="15"/>
      <c r="G598" s="15" t="s">
        <v>284</v>
      </c>
      <c r="H598" s="15" t="s">
        <v>407</v>
      </c>
      <c r="I598" s="17" t="n">
        <v>566.1</v>
      </c>
      <c r="J598" s="16"/>
      <c r="K598" s="15" t="s">
        <v>372</v>
      </c>
      <c r="L598" s="15" t="n">
        <f aca="false">IF(AND(OR(Search!$C$4="",Search!$C$4="All",B598=Search!$C$4),OR(Search!$C$5="",Search!$C$5="All",C598=Search!$C$5),OR(Search!$C$6="",Search!$C$6="All",D598=Search!$C$6),OR(Search!$C$7="",ISNUMBER(SEARCH(Search!$C$7,D598&amp;" "&amp;E598&amp;" "&amp;F598&amp;" "&amp;G598&amp;" "&amp;H598&amp;" "&amp;J598))),OR(Search!$C$8="",ISNUMBER(SEARCH(Search!$C$8,G598)))),1,0)</f>
        <v>1</v>
      </c>
      <c r="M598" s="15" t="n">
        <f aca="false">M597+L598</f>
        <v>597</v>
      </c>
    </row>
    <row r="599" customFormat="false" ht="15" hidden="false" customHeight="false" outlineLevel="0" collapsed="false">
      <c r="A599" s="14" t="n">
        <v>598</v>
      </c>
      <c r="B599" s="15" t="s">
        <v>370</v>
      </c>
      <c r="C599" s="15" t="s">
        <v>282</v>
      </c>
      <c r="D599" s="16" t="s">
        <v>468</v>
      </c>
      <c r="E599" s="16" t="s">
        <v>469</v>
      </c>
      <c r="F599" s="15"/>
      <c r="G599" s="15" t="s">
        <v>284</v>
      </c>
      <c r="H599" s="15" t="s">
        <v>407</v>
      </c>
      <c r="I599" s="17" t="n">
        <v>566.1</v>
      </c>
      <c r="J599" s="16"/>
      <c r="K599" s="15" t="s">
        <v>372</v>
      </c>
      <c r="L599" s="15" t="n">
        <f aca="false">IF(AND(OR(Search!$C$4="",Search!$C$4="All",B599=Search!$C$4),OR(Search!$C$5="",Search!$C$5="All",C599=Search!$C$5),OR(Search!$C$6="",Search!$C$6="All",D599=Search!$C$6),OR(Search!$C$7="",ISNUMBER(SEARCH(Search!$C$7,D599&amp;" "&amp;E599&amp;" "&amp;F599&amp;" "&amp;G599&amp;" "&amp;H599&amp;" "&amp;J599))),OR(Search!$C$8="",ISNUMBER(SEARCH(Search!$C$8,G599)))),1,0)</f>
        <v>1</v>
      </c>
      <c r="M599" s="15" t="n">
        <f aca="false">M598+L599</f>
        <v>598</v>
      </c>
    </row>
    <row r="600" customFormat="false" ht="15" hidden="false" customHeight="false" outlineLevel="0" collapsed="false">
      <c r="A600" s="14" t="n">
        <v>599</v>
      </c>
      <c r="B600" s="15" t="s">
        <v>370</v>
      </c>
      <c r="C600" s="15" t="s">
        <v>282</v>
      </c>
      <c r="D600" s="16" t="s">
        <v>468</v>
      </c>
      <c r="E600" s="16" t="s">
        <v>470</v>
      </c>
      <c r="F600" s="15"/>
      <c r="G600" s="15" t="s">
        <v>284</v>
      </c>
      <c r="H600" s="15" t="s">
        <v>407</v>
      </c>
      <c r="I600" s="17" t="n">
        <v>566.1</v>
      </c>
      <c r="J600" s="16"/>
      <c r="K600" s="15" t="s">
        <v>372</v>
      </c>
      <c r="L600" s="15" t="n">
        <f aca="false">IF(AND(OR(Search!$C$4="",Search!$C$4="All",B600=Search!$C$4),OR(Search!$C$5="",Search!$C$5="All",C600=Search!$C$5),OR(Search!$C$6="",Search!$C$6="All",D600=Search!$C$6),OR(Search!$C$7="",ISNUMBER(SEARCH(Search!$C$7,D600&amp;" "&amp;E600&amp;" "&amp;F600&amp;" "&amp;G600&amp;" "&amp;H600&amp;" "&amp;J600))),OR(Search!$C$8="",ISNUMBER(SEARCH(Search!$C$8,G600)))),1,0)</f>
        <v>1</v>
      </c>
      <c r="M600" s="15" t="n">
        <f aca="false">M599+L600</f>
        <v>599</v>
      </c>
    </row>
    <row r="601" customFormat="false" ht="15" hidden="false" customHeight="false" outlineLevel="0" collapsed="false">
      <c r="A601" s="14" t="n">
        <v>600</v>
      </c>
      <c r="B601" s="15" t="s">
        <v>370</v>
      </c>
      <c r="C601" s="15" t="s">
        <v>282</v>
      </c>
      <c r="D601" s="16" t="s">
        <v>468</v>
      </c>
      <c r="E601" s="16" t="s">
        <v>471</v>
      </c>
      <c r="F601" s="15"/>
      <c r="G601" s="15" t="s">
        <v>284</v>
      </c>
      <c r="H601" s="15" t="s">
        <v>407</v>
      </c>
      <c r="I601" s="17" t="n">
        <v>566.1</v>
      </c>
      <c r="J601" s="16"/>
      <c r="K601" s="15" t="s">
        <v>372</v>
      </c>
      <c r="L601" s="15" t="n">
        <f aca="false">IF(AND(OR(Search!$C$4="",Search!$C$4="All",B601=Search!$C$4),OR(Search!$C$5="",Search!$C$5="All",C601=Search!$C$5),OR(Search!$C$6="",Search!$C$6="All",D601=Search!$C$6),OR(Search!$C$7="",ISNUMBER(SEARCH(Search!$C$7,D601&amp;" "&amp;E601&amp;" "&amp;F601&amp;" "&amp;G601&amp;" "&amp;H601&amp;" "&amp;J601))),OR(Search!$C$8="",ISNUMBER(SEARCH(Search!$C$8,G601)))),1,0)</f>
        <v>1</v>
      </c>
      <c r="M601" s="15" t="n">
        <f aca="false">M600+L601</f>
        <v>600</v>
      </c>
    </row>
    <row r="602" customFormat="false" ht="15" hidden="false" customHeight="false" outlineLevel="0" collapsed="false">
      <c r="A602" s="14" t="n">
        <v>601</v>
      </c>
      <c r="B602" s="15" t="s">
        <v>370</v>
      </c>
      <c r="C602" s="15" t="s">
        <v>282</v>
      </c>
      <c r="D602" s="16" t="s">
        <v>468</v>
      </c>
      <c r="E602" s="16" t="s">
        <v>472</v>
      </c>
      <c r="F602" s="15"/>
      <c r="G602" s="15" t="s">
        <v>284</v>
      </c>
      <c r="H602" s="15" t="s">
        <v>407</v>
      </c>
      <c r="I602" s="17" t="n">
        <v>693.6</v>
      </c>
      <c r="J602" s="16"/>
      <c r="K602" s="15" t="s">
        <v>372</v>
      </c>
      <c r="L602" s="15" t="n">
        <f aca="false">IF(AND(OR(Search!$C$4="",Search!$C$4="All",B602=Search!$C$4),OR(Search!$C$5="",Search!$C$5="All",C602=Search!$C$5),OR(Search!$C$6="",Search!$C$6="All",D602=Search!$C$6),OR(Search!$C$7="",ISNUMBER(SEARCH(Search!$C$7,D602&amp;" "&amp;E602&amp;" "&amp;F602&amp;" "&amp;G602&amp;" "&amp;H602&amp;" "&amp;J602))),OR(Search!$C$8="",ISNUMBER(SEARCH(Search!$C$8,G602)))),1,0)</f>
        <v>1</v>
      </c>
      <c r="M602" s="15" t="n">
        <f aca="false">M601+L602</f>
        <v>601</v>
      </c>
    </row>
    <row r="603" customFormat="false" ht="15" hidden="false" customHeight="false" outlineLevel="0" collapsed="false">
      <c r="A603" s="14" t="n">
        <v>602</v>
      </c>
      <c r="B603" s="15" t="s">
        <v>370</v>
      </c>
      <c r="C603" s="15" t="s">
        <v>282</v>
      </c>
      <c r="D603" s="16" t="s">
        <v>468</v>
      </c>
      <c r="E603" s="16" t="s">
        <v>473</v>
      </c>
      <c r="F603" s="15"/>
      <c r="G603" s="15" t="s">
        <v>284</v>
      </c>
      <c r="H603" s="15" t="s">
        <v>407</v>
      </c>
      <c r="I603" s="17" t="n">
        <v>693.6</v>
      </c>
      <c r="J603" s="16"/>
      <c r="K603" s="15" t="s">
        <v>372</v>
      </c>
      <c r="L603" s="15" t="n">
        <f aca="false">IF(AND(OR(Search!$C$4="",Search!$C$4="All",B603=Search!$C$4),OR(Search!$C$5="",Search!$C$5="All",C603=Search!$C$5),OR(Search!$C$6="",Search!$C$6="All",D603=Search!$C$6),OR(Search!$C$7="",ISNUMBER(SEARCH(Search!$C$7,D603&amp;" "&amp;E603&amp;" "&amp;F603&amp;" "&amp;G603&amp;" "&amp;H603&amp;" "&amp;J603))),OR(Search!$C$8="",ISNUMBER(SEARCH(Search!$C$8,G603)))),1,0)</f>
        <v>1</v>
      </c>
      <c r="M603" s="15" t="n">
        <f aca="false">M602+L603</f>
        <v>602</v>
      </c>
    </row>
    <row r="604" customFormat="false" ht="15" hidden="false" customHeight="false" outlineLevel="0" collapsed="false">
      <c r="A604" s="14" t="n">
        <v>603</v>
      </c>
      <c r="B604" s="15" t="s">
        <v>370</v>
      </c>
      <c r="C604" s="15" t="s">
        <v>282</v>
      </c>
      <c r="D604" s="16" t="s">
        <v>468</v>
      </c>
      <c r="E604" s="16" t="s">
        <v>474</v>
      </c>
      <c r="F604" s="15"/>
      <c r="G604" s="15" t="s">
        <v>284</v>
      </c>
      <c r="H604" s="15" t="s">
        <v>407</v>
      </c>
      <c r="I604" s="17" t="n">
        <v>686.46</v>
      </c>
      <c r="J604" s="16"/>
      <c r="K604" s="15" t="s">
        <v>372</v>
      </c>
      <c r="L604" s="15" t="n">
        <f aca="false">IF(AND(OR(Search!$C$4="",Search!$C$4="All",B604=Search!$C$4),OR(Search!$C$5="",Search!$C$5="All",C604=Search!$C$5),OR(Search!$C$6="",Search!$C$6="All",D604=Search!$C$6),OR(Search!$C$7="",ISNUMBER(SEARCH(Search!$C$7,D604&amp;" "&amp;E604&amp;" "&amp;F604&amp;" "&amp;G604&amp;" "&amp;H604&amp;" "&amp;J604))),OR(Search!$C$8="",ISNUMBER(SEARCH(Search!$C$8,G604)))),1,0)</f>
        <v>1</v>
      </c>
      <c r="M604" s="15" t="n">
        <f aca="false">M603+L604</f>
        <v>603</v>
      </c>
    </row>
    <row r="605" customFormat="false" ht="15" hidden="false" customHeight="false" outlineLevel="0" collapsed="false">
      <c r="A605" s="14" t="n">
        <v>604</v>
      </c>
      <c r="B605" s="15" t="s">
        <v>370</v>
      </c>
      <c r="C605" s="15" t="s">
        <v>282</v>
      </c>
      <c r="D605" s="16" t="s">
        <v>475</v>
      </c>
      <c r="E605" s="16" t="s">
        <v>467</v>
      </c>
      <c r="F605" s="15"/>
      <c r="G605" s="15" t="s">
        <v>284</v>
      </c>
      <c r="H605" s="15" t="s">
        <v>460</v>
      </c>
      <c r="I605" s="17" t="n">
        <v>275.4</v>
      </c>
      <c r="J605" s="16" t="s">
        <v>384</v>
      </c>
      <c r="K605" s="15" t="s">
        <v>372</v>
      </c>
      <c r="L605" s="15" t="n">
        <f aca="false">IF(AND(OR(Search!$C$4="",Search!$C$4="All",B605=Search!$C$4),OR(Search!$C$5="",Search!$C$5="All",C605=Search!$C$5),OR(Search!$C$6="",Search!$C$6="All",D605=Search!$C$6),OR(Search!$C$7="",ISNUMBER(SEARCH(Search!$C$7,D605&amp;" "&amp;E605&amp;" "&amp;F605&amp;" "&amp;G605&amp;" "&amp;H605&amp;" "&amp;J605))),OR(Search!$C$8="",ISNUMBER(SEARCH(Search!$C$8,G605)))),1,0)</f>
        <v>1</v>
      </c>
      <c r="M605" s="15" t="n">
        <f aca="false">M604+L605</f>
        <v>604</v>
      </c>
    </row>
    <row r="606" customFormat="false" ht="15" hidden="false" customHeight="false" outlineLevel="0" collapsed="false">
      <c r="A606" s="14" t="n">
        <v>605</v>
      </c>
      <c r="B606" s="15" t="s">
        <v>370</v>
      </c>
      <c r="C606" s="15" t="s">
        <v>282</v>
      </c>
      <c r="D606" s="16" t="s">
        <v>475</v>
      </c>
      <c r="E606" s="16" t="s">
        <v>471</v>
      </c>
      <c r="F606" s="15"/>
      <c r="G606" s="15" t="s">
        <v>284</v>
      </c>
      <c r="H606" s="15" t="s">
        <v>460</v>
      </c>
      <c r="I606" s="17" t="n">
        <v>321.81</v>
      </c>
      <c r="J606" s="16" t="s">
        <v>384</v>
      </c>
      <c r="K606" s="15" t="s">
        <v>372</v>
      </c>
      <c r="L606" s="15" t="n">
        <f aca="false">IF(AND(OR(Search!$C$4="",Search!$C$4="All",B606=Search!$C$4),OR(Search!$C$5="",Search!$C$5="All",C606=Search!$C$5),OR(Search!$C$6="",Search!$C$6="All",D606=Search!$C$6),OR(Search!$C$7="",ISNUMBER(SEARCH(Search!$C$7,D606&amp;" "&amp;E606&amp;" "&amp;F606&amp;" "&amp;G606&amp;" "&amp;H606&amp;" "&amp;J606))),OR(Search!$C$8="",ISNUMBER(SEARCH(Search!$C$8,G606)))),1,0)</f>
        <v>1</v>
      </c>
      <c r="M606" s="15" t="n">
        <f aca="false">M605+L606</f>
        <v>605</v>
      </c>
    </row>
    <row r="607" customFormat="false" ht="15" hidden="false" customHeight="false" outlineLevel="0" collapsed="false">
      <c r="A607" s="14" t="n">
        <v>606</v>
      </c>
      <c r="B607" s="15" t="s">
        <v>370</v>
      </c>
      <c r="C607" s="15" t="s">
        <v>282</v>
      </c>
      <c r="D607" s="16" t="s">
        <v>475</v>
      </c>
      <c r="E607" s="16" t="s">
        <v>476</v>
      </c>
      <c r="F607" s="15"/>
      <c r="G607" s="15" t="s">
        <v>284</v>
      </c>
      <c r="H607" s="15" t="s">
        <v>460</v>
      </c>
      <c r="I607" s="17" t="n">
        <v>399.84</v>
      </c>
      <c r="J607" s="16" t="s">
        <v>384</v>
      </c>
      <c r="K607" s="15" t="s">
        <v>372</v>
      </c>
      <c r="L607" s="15" t="n">
        <f aca="false">IF(AND(OR(Search!$C$4="",Search!$C$4="All",B607=Search!$C$4),OR(Search!$C$5="",Search!$C$5="All",C607=Search!$C$5),OR(Search!$C$6="",Search!$C$6="All",D607=Search!$C$6),OR(Search!$C$7="",ISNUMBER(SEARCH(Search!$C$7,D607&amp;" "&amp;E607&amp;" "&amp;F607&amp;" "&amp;G607&amp;" "&amp;H607&amp;" "&amp;J607))),OR(Search!$C$8="",ISNUMBER(SEARCH(Search!$C$8,G607)))),1,0)</f>
        <v>1</v>
      </c>
      <c r="M607" s="15" t="n">
        <f aca="false">M606+L607</f>
        <v>606</v>
      </c>
    </row>
    <row r="608" customFormat="false" ht="15" hidden="false" customHeight="false" outlineLevel="0" collapsed="false">
      <c r="A608" s="14" t="n">
        <v>607</v>
      </c>
      <c r="B608" s="15" t="s">
        <v>370</v>
      </c>
      <c r="C608" s="15" t="s">
        <v>282</v>
      </c>
      <c r="D608" s="16" t="s">
        <v>477</v>
      </c>
      <c r="E608" s="16" t="s">
        <v>478</v>
      </c>
      <c r="F608" s="15"/>
      <c r="G608" s="15" t="s">
        <v>427</v>
      </c>
      <c r="H608" s="15" t="s">
        <v>479</v>
      </c>
      <c r="I608" s="17" t="n">
        <v>282.08</v>
      </c>
      <c r="J608" s="16"/>
      <c r="K608" s="15" t="s">
        <v>372</v>
      </c>
      <c r="L608" s="15" t="n">
        <f aca="false">IF(AND(OR(Search!$C$4="",Search!$C$4="All",B608=Search!$C$4),OR(Search!$C$5="",Search!$C$5="All",C608=Search!$C$5),OR(Search!$C$6="",Search!$C$6="All",D608=Search!$C$6),OR(Search!$C$7="",ISNUMBER(SEARCH(Search!$C$7,D608&amp;" "&amp;E608&amp;" "&amp;F608&amp;" "&amp;G608&amp;" "&amp;H608&amp;" "&amp;J608))),OR(Search!$C$8="",ISNUMBER(SEARCH(Search!$C$8,G608)))),1,0)</f>
        <v>1</v>
      </c>
      <c r="M608" s="15" t="n">
        <f aca="false">M607+L608</f>
        <v>607</v>
      </c>
    </row>
    <row r="609" customFormat="false" ht="15" hidden="false" customHeight="false" outlineLevel="0" collapsed="false">
      <c r="A609" s="14" t="n">
        <v>608</v>
      </c>
      <c r="B609" s="15" t="s">
        <v>370</v>
      </c>
      <c r="C609" s="15" t="s">
        <v>282</v>
      </c>
      <c r="D609" s="16" t="s">
        <v>477</v>
      </c>
      <c r="E609" s="16" t="s">
        <v>478</v>
      </c>
      <c r="F609" s="15"/>
      <c r="G609" s="15" t="s">
        <v>428</v>
      </c>
      <c r="H609" s="15" t="s">
        <v>479</v>
      </c>
      <c r="I609" s="17" t="n">
        <v>331.25</v>
      </c>
      <c r="J609" s="16"/>
      <c r="K609" s="15" t="s">
        <v>372</v>
      </c>
      <c r="L609" s="15" t="n">
        <f aca="false">IF(AND(OR(Search!$C$4="",Search!$C$4="All",B609=Search!$C$4),OR(Search!$C$5="",Search!$C$5="All",C609=Search!$C$5),OR(Search!$C$6="",Search!$C$6="All",D609=Search!$C$6),OR(Search!$C$7="",ISNUMBER(SEARCH(Search!$C$7,D609&amp;" "&amp;E609&amp;" "&amp;F609&amp;" "&amp;G609&amp;" "&amp;H609&amp;" "&amp;J609))),OR(Search!$C$8="",ISNUMBER(SEARCH(Search!$C$8,G609)))),1,0)</f>
        <v>1</v>
      </c>
      <c r="M609" s="15" t="n">
        <f aca="false">M608+L609</f>
        <v>608</v>
      </c>
    </row>
    <row r="610" customFormat="false" ht="15" hidden="false" customHeight="false" outlineLevel="0" collapsed="false">
      <c r="A610" s="14" t="n">
        <v>609</v>
      </c>
      <c r="B610" s="15" t="s">
        <v>370</v>
      </c>
      <c r="C610" s="15" t="s">
        <v>282</v>
      </c>
      <c r="D610" s="16" t="s">
        <v>477</v>
      </c>
      <c r="E610" s="16" t="s">
        <v>478</v>
      </c>
      <c r="F610" s="15"/>
      <c r="G610" s="15" t="s">
        <v>443</v>
      </c>
      <c r="H610" s="15" t="s">
        <v>479</v>
      </c>
      <c r="I610" s="17" t="n">
        <v>326.4</v>
      </c>
      <c r="J610" s="16"/>
      <c r="K610" s="15" t="s">
        <v>372</v>
      </c>
      <c r="L610" s="15" t="n">
        <f aca="false">IF(AND(OR(Search!$C$4="",Search!$C$4="All",B610=Search!$C$4),OR(Search!$C$5="",Search!$C$5="All",C610=Search!$C$5),OR(Search!$C$6="",Search!$C$6="All",D610=Search!$C$6),OR(Search!$C$7="",ISNUMBER(SEARCH(Search!$C$7,D610&amp;" "&amp;E610&amp;" "&amp;F610&amp;" "&amp;G610&amp;" "&amp;H610&amp;" "&amp;J610))),OR(Search!$C$8="",ISNUMBER(SEARCH(Search!$C$8,G610)))),1,0)</f>
        <v>1</v>
      </c>
      <c r="M610" s="15" t="n">
        <f aca="false">M609+L610</f>
        <v>609</v>
      </c>
    </row>
    <row r="611" customFormat="false" ht="15" hidden="false" customHeight="false" outlineLevel="0" collapsed="false">
      <c r="A611" s="14" t="n">
        <v>610</v>
      </c>
      <c r="B611" s="15" t="s">
        <v>370</v>
      </c>
      <c r="C611" s="15" t="s">
        <v>282</v>
      </c>
      <c r="D611" s="16" t="s">
        <v>477</v>
      </c>
      <c r="E611" s="16" t="s">
        <v>478</v>
      </c>
      <c r="F611" s="15"/>
      <c r="G611" s="15" t="s">
        <v>427</v>
      </c>
      <c r="H611" s="15" t="s">
        <v>480</v>
      </c>
      <c r="I611" s="17" t="n">
        <v>743.58</v>
      </c>
      <c r="J611" s="16"/>
      <c r="K611" s="15" t="s">
        <v>372</v>
      </c>
      <c r="L611" s="15" t="n">
        <f aca="false">IF(AND(OR(Search!$C$4="",Search!$C$4="All",B611=Search!$C$4),OR(Search!$C$5="",Search!$C$5="All",C611=Search!$C$5),OR(Search!$C$6="",Search!$C$6="All",D611=Search!$C$6),OR(Search!$C$7="",ISNUMBER(SEARCH(Search!$C$7,D611&amp;" "&amp;E611&amp;" "&amp;F611&amp;" "&amp;G611&amp;" "&amp;H611&amp;" "&amp;J611))),OR(Search!$C$8="",ISNUMBER(SEARCH(Search!$C$8,G611)))),1,0)</f>
        <v>1</v>
      </c>
      <c r="M611" s="15" t="n">
        <f aca="false">M610+L611</f>
        <v>610</v>
      </c>
    </row>
    <row r="612" customFormat="false" ht="15" hidden="false" customHeight="false" outlineLevel="0" collapsed="false">
      <c r="A612" s="14" t="n">
        <v>611</v>
      </c>
      <c r="B612" s="15" t="s">
        <v>370</v>
      </c>
      <c r="C612" s="15" t="s">
        <v>282</v>
      </c>
      <c r="D612" s="16" t="s">
        <v>477</v>
      </c>
      <c r="E612" s="16" t="s">
        <v>478</v>
      </c>
      <c r="F612" s="15"/>
      <c r="G612" s="15" t="s">
        <v>428</v>
      </c>
      <c r="H612" s="15" t="s">
        <v>480</v>
      </c>
      <c r="I612" s="17" t="n">
        <v>854.76</v>
      </c>
      <c r="J612" s="16"/>
      <c r="K612" s="15" t="s">
        <v>372</v>
      </c>
      <c r="L612" s="15" t="n">
        <f aca="false">IF(AND(OR(Search!$C$4="",Search!$C$4="All",B612=Search!$C$4),OR(Search!$C$5="",Search!$C$5="All",C612=Search!$C$5),OR(Search!$C$6="",Search!$C$6="All",D612=Search!$C$6),OR(Search!$C$7="",ISNUMBER(SEARCH(Search!$C$7,D612&amp;" "&amp;E612&amp;" "&amp;F612&amp;" "&amp;G612&amp;" "&amp;H612&amp;" "&amp;J612))),OR(Search!$C$8="",ISNUMBER(SEARCH(Search!$C$8,G612)))),1,0)</f>
        <v>1</v>
      </c>
      <c r="M612" s="15" t="n">
        <f aca="false">M611+L612</f>
        <v>611</v>
      </c>
    </row>
    <row r="613" customFormat="false" ht="15" hidden="false" customHeight="false" outlineLevel="0" collapsed="false">
      <c r="A613" s="14" t="n">
        <v>612</v>
      </c>
      <c r="B613" s="15" t="s">
        <v>370</v>
      </c>
      <c r="C613" s="15" t="s">
        <v>282</v>
      </c>
      <c r="D613" s="16" t="s">
        <v>477</v>
      </c>
      <c r="E613" s="16" t="s">
        <v>478</v>
      </c>
      <c r="F613" s="15"/>
      <c r="G613" s="15" t="s">
        <v>443</v>
      </c>
      <c r="H613" s="15" t="s">
        <v>480</v>
      </c>
      <c r="I613" s="17" t="n">
        <v>842.01</v>
      </c>
      <c r="J613" s="16"/>
      <c r="K613" s="15" t="s">
        <v>372</v>
      </c>
      <c r="L613" s="15" t="n">
        <f aca="false">IF(AND(OR(Search!$C$4="",Search!$C$4="All",B613=Search!$C$4),OR(Search!$C$5="",Search!$C$5="All",C613=Search!$C$5),OR(Search!$C$6="",Search!$C$6="All",D613=Search!$C$6),OR(Search!$C$7="",ISNUMBER(SEARCH(Search!$C$7,D613&amp;" "&amp;E613&amp;" "&amp;F613&amp;" "&amp;G613&amp;" "&amp;H613&amp;" "&amp;J613))),OR(Search!$C$8="",ISNUMBER(SEARCH(Search!$C$8,G613)))),1,0)</f>
        <v>1</v>
      </c>
      <c r="M613" s="15" t="n">
        <f aca="false">M612+L613</f>
        <v>612</v>
      </c>
    </row>
    <row r="614" customFormat="false" ht="15" hidden="false" customHeight="false" outlineLevel="0" collapsed="false">
      <c r="A614" s="14" t="n">
        <v>613</v>
      </c>
      <c r="B614" s="15" t="s">
        <v>370</v>
      </c>
      <c r="C614" s="15" t="s">
        <v>282</v>
      </c>
      <c r="D614" s="16" t="s">
        <v>477</v>
      </c>
      <c r="E614" s="16" t="s">
        <v>478</v>
      </c>
      <c r="F614" s="15"/>
      <c r="G614" s="15" t="s">
        <v>427</v>
      </c>
      <c r="H614" s="15" t="s">
        <v>481</v>
      </c>
      <c r="I614" s="17" t="n">
        <v>393.21</v>
      </c>
      <c r="J614" s="16"/>
      <c r="K614" s="15" t="s">
        <v>372</v>
      </c>
      <c r="L614" s="15" t="n">
        <f aca="false">IF(AND(OR(Search!$C$4="",Search!$C$4="All",B614=Search!$C$4),OR(Search!$C$5="",Search!$C$5="All",C614=Search!$C$5),OR(Search!$C$6="",Search!$C$6="All",D614=Search!$C$6),OR(Search!$C$7="",ISNUMBER(SEARCH(Search!$C$7,D614&amp;" "&amp;E614&amp;" "&amp;F614&amp;" "&amp;G614&amp;" "&amp;H614&amp;" "&amp;J614))),OR(Search!$C$8="",ISNUMBER(SEARCH(Search!$C$8,G614)))),1,0)</f>
        <v>1</v>
      </c>
      <c r="M614" s="15" t="n">
        <f aca="false">M613+L614</f>
        <v>613</v>
      </c>
    </row>
    <row r="615" customFormat="false" ht="15" hidden="false" customHeight="false" outlineLevel="0" collapsed="false">
      <c r="A615" s="14" t="n">
        <v>614</v>
      </c>
      <c r="B615" s="15" t="s">
        <v>370</v>
      </c>
      <c r="C615" s="15" t="s">
        <v>282</v>
      </c>
      <c r="D615" s="16" t="s">
        <v>477</v>
      </c>
      <c r="E615" s="16" t="s">
        <v>478</v>
      </c>
      <c r="F615" s="15"/>
      <c r="G615" s="15" t="s">
        <v>428</v>
      </c>
      <c r="H615" s="15" t="s">
        <v>481</v>
      </c>
      <c r="I615" s="17" t="n">
        <v>453.14</v>
      </c>
      <c r="J615" s="16"/>
      <c r="K615" s="15" t="s">
        <v>372</v>
      </c>
      <c r="L615" s="15" t="n">
        <f aca="false">IF(AND(OR(Search!$C$4="",Search!$C$4="All",B615=Search!$C$4),OR(Search!$C$5="",Search!$C$5="All",C615=Search!$C$5),OR(Search!$C$6="",Search!$C$6="All",D615=Search!$C$6),OR(Search!$C$7="",ISNUMBER(SEARCH(Search!$C$7,D615&amp;" "&amp;E615&amp;" "&amp;F615&amp;" "&amp;G615&amp;" "&amp;H615&amp;" "&amp;J615))),OR(Search!$C$8="",ISNUMBER(SEARCH(Search!$C$8,G615)))),1,0)</f>
        <v>1</v>
      </c>
      <c r="M615" s="15" t="n">
        <f aca="false">M614+L615</f>
        <v>614</v>
      </c>
    </row>
    <row r="616" customFormat="false" ht="15" hidden="false" customHeight="false" outlineLevel="0" collapsed="false">
      <c r="A616" s="14" t="n">
        <v>615</v>
      </c>
      <c r="B616" s="15" t="s">
        <v>370</v>
      </c>
      <c r="C616" s="15" t="s">
        <v>282</v>
      </c>
      <c r="D616" s="16" t="s">
        <v>477</v>
      </c>
      <c r="E616" s="16" t="s">
        <v>478</v>
      </c>
      <c r="F616" s="15"/>
      <c r="G616" s="15" t="s">
        <v>443</v>
      </c>
      <c r="H616" s="15" t="s">
        <v>481</v>
      </c>
      <c r="I616" s="17" t="n">
        <v>448.29</v>
      </c>
      <c r="J616" s="16"/>
      <c r="K616" s="15" t="s">
        <v>372</v>
      </c>
      <c r="L616" s="15" t="n">
        <f aca="false">IF(AND(OR(Search!$C$4="",Search!$C$4="All",B616=Search!$C$4),OR(Search!$C$5="",Search!$C$5="All",C616=Search!$C$5),OR(Search!$C$6="",Search!$C$6="All",D616=Search!$C$6),OR(Search!$C$7="",ISNUMBER(SEARCH(Search!$C$7,D616&amp;" "&amp;E616&amp;" "&amp;F616&amp;" "&amp;G616&amp;" "&amp;H616&amp;" "&amp;J616))),OR(Search!$C$8="",ISNUMBER(SEARCH(Search!$C$8,G616)))),1,0)</f>
        <v>1</v>
      </c>
      <c r="M616" s="15" t="n">
        <f aca="false">M615+L616</f>
        <v>615</v>
      </c>
    </row>
    <row r="617" customFormat="false" ht="15" hidden="false" customHeight="false" outlineLevel="0" collapsed="false">
      <c r="A617" s="14" t="n">
        <v>616</v>
      </c>
      <c r="B617" s="15" t="s">
        <v>370</v>
      </c>
      <c r="C617" s="15" t="s">
        <v>282</v>
      </c>
      <c r="D617" s="16" t="s">
        <v>477</v>
      </c>
      <c r="E617" s="16" t="s">
        <v>482</v>
      </c>
      <c r="F617" s="15"/>
      <c r="G617" s="15" t="s">
        <v>427</v>
      </c>
      <c r="H617" s="15" t="s">
        <v>479</v>
      </c>
      <c r="I617" s="17" t="n">
        <v>376.38</v>
      </c>
      <c r="J617" s="16"/>
      <c r="K617" s="15" t="s">
        <v>372</v>
      </c>
      <c r="L617" s="15" t="n">
        <f aca="false">IF(AND(OR(Search!$C$4="",Search!$C$4="All",B617=Search!$C$4),OR(Search!$C$5="",Search!$C$5="All",C617=Search!$C$5),OR(Search!$C$6="",Search!$C$6="All",D617=Search!$C$6),OR(Search!$C$7="",ISNUMBER(SEARCH(Search!$C$7,D617&amp;" "&amp;E617&amp;" "&amp;F617&amp;" "&amp;G617&amp;" "&amp;H617&amp;" "&amp;J617))),OR(Search!$C$8="",ISNUMBER(SEARCH(Search!$C$8,G617)))),1,0)</f>
        <v>1</v>
      </c>
      <c r="M617" s="15" t="n">
        <f aca="false">M616+L617</f>
        <v>616</v>
      </c>
    </row>
    <row r="618" customFormat="false" ht="15" hidden="false" customHeight="false" outlineLevel="0" collapsed="false">
      <c r="A618" s="14" t="n">
        <v>617</v>
      </c>
      <c r="B618" s="15" t="s">
        <v>370</v>
      </c>
      <c r="C618" s="15" t="s">
        <v>282</v>
      </c>
      <c r="D618" s="16" t="s">
        <v>477</v>
      </c>
      <c r="E618" s="16" t="s">
        <v>482</v>
      </c>
      <c r="F618" s="15"/>
      <c r="G618" s="15" t="s">
        <v>428</v>
      </c>
      <c r="H618" s="15" t="s">
        <v>479</v>
      </c>
      <c r="I618" s="17" t="n">
        <v>443.45</v>
      </c>
      <c r="J618" s="16"/>
      <c r="K618" s="15" t="s">
        <v>372</v>
      </c>
      <c r="L618" s="15" t="n">
        <f aca="false">IF(AND(OR(Search!$C$4="",Search!$C$4="All",B618=Search!$C$4),OR(Search!$C$5="",Search!$C$5="All",C618=Search!$C$5),OR(Search!$C$6="",Search!$C$6="All",D618=Search!$C$6),OR(Search!$C$7="",ISNUMBER(SEARCH(Search!$C$7,D618&amp;" "&amp;E618&amp;" "&amp;F618&amp;" "&amp;G618&amp;" "&amp;H618&amp;" "&amp;J618))),OR(Search!$C$8="",ISNUMBER(SEARCH(Search!$C$8,G618)))),1,0)</f>
        <v>1</v>
      </c>
      <c r="M618" s="15" t="n">
        <f aca="false">M617+L618</f>
        <v>617</v>
      </c>
    </row>
    <row r="619" customFormat="false" ht="15" hidden="false" customHeight="false" outlineLevel="0" collapsed="false">
      <c r="A619" s="14" t="n">
        <v>618</v>
      </c>
      <c r="B619" s="15" t="s">
        <v>370</v>
      </c>
      <c r="C619" s="15" t="s">
        <v>282</v>
      </c>
      <c r="D619" s="16" t="s">
        <v>477</v>
      </c>
      <c r="E619" s="16" t="s">
        <v>482</v>
      </c>
      <c r="F619" s="15"/>
      <c r="G619" s="15" t="s">
        <v>443</v>
      </c>
      <c r="H619" s="15" t="s">
        <v>479</v>
      </c>
      <c r="I619" s="17" t="n">
        <v>387.6</v>
      </c>
      <c r="J619" s="16"/>
      <c r="K619" s="15" t="s">
        <v>372</v>
      </c>
      <c r="L619" s="15" t="n">
        <f aca="false">IF(AND(OR(Search!$C$4="",Search!$C$4="All",B619=Search!$C$4),OR(Search!$C$5="",Search!$C$5="All",C619=Search!$C$5),OR(Search!$C$6="",Search!$C$6="All",D619=Search!$C$6),OR(Search!$C$7="",ISNUMBER(SEARCH(Search!$C$7,D619&amp;" "&amp;E619&amp;" "&amp;F619&amp;" "&amp;G619&amp;" "&amp;H619&amp;" "&amp;J619))),OR(Search!$C$8="",ISNUMBER(SEARCH(Search!$C$8,G619)))),1,0)</f>
        <v>1</v>
      </c>
      <c r="M619" s="15" t="n">
        <f aca="false">M618+L619</f>
        <v>618</v>
      </c>
    </row>
    <row r="620" customFormat="false" ht="15" hidden="false" customHeight="false" outlineLevel="0" collapsed="false">
      <c r="A620" s="14" t="n">
        <v>619</v>
      </c>
      <c r="B620" s="15" t="s">
        <v>370</v>
      </c>
      <c r="C620" s="15" t="s">
        <v>282</v>
      </c>
      <c r="D620" s="16" t="s">
        <v>477</v>
      </c>
      <c r="E620" s="16" t="s">
        <v>482</v>
      </c>
      <c r="F620" s="15"/>
      <c r="G620" s="15" t="s">
        <v>427</v>
      </c>
      <c r="H620" s="15" t="s">
        <v>480</v>
      </c>
      <c r="I620" s="17" t="n">
        <v>933.81</v>
      </c>
      <c r="J620" s="16"/>
      <c r="K620" s="15" t="s">
        <v>372</v>
      </c>
      <c r="L620" s="15" t="n">
        <f aca="false">IF(AND(OR(Search!$C$4="",Search!$C$4="All",B620=Search!$C$4),OR(Search!$C$5="",Search!$C$5="All",C620=Search!$C$5),OR(Search!$C$6="",Search!$C$6="All",D620=Search!$C$6),OR(Search!$C$7="",ISNUMBER(SEARCH(Search!$C$7,D620&amp;" "&amp;E620&amp;" "&amp;F620&amp;" "&amp;G620&amp;" "&amp;H620&amp;" "&amp;J620))),OR(Search!$C$8="",ISNUMBER(SEARCH(Search!$C$8,G620)))),1,0)</f>
        <v>1</v>
      </c>
      <c r="M620" s="15" t="n">
        <f aca="false">M619+L620</f>
        <v>619</v>
      </c>
    </row>
    <row r="621" customFormat="false" ht="15" hidden="false" customHeight="false" outlineLevel="0" collapsed="false">
      <c r="A621" s="14" t="n">
        <v>620</v>
      </c>
      <c r="B621" s="15" t="s">
        <v>370</v>
      </c>
      <c r="C621" s="15" t="s">
        <v>282</v>
      </c>
      <c r="D621" s="16" t="s">
        <v>477</v>
      </c>
      <c r="E621" s="16" t="s">
        <v>482</v>
      </c>
      <c r="F621" s="15"/>
      <c r="G621" s="15" t="s">
        <v>428</v>
      </c>
      <c r="H621" s="15" t="s">
        <v>480</v>
      </c>
      <c r="I621" s="17" t="n">
        <v>1079.42</v>
      </c>
      <c r="J621" s="16"/>
      <c r="K621" s="15" t="s">
        <v>372</v>
      </c>
      <c r="L621" s="15" t="n">
        <f aca="false">IF(AND(OR(Search!$C$4="",Search!$C$4="All",B621=Search!$C$4),OR(Search!$C$5="",Search!$C$5="All",C621=Search!$C$5),OR(Search!$C$6="",Search!$C$6="All",D621=Search!$C$6),OR(Search!$C$7="",ISNUMBER(SEARCH(Search!$C$7,D621&amp;" "&amp;E621&amp;" "&amp;F621&amp;" "&amp;G621&amp;" "&amp;H621&amp;" "&amp;J621))),OR(Search!$C$8="",ISNUMBER(SEARCH(Search!$C$8,G621)))),1,0)</f>
        <v>1</v>
      </c>
      <c r="M621" s="15" t="n">
        <f aca="false">M620+L621</f>
        <v>620</v>
      </c>
    </row>
    <row r="622" customFormat="false" ht="15" hidden="false" customHeight="false" outlineLevel="0" collapsed="false">
      <c r="A622" s="14" t="n">
        <v>621</v>
      </c>
      <c r="B622" s="15" t="s">
        <v>370</v>
      </c>
      <c r="C622" s="15" t="s">
        <v>282</v>
      </c>
      <c r="D622" s="16" t="s">
        <v>477</v>
      </c>
      <c r="E622" s="16" t="s">
        <v>482</v>
      </c>
      <c r="F622" s="15"/>
      <c r="G622" s="15" t="s">
        <v>443</v>
      </c>
      <c r="H622" s="15" t="s">
        <v>480</v>
      </c>
      <c r="I622" s="17" t="n">
        <v>1062.08</v>
      </c>
      <c r="J622" s="16"/>
      <c r="K622" s="15" t="s">
        <v>372</v>
      </c>
      <c r="L622" s="15" t="n">
        <f aca="false">IF(AND(OR(Search!$C$4="",Search!$C$4="All",B622=Search!$C$4),OR(Search!$C$5="",Search!$C$5="All",C622=Search!$C$5),OR(Search!$C$6="",Search!$C$6="All",D622=Search!$C$6),OR(Search!$C$7="",ISNUMBER(SEARCH(Search!$C$7,D622&amp;" "&amp;E622&amp;" "&amp;F622&amp;" "&amp;G622&amp;" "&amp;H622&amp;" "&amp;J622))),OR(Search!$C$8="",ISNUMBER(SEARCH(Search!$C$8,G622)))),1,0)</f>
        <v>1</v>
      </c>
      <c r="M622" s="15" t="n">
        <f aca="false">M621+L622</f>
        <v>621</v>
      </c>
    </row>
    <row r="623" customFormat="false" ht="15" hidden="false" customHeight="false" outlineLevel="0" collapsed="false">
      <c r="A623" s="14" t="n">
        <v>622</v>
      </c>
      <c r="B623" s="15" t="s">
        <v>370</v>
      </c>
      <c r="C623" s="15" t="s">
        <v>282</v>
      </c>
      <c r="D623" s="16" t="s">
        <v>477</v>
      </c>
      <c r="E623" s="16" t="s">
        <v>482</v>
      </c>
      <c r="F623" s="15"/>
      <c r="G623" s="15" t="s">
        <v>427</v>
      </c>
      <c r="H623" s="15" t="s">
        <v>481</v>
      </c>
      <c r="I623" s="17" t="n">
        <v>488.58</v>
      </c>
      <c r="J623" s="16"/>
      <c r="K623" s="15" t="s">
        <v>372</v>
      </c>
      <c r="L623" s="15" t="n">
        <f aca="false">IF(AND(OR(Search!$C$4="",Search!$C$4="All",B623=Search!$C$4),OR(Search!$C$5="",Search!$C$5="All",C623=Search!$C$5),OR(Search!$C$6="",Search!$C$6="All",D623=Search!$C$6),OR(Search!$C$7="",ISNUMBER(SEARCH(Search!$C$7,D623&amp;" "&amp;E623&amp;" "&amp;F623&amp;" "&amp;G623&amp;" "&amp;H623&amp;" "&amp;J623))),OR(Search!$C$8="",ISNUMBER(SEARCH(Search!$C$8,G623)))),1,0)</f>
        <v>1</v>
      </c>
      <c r="M623" s="15" t="n">
        <f aca="false">M622+L623</f>
        <v>622</v>
      </c>
    </row>
    <row r="624" customFormat="false" ht="15" hidden="false" customHeight="false" outlineLevel="0" collapsed="false">
      <c r="A624" s="14" t="n">
        <v>623</v>
      </c>
      <c r="B624" s="15" t="s">
        <v>370</v>
      </c>
      <c r="C624" s="15" t="s">
        <v>282</v>
      </c>
      <c r="D624" s="16" t="s">
        <v>477</v>
      </c>
      <c r="E624" s="16" t="s">
        <v>482</v>
      </c>
      <c r="F624" s="15"/>
      <c r="G624" s="15" t="s">
        <v>428</v>
      </c>
      <c r="H624" s="15" t="s">
        <v>481</v>
      </c>
      <c r="I624" s="17" t="n">
        <v>565.34</v>
      </c>
      <c r="J624" s="16"/>
      <c r="K624" s="15" t="s">
        <v>372</v>
      </c>
      <c r="L624" s="15" t="n">
        <f aca="false">IF(AND(OR(Search!$C$4="",Search!$C$4="All",B624=Search!$C$4),OR(Search!$C$5="",Search!$C$5="All",C624=Search!$C$5),OR(Search!$C$6="",Search!$C$6="All",D624=Search!$C$6),OR(Search!$C$7="",ISNUMBER(SEARCH(Search!$C$7,D624&amp;" "&amp;E624&amp;" "&amp;F624&amp;" "&amp;G624&amp;" "&amp;H624&amp;" "&amp;J624))),OR(Search!$C$8="",ISNUMBER(SEARCH(Search!$C$8,G624)))),1,0)</f>
        <v>1</v>
      </c>
      <c r="M624" s="15" t="n">
        <f aca="false">M623+L624</f>
        <v>623</v>
      </c>
    </row>
    <row r="625" customFormat="false" ht="15" hidden="false" customHeight="false" outlineLevel="0" collapsed="false">
      <c r="A625" s="14" t="n">
        <v>624</v>
      </c>
      <c r="B625" s="15" t="s">
        <v>370</v>
      </c>
      <c r="C625" s="15" t="s">
        <v>282</v>
      </c>
      <c r="D625" s="16" t="s">
        <v>477</v>
      </c>
      <c r="E625" s="16" t="s">
        <v>482</v>
      </c>
      <c r="F625" s="15"/>
      <c r="G625" s="15" t="s">
        <v>443</v>
      </c>
      <c r="H625" s="15" t="s">
        <v>481</v>
      </c>
      <c r="I625" s="17" t="n">
        <v>558.2</v>
      </c>
      <c r="J625" s="16"/>
      <c r="K625" s="15" t="s">
        <v>372</v>
      </c>
      <c r="L625" s="15" t="n">
        <f aca="false">IF(AND(OR(Search!$C$4="",Search!$C$4="All",B625=Search!$C$4),OR(Search!$C$5="",Search!$C$5="All",C625=Search!$C$5),OR(Search!$C$6="",Search!$C$6="All",D625=Search!$C$6),OR(Search!$C$7="",ISNUMBER(SEARCH(Search!$C$7,D625&amp;" "&amp;E625&amp;" "&amp;F625&amp;" "&amp;G625&amp;" "&amp;H625&amp;" "&amp;J625))),OR(Search!$C$8="",ISNUMBER(SEARCH(Search!$C$8,G625)))),1,0)</f>
        <v>1</v>
      </c>
      <c r="M625" s="15" t="n">
        <f aca="false">M624+L625</f>
        <v>624</v>
      </c>
    </row>
    <row r="626" customFormat="false" ht="15" hidden="false" customHeight="false" outlineLevel="0" collapsed="false">
      <c r="A626" s="14" t="n">
        <v>625</v>
      </c>
      <c r="B626" s="15" t="s">
        <v>370</v>
      </c>
      <c r="C626" s="15" t="s">
        <v>282</v>
      </c>
      <c r="D626" s="16" t="s">
        <v>477</v>
      </c>
      <c r="E626" s="16" t="s">
        <v>483</v>
      </c>
      <c r="F626" s="15"/>
      <c r="G626" s="15" t="s">
        <v>427</v>
      </c>
      <c r="H626" s="15" t="s">
        <v>479</v>
      </c>
      <c r="I626" s="17" t="n">
        <v>324.36</v>
      </c>
      <c r="J626" s="16"/>
      <c r="K626" s="15" t="s">
        <v>372</v>
      </c>
      <c r="L626" s="15" t="n">
        <f aca="false">IF(AND(OR(Search!$C$4="",Search!$C$4="All",B626=Search!$C$4),OR(Search!$C$5="",Search!$C$5="All",C626=Search!$C$5),OR(Search!$C$6="",Search!$C$6="All",D626=Search!$C$6),OR(Search!$C$7="",ISNUMBER(SEARCH(Search!$C$7,D626&amp;" "&amp;E626&amp;" "&amp;F626&amp;" "&amp;G626&amp;" "&amp;H626&amp;" "&amp;J626))),OR(Search!$C$8="",ISNUMBER(SEARCH(Search!$C$8,G626)))),1,0)</f>
        <v>1</v>
      </c>
      <c r="M626" s="15" t="n">
        <f aca="false">M625+L626</f>
        <v>625</v>
      </c>
    </row>
    <row r="627" customFormat="false" ht="15" hidden="false" customHeight="false" outlineLevel="0" collapsed="false">
      <c r="A627" s="14" t="n">
        <v>626</v>
      </c>
      <c r="B627" s="15" t="s">
        <v>370</v>
      </c>
      <c r="C627" s="15" t="s">
        <v>282</v>
      </c>
      <c r="D627" s="16" t="s">
        <v>477</v>
      </c>
      <c r="E627" s="16" t="s">
        <v>483</v>
      </c>
      <c r="F627" s="15"/>
      <c r="G627" s="15" t="s">
        <v>428</v>
      </c>
      <c r="H627" s="15" t="s">
        <v>479</v>
      </c>
      <c r="I627" s="17" t="n">
        <v>381.99</v>
      </c>
      <c r="J627" s="16"/>
      <c r="K627" s="15" t="s">
        <v>372</v>
      </c>
      <c r="L627" s="15" t="n">
        <f aca="false">IF(AND(OR(Search!$C$4="",Search!$C$4="All",B627=Search!$C$4),OR(Search!$C$5="",Search!$C$5="All",C627=Search!$C$5),OR(Search!$C$6="",Search!$C$6="All",D627=Search!$C$6),OR(Search!$C$7="",ISNUMBER(SEARCH(Search!$C$7,D627&amp;" "&amp;E627&amp;" "&amp;F627&amp;" "&amp;G627&amp;" "&amp;H627&amp;" "&amp;J627))),OR(Search!$C$8="",ISNUMBER(SEARCH(Search!$C$8,G627)))),1,0)</f>
        <v>1</v>
      </c>
      <c r="M627" s="15" t="n">
        <f aca="false">M626+L627</f>
        <v>626</v>
      </c>
    </row>
    <row r="628" customFormat="false" ht="15" hidden="false" customHeight="false" outlineLevel="0" collapsed="false">
      <c r="A628" s="14" t="n">
        <v>627</v>
      </c>
      <c r="B628" s="15" t="s">
        <v>370</v>
      </c>
      <c r="C628" s="15" t="s">
        <v>282</v>
      </c>
      <c r="D628" s="16" t="s">
        <v>477</v>
      </c>
      <c r="E628" s="16" t="s">
        <v>483</v>
      </c>
      <c r="F628" s="15"/>
      <c r="G628" s="15" t="s">
        <v>443</v>
      </c>
      <c r="H628" s="15" t="s">
        <v>479</v>
      </c>
      <c r="I628" s="17" t="n">
        <v>334.31</v>
      </c>
      <c r="J628" s="16"/>
      <c r="K628" s="15" t="s">
        <v>372</v>
      </c>
      <c r="L628" s="15" t="n">
        <f aca="false">IF(AND(OR(Search!$C$4="",Search!$C$4="All",B628=Search!$C$4),OR(Search!$C$5="",Search!$C$5="All",C628=Search!$C$5),OR(Search!$C$6="",Search!$C$6="All",D628=Search!$C$6),OR(Search!$C$7="",ISNUMBER(SEARCH(Search!$C$7,D628&amp;" "&amp;E628&amp;" "&amp;F628&amp;" "&amp;G628&amp;" "&amp;H628&amp;" "&amp;J628))),OR(Search!$C$8="",ISNUMBER(SEARCH(Search!$C$8,G628)))),1,0)</f>
        <v>1</v>
      </c>
      <c r="M628" s="15" t="n">
        <f aca="false">M627+L628</f>
        <v>627</v>
      </c>
    </row>
    <row r="629" customFormat="false" ht="15" hidden="false" customHeight="false" outlineLevel="0" collapsed="false">
      <c r="A629" s="14" t="n">
        <v>628</v>
      </c>
      <c r="B629" s="15" t="s">
        <v>370</v>
      </c>
      <c r="C629" s="15" t="s">
        <v>282</v>
      </c>
      <c r="D629" s="16" t="s">
        <v>477</v>
      </c>
      <c r="E629" s="16" t="s">
        <v>483</v>
      </c>
      <c r="F629" s="15"/>
      <c r="G629" s="15" t="s">
        <v>427</v>
      </c>
      <c r="H629" s="15" t="s">
        <v>480</v>
      </c>
      <c r="I629" s="17" t="n">
        <v>813.96</v>
      </c>
      <c r="J629" s="16"/>
      <c r="K629" s="15" t="s">
        <v>372</v>
      </c>
      <c r="L629" s="15" t="n">
        <f aca="false">IF(AND(OR(Search!$C$4="",Search!$C$4="All",B629=Search!$C$4),OR(Search!$C$5="",Search!$C$5="All",C629=Search!$C$5),OR(Search!$C$6="",Search!$C$6="All",D629=Search!$C$6),OR(Search!$C$7="",ISNUMBER(SEARCH(Search!$C$7,D629&amp;" "&amp;E629&amp;" "&amp;F629&amp;" "&amp;G629&amp;" "&amp;H629&amp;" "&amp;J629))),OR(Search!$C$8="",ISNUMBER(SEARCH(Search!$C$8,G629)))),1,0)</f>
        <v>1</v>
      </c>
      <c r="M629" s="15" t="n">
        <f aca="false">M628+L629</f>
        <v>628</v>
      </c>
    </row>
    <row r="630" customFormat="false" ht="15" hidden="false" customHeight="false" outlineLevel="0" collapsed="false">
      <c r="A630" s="14" t="n">
        <v>629</v>
      </c>
      <c r="B630" s="15" t="s">
        <v>370</v>
      </c>
      <c r="C630" s="15" t="s">
        <v>282</v>
      </c>
      <c r="D630" s="16" t="s">
        <v>477</v>
      </c>
      <c r="E630" s="16" t="s">
        <v>483</v>
      </c>
      <c r="F630" s="15"/>
      <c r="G630" s="15" t="s">
        <v>428</v>
      </c>
      <c r="H630" s="15" t="s">
        <v>480</v>
      </c>
      <c r="I630" s="17" t="n">
        <v>937.89</v>
      </c>
      <c r="J630" s="16"/>
      <c r="K630" s="15" t="s">
        <v>372</v>
      </c>
      <c r="L630" s="15" t="n">
        <f aca="false">IF(AND(OR(Search!$C$4="",Search!$C$4="All",B630=Search!$C$4),OR(Search!$C$5="",Search!$C$5="All",C630=Search!$C$5),OR(Search!$C$6="",Search!$C$6="All",D630=Search!$C$6),OR(Search!$C$7="",ISNUMBER(SEARCH(Search!$C$7,D630&amp;" "&amp;E630&amp;" "&amp;F630&amp;" "&amp;G630&amp;" "&amp;H630&amp;" "&amp;J630))),OR(Search!$C$8="",ISNUMBER(SEARCH(Search!$C$8,G630)))),1,0)</f>
        <v>1</v>
      </c>
      <c r="M630" s="15" t="n">
        <f aca="false">M629+L630</f>
        <v>629</v>
      </c>
    </row>
    <row r="631" customFormat="false" ht="15" hidden="false" customHeight="false" outlineLevel="0" collapsed="false">
      <c r="A631" s="14" t="n">
        <v>630</v>
      </c>
      <c r="B631" s="15" t="s">
        <v>370</v>
      </c>
      <c r="C631" s="15" t="s">
        <v>282</v>
      </c>
      <c r="D631" s="16" t="s">
        <v>477</v>
      </c>
      <c r="E631" s="16" t="s">
        <v>483</v>
      </c>
      <c r="F631" s="15"/>
      <c r="G631" s="15" t="s">
        <v>443</v>
      </c>
      <c r="H631" s="15" t="s">
        <v>480</v>
      </c>
      <c r="I631" s="17" t="n">
        <v>923.1</v>
      </c>
      <c r="J631" s="16"/>
      <c r="K631" s="15" t="s">
        <v>372</v>
      </c>
      <c r="L631" s="15" t="n">
        <f aca="false">IF(AND(OR(Search!$C$4="",Search!$C$4="All",B631=Search!$C$4),OR(Search!$C$5="",Search!$C$5="All",C631=Search!$C$5),OR(Search!$C$6="",Search!$C$6="All",D631=Search!$C$6),OR(Search!$C$7="",ISNUMBER(SEARCH(Search!$C$7,D631&amp;" "&amp;E631&amp;" "&amp;F631&amp;" "&amp;G631&amp;" "&amp;H631&amp;" "&amp;J631))),OR(Search!$C$8="",ISNUMBER(SEARCH(Search!$C$8,G631)))),1,0)</f>
        <v>1</v>
      </c>
      <c r="M631" s="15" t="n">
        <f aca="false">M630+L631</f>
        <v>630</v>
      </c>
    </row>
    <row r="632" customFormat="false" ht="15" hidden="false" customHeight="false" outlineLevel="0" collapsed="false">
      <c r="A632" s="14" t="n">
        <v>631</v>
      </c>
      <c r="B632" s="15" t="s">
        <v>370</v>
      </c>
      <c r="C632" s="15" t="s">
        <v>282</v>
      </c>
      <c r="D632" s="16" t="s">
        <v>477</v>
      </c>
      <c r="E632" s="16" t="s">
        <v>483</v>
      </c>
      <c r="F632" s="15"/>
      <c r="G632" s="15" t="s">
        <v>427</v>
      </c>
      <c r="H632" s="15" t="s">
        <v>481</v>
      </c>
      <c r="I632" s="17" t="n">
        <v>428.4</v>
      </c>
      <c r="J632" s="16"/>
      <c r="K632" s="15" t="s">
        <v>372</v>
      </c>
      <c r="L632" s="15" t="n">
        <f aca="false">IF(AND(OR(Search!$C$4="",Search!$C$4="All",B632=Search!$C$4),OR(Search!$C$5="",Search!$C$5="All",C632=Search!$C$5),OR(Search!$C$6="",Search!$C$6="All",D632=Search!$C$6),OR(Search!$C$7="",ISNUMBER(SEARCH(Search!$C$7,D632&amp;" "&amp;E632&amp;" "&amp;F632&amp;" "&amp;G632&amp;" "&amp;H632&amp;" "&amp;J632))),OR(Search!$C$8="",ISNUMBER(SEARCH(Search!$C$8,G632)))),1,0)</f>
        <v>1</v>
      </c>
      <c r="M632" s="15" t="n">
        <f aca="false">M631+L632</f>
        <v>631</v>
      </c>
    </row>
    <row r="633" customFormat="false" ht="15" hidden="false" customHeight="false" outlineLevel="0" collapsed="false">
      <c r="A633" s="14" t="n">
        <v>632</v>
      </c>
      <c r="B633" s="15" t="s">
        <v>370</v>
      </c>
      <c r="C633" s="15" t="s">
        <v>282</v>
      </c>
      <c r="D633" s="16" t="s">
        <v>477</v>
      </c>
      <c r="E633" s="16" t="s">
        <v>483</v>
      </c>
      <c r="F633" s="15"/>
      <c r="G633" s="15" t="s">
        <v>428</v>
      </c>
      <c r="H633" s="15" t="s">
        <v>481</v>
      </c>
      <c r="I633" s="17" t="n">
        <v>494.45</v>
      </c>
      <c r="J633" s="16"/>
      <c r="K633" s="15" t="s">
        <v>372</v>
      </c>
      <c r="L633" s="15" t="n">
        <f aca="false">IF(AND(OR(Search!$C$4="",Search!$C$4="All",B633=Search!$C$4),OR(Search!$C$5="",Search!$C$5="All",C633=Search!$C$5),OR(Search!$C$6="",Search!$C$6="All",D633=Search!$C$6),OR(Search!$C$7="",ISNUMBER(SEARCH(Search!$C$7,D633&amp;" "&amp;E633&amp;" "&amp;F633&amp;" "&amp;G633&amp;" "&amp;H633&amp;" "&amp;J633))),OR(Search!$C$8="",ISNUMBER(SEARCH(Search!$C$8,G633)))),1,0)</f>
        <v>1</v>
      </c>
      <c r="M633" s="15" t="n">
        <f aca="false">M632+L633</f>
        <v>632</v>
      </c>
    </row>
    <row r="634" customFormat="false" ht="15" hidden="false" customHeight="false" outlineLevel="0" collapsed="false">
      <c r="A634" s="14" t="n">
        <v>633</v>
      </c>
      <c r="B634" s="15" t="s">
        <v>370</v>
      </c>
      <c r="C634" s="15" t="s">
        <v>282</v>
      </c>
      <c r="D634" s="16" t="s">
        <v>477</v>
      </c>
      <c r="E634" s="16" t="s">
        <v>483</v>
      </c>
      <c r="F634" s="15"/>
      <c r="G634" s="15" t="s">
        <v>443</v>
      </c>
      <c r="H634" s="15" t="s">
        <v>481</v>
      </c>
      <c r="I634" s="17" t="n">
        <v>488.84</v>
      </c>
      <c r="J634" s="16"/>
      <c r="K634" s="15" t="s">
        <v>372</v>
      </c>
      <c r="L634" s="15" t="n">
        <f aca="false">IF(AND(OR(Search!$C$4="",Search!$C$4="All",B634=Search!$C$4),OR(Search!$C$5="",Search!$C$5="All",C634=Search!$C$5),OR(Search!$C$6="",Search!$C$6="All",D634=Search!$C$6),OR(Search!$C$7="",ISNUMBER(SEARCH(Search!$C$7,D634&amp;" "&amp;E634&amp;" "&amp;F634&amp;" "&amp;G634&amp;" "&amp;H634&amp;" "&amp;J634))),OR(Search!$C$8="",ISNUMBER(SEARCH(Search!$C$8,G634)))),1,0)</f>
        <v>1</v>
      </c>
      <c r="M634" s="15" t="n">
        <f aca="false">M633+L634</f>
        <v>633</v>
      </c>
    </row>
    <row r="635" customFormat="false" ht="15" hidden="false" customHeight="false" outlineLevel="0" collapsed="false">
      <c r="A635" s="14" t="n">
        <v>634</v>
      </c>
      <c r="B635" s="15" t="s">
        <v>370</v>
      </c>
      <c r="C635" s="15" t="s">
        <v>282</v>
      </c>
      <c r="D635" s="16" t="s">
        <v>477</v>
      </c>
      <c r="E635" s="16" t="s">
        <v>484</v>
      </c>
      <c r="F635" s="15"/>
      <c r="G635" s="15" t="s">
        <v>427</v>
      </c>
      <c r="H635" s="15" t="s">
        <v>479</v>
      </c>
      <c r="I635" s="17" t="n">
        <v>436.31</v>
      </c>
      <c r="J635" s="16"/>
      <c r="K635" s="15" t="s">
        <v>372</v>
      </c>
      <c r="L635" s="15" t="n">
        <f aca="false">IF(AND(OR(Search!$C$4="",Search!$C$4="All",B635=Search!$C$4),OR(Search!$C$5="",Search!$C$5="All",C635=Search!$C$5),OR(Search!$C$6="",Search!$C$6="All",D635=Search!$C$6),OR(Search!$C$7="",ISNUMBER(SEARCH(Search!$C$7,D635&amp;" "&amp;E635&amp;" "&amp;F635&amp;" "&amp;G635&amp;" "&amp;H635&amp;" "&amp;J635))),OR(Search!$C$8="",ISNUMBER(SEARCH(Search!$C$8,G635)))),1,0)</f>
        <v>1</v>
      </c>
      <c r="M635" s="15" t="n">
        <f aca="false">M634+L635</f>
        <v>634</v>
      </c>
    </row>
    <row r="636" customFormat="false" ht="15" hidden="false" customHeight="false" outlineLevel="0" collapsed="false">
      <c r="A636" s="14" t="n">
        <v>635</v>
      </c>
      <c r="B636" s="15" t="s">
        <v>370</v>
      </c>
      <c r="C636" s="15" t="s">
        <v>282</v>
      </c>
      <c r="D636" s="16" t="s">
        <v>477</v>
      </c>
      <c r="E636" s="16" t="s">
        <v>484</v>
      </c>
      <c r="F636" s="15"/>
      <c r="G636" s="15" t="s">
        <v>428</v>
      </c>
      <c r="H636" s="15" t="s">
        <v>479</v>
      </c>
      <c r="I636" s="17" t="n">
        <v>514.34</v>
      </c>
      <c r="J636" s="16"/>
      <c r="K636" s="15" t="s">
        <v>372</v>
      </c>
      <c r="L636" s="15" t="n">
        <f aca="false">IF(AND(OR(Search!$C$4="",Search!$C$4="All",B636=Search!$C$4),OR(Search!$C$5="",Search!$C$5="All",C636=Search!$C$5),OR(Search!$C$6="",Search!$C$6="All",D636=Search!$C$6),OR(Search!$C$7="",ISNUMBER(SEARCH(Search!$C$7,D636&amp;" "&amp;E636&amp;" "&amp;F636&amp;" "&amp;G636&amp;" "&amp;H636&amp;" "&amp;J636))),OR(Search!$C$8="",ISNUMBER(SEARCH(Search!$C$8,G636)))),1,0)</f>
        <v>1</v>
      </c>
      <c r="M636" s="15" t="n">
        <f aca="false">M635+L636</f>
        <v>635</v>
      </c>
    </row>
    <row r="637" customFormat="false" ht="15" hidden="false" customHeight="false" outlineLevel="0" collapsed="false">
      <c r="A637" s="14" t="n">
        <v>636</v>
      </c>
      <c r="B637" s="15" t="s">
        <v>370</v>
      </c>
      <c r="C637" s="15" t="s">
        <v>282</v>
      </c>
      <c r="D637" s="16" t="s">
        <v>477</v>
      </c>
      <c r="E637" s="16" t="s">
        <v>484</v>
      </c>
      <c r="F637" s="15"/>
      <c r="G637" s="15" t="s">
        <v>443</v>
      </c>
      <c r="H637" s="15" t="s">
        <v>479</v>
      </c>
      <c r="I637" s="17" t="n">
        <v>449.57</v>
      </c>
      <c r="J637" s="16"/>
      <c r="K637" s="15" t="s">
        <v>372</v>
      </c>
      <c r="L637" s="15" t="n">
        <f aca="false">IF(AND(OR(Search!$C$4="",Search!$C$4="All",B637=Search!$C$4),OR(Search!$C$5="",Search!$C$5="All",C637=Search!$C$5),OR(Search!$C$6="",Search!$C$6="All",D637=Search!$C$6),OR(Search!$C$7="",ISNUMBER(SEARCH(Search!$C$7,D637&amp;" "&amp;E637&amp;" "&amp;F637&amp;" "&amp;G637&amp;" "&amp;H637&amp;" "&amp;J637))),OR(Search!$C$8="",ISNUMBER(SEARCH(Search!$C$8,G637)))),1,0)</f>
        <v>1</v>
      </c>
      <c r="M637" s="15" t="n">
        <f aca="false">M636+L637</f>
        <v>636</v>
      </c>
    </row>
    <row r="638" customFormat="false" ht="15" hidden="false" customHeight="false" outlineLevel="0" collapsed="false">
      <c r="A638" s="14" t="n">
        <v>637</v>
      </c>
      <c r="B638" s="15" t="s">
        <v>370</v>
      </c>
      <c r="C638" s="15" t="s">
        <v>282</v>
      </c>
      <c r="D638" s="16" t="s">
        <v>477</v>
      </c>
      <c r="E638" s="16" t="s">
        <v>484</v>
      </c>
      <c r="F638" s="15"/>
      <c r="G638" s="15" t="s">
        <v>427</v>
      </c>
      <c r="H638" s="15" t="s">
        <v>480</v>
      </c>
      <c r="I638" s="17" t="n">
        <v>1072.53</v>
      </c>
      <c r="J638" s="16"/>
      <c r="K638" s="15" t="s">
        <v>372</v>
      </c>
      <c r="L638" s="15" t="n">
        <f aca="false">IF(AND(OR(Search!$C$4="",Search!$C$4="All",B638=Search!$C$4),OR(Search!$C$5="",Search!$C$5="All",C638=Search!$C$5),OR(Search!$C$6="",Search!$C$6="All",D638=Search!$C$6),OR(Search!$C$7="",ISNUMBER(SEARCH(Search!$C$7,D638&amp;" "&amp;E638&amp;" "&amp;F638&amp;" "&amp;G638&amp;" "&amp;H638&amp;" "&amp;J638))),OR(Search!$C$8="",ISNUMBER(SEARCH(Search!$C$8,G638)))),1,0)</f>
        <v>1</v>
      </c>
      <c r="M638" s="15" t="n">
        <f aca="false">M637+L638</f>
        <v>637</v>
      </c>
    </row>
    <row r="639" customFormat="false" ht="15" hidden="false" customHeight="false" outlineLevel="0" collapsed="false">
      <c r="A639" s="14" t="n">
        <v>638</v>
      </c>
      <c r="B639" s="15" t="s">
        <v>370</v>
      </c>
      <c r="C639" s="15" t="s">
        <v>282</v>
      </c>
      <c r="D639" s="16" t="s">
        <v>477</v>
      </c>
      <c r="E639" s="16" t="s">
        <v>484</v>
      </c>
      <c r="F639" s="15"/>
      <c r="G639" s="15" t="s">
        <v>428</v>
      </c>
      <c r="H639" s="15" t="s">
        <v>480</v>
      </c>
      <c r="I639" s="17" t="n">
        <v>1243.13</v>
      </c>
      <c r="J639" s="16"/>
      <c r="K639" s="15" t="s">
        <v>372</v>
      </c>
      <c r="L639" s="15" t="n">
        <f aca="false">IF(AND(OR(Search!$C$4="",Search!$C$4="All",B639=Search!$C$4),OR(Search!$C$5="",Search!$C$5="All",C639=Search!$C$5),OR(Search!$C$6="",Search!$C$6="All",D639=Search!$C$6),OR(Search!$C$7="",ISNUMBER(SEARCH(Search!$C$7,D639&amp;" "&amp;E639&amp;" "&amp;F639&amp;" "&amp;G639&amp;" "&amp;H639&amp;" "&amp;J639))),OR(Search!$C$8="",ISNUMBER(SEARCH(Search!$C$8,G639)))),1,0)</f>
        <v>1</v>
      </c>
      <c r="M639" s="15" t="n">
        <f aca="false">M638+L639</f>
        <v>638</v>
      </c>
    </row>
    <row r="640" customFormat="false" ht="15" hidden="false" customHeight="false" outlineLevel="0" collapsed="false">
      <c r="A640" s="14" t="n">
        <v>639</v>
      </c>
      <c r="B640" s="15" t="s">
        <v>370</v>
      </c>
      <c r="C640" s="15" t="s">
        <v>282</v>
      </c>
      <c r="D640" s="16" t="s">
        <v>477</v>
      </c>
      <c r="E640" s="16" t="s">
        <v>484</v>
      </c>
      <c r="F640" s="15"/>
      <c r="G640" s="15" t="s">
        <v>443</v>
      </c>
      <c r="H640" s="15" t="s">
        <v>480</v>
      </c>
      <c r="I640" s="17" t="n">
        <v>1222.47</v>
      </c>
      <c r="J640" s="16"/>
      <c r="K640" s="15" t="s">
        <v>372</v>
      </c>
      <c r="L640" s="15" t="n">
        <f aca="false">IF(AND(OR(Search!$C$4="",Search!$C$4="All",B640=Search!$C$4),OR(Search!$C$5="",Search!$C$5="All",C640=Search!$C$5),OR(Search!$C$6="",Search!$C$6="All",D640=Search!$C$6),OR(Search!$C$7="",ISNUMBER(SEARCH(Search!$C$7,D640&amp;" "&amp;E640&amp;" "&amp;F640&amp;" "&amp;G640&amp;" "&amp;H640&amp;" "&amp;J640))),OR(Search!$C$8="",ISNUMBER(SEARCH(Search!$C$8,G640)))),1,0)</f>
        <v>1</v>
      </c>
      <c r="M640" s="15" t="n">
        <f aca="false">M639+L640</f>
        <v>639</v>
      </c>
    </row>
    <row r="641" customFormat="false" ht="15" hidden="false" customHeight="false" outlineLevel="0" collapsed="false">
      <c r="A641" s="14" t="n">
        <v>640</v>
      </c>
      <c r="B641" s="15" t="s">
        <v>370</v>
      </c>
      <c r="C641" s="15" t="s">
        <v>282</v>
      </c>
      <c r="D641" s="16" t="s">
        <v>477</v>
      </c>
      <c r="E641" s="16" t="s">
        <v>484</v>
      </c>
      <c r="F641" s="15"/>
      <c r="G641" s="15" t="s">
        <v>427</v>
      </c>
      <c r="H641" s="15" t="s">
        <v>481</v>
      </c>
      <c r="I641" s="17" t="n">
        <v>557.69</v>
      </c>
      <c r="J641" s="16"/>
      <c r="K641" s="15" t="s">
        <v>372</v>
      </c>
      <c r="L641" s="15" t="n">
        <f aca="false">IF(AND(OR(Search!$C$4="",Search!$C$4="All",B641=Search!$C$4),OR(Search!$C$5="",Search!$C$5="All",C641=Search!$C$5),OR(Search!$C$6="",Search!$C$6="All",D641=Search!$C$6),OR(Search!$C$7="",ISNUMBER(SEARCH(Search!$C$7,D641&amp;" "&amp;E641&amp;" "&amp;F641&amp;" "&amp;G641&amp;" "&amp;H641&amp;" "&amp;J641))),OR(Search!$C$8="",ISNUMBER(SEARCH(Search!$C$8,G641)))),1,0)</f>
        <v>1</v>
      </c>
      <c r="M641" s="15" t="n">
        <f aca="false">M640+L641</f>
        <v>640</v>
      </c>
    </row>
    <row r="642" customFormat="false" ht="15" hidden="false" customHeight="false" outlineLevel="0" collapsed="false">
      <c r="A642" s="14" t="n">
        <v>641</v>
      </c>
      <c r="B642" s="15" t="s">
        <v>370</v>
      </c>
      <c r="C642" s="15" t="s">
        <v>282</v>
      </c>
      <c r="D642" s="16" t="s">
        <v>477</v>
      </c>
      <c r="E642" s="16" t="s">
        <v>484</v>
      </c>
      <c r="F642" s="15"/>
      <c r="G642" s="15" t="s">
        <v>428</v>
      </c>
      <c r="H642" s="15" t="s">
        <v>481</v>
      </c>
      <c r="I642" s="17" t="n">
        <v>647.19</v>
      </c>
      <c r="J642" s="16"/>
      <c r="K642" s="15" t="s">
        <v>372</v>
      </c>
      <c r="L642" s="15" t="n">
        <f aca="false">IF(AND(OR(Search!$C$4="",Search!$C$4="All",B642=Search!$C$4),OR(Search!$C$5="",Search!$C$5="All",C642=Search!$C$5),OR(Search!$C$6="",Search!$C$6="All",D642=Search!$C$6),OR(Search!$C$7="",ISNUMBER(SEARCH(Search!$C$7,D642&amp;" "&amp;E642&amp;" "&amp;F642&amp;" "&amp;G642&amp;" "&amp;H642&amp;" "&amp;J642))),OR(Search!$C$8="",ISNUMBER(SEARCH(Search!$C$8,G642)))),1,0)</f>
        <v>1</v>
      </c>
      <c r="M642" s="15" t="n">
        <f aca="false">M641+L642</f>
        <v>641</v>
      </c>
    </row>
    <row r="643" customFormat="false" ht="15" hidden="false" customHeight="false" outlineLevel="0" collapsed="false">
      <c r="A643" s="14" t="n">
        <v>642</v>
      </c>
      <c r="B643" s="15" t="s">
        <v>370</v>
      </c>
      <c r="C643" s="15" t="s">
        <v>282</v>
      </c>
      <c r="D643" s="16" t="s">
        <v>477</v>
      </c>
      <c r="E643" s="16" t="s">
        <v>484</v>
      </c>
      <c r="F643" s="15"/>
      <c r="G643" s="15" t="s">
        <v>443</v>
      </c>
      <c r="H643" s="15" t="s">
        <v>481</v>
      </c>
      <c r="I643" s="17" t="n">
        <v>638.52</v>
      </c>
      <c r="J643" s="16"/>
      <c r="K643" s="15" t="s">
        <v>372</v>
      </c>
      <c r="L643" s="15" t="n">
        <f aca="false">IF(AND(OR(Search!$C$4="",Search!$C$4="All",B643=Search!$C$4),OR(Search!$C$5="",Search!$C$5="All",C643=Search!$C$5),OR(Search!$C$6="",Search!$C$6="All",D643=Search!$C$6),OR(Search!$C$7="",ISNUMBER(SEARCH(Search!$C$7,D643&amp;" "&amp;E643&amp;" "&amp;F643&amp;" "&amp;G643&amp;" "&amp;H643&amp;" "&amp;J643))),OR(Search!$C$8="",ISNUMBER(SEARCH(Search!$C$8,G643)))),1,0)</f>
        <v>1</v>
      </c>
      <c r="M643" s="15" t="n">
        <f aca="false">M642+L643</f>
        <v>642</v>
      </c>
    </row>
    <row r="644" customFormat="false" ht="15" hidden="false" customHeight="false" outlineLevel="0" collapsed="false">
      <c r="A644" s="14" t="n">
        <v>643</v>
      </c>
      <c r="B644" s="15" t="s">
        <v>370</v>
      </c>
      <c r="C644" s="15" t="s">
        <v>258</v>
      </c>
      <c r="D644" s="16" t="s">
        <v>485</v>
      </c>
      <c r="E644" s="16" t="s">
        <v>486</v>
      </c>
      <c r="F644" s="15"/>
      <c r="G644" s="15" t="s">
        <v>427</v>
      </c>
      <c r="H644" s="15" t="s">
        <v>487</v>
      </c>
      <c r="I644" s="17" t="n">
        <v>118.32</v>
      </c>
      <c r="J644" s="16"/>
      <c r="K644" s="15" t="s">
        <v>372</v>
      </c>
      <c r="L644" s="15" t="n">
        <f aca="false">IF(AND(OR(Search!$C$4="",Search!$C$4="All",B644=Search!$C$4),OR(Search!$C$5="",Search!$C$5="All",C644=Search!$C$5),OR(Search!$C$6="",Search!$C$6="All",D644=Search!$C$6),OR(Search!$C$7="",ISNUMBER(SEARCH(Search!$C$7,D644&amp;" "&amp;E644&amp;" "&amp;F644&amp;" "&amp;G644&amp;" "&amp;H644&amp;" "&amp;J644))),OR(Search!$C$8="",ISNUMBER(SEARCH(Search!$C$8,G644)))),1,0)</f>
        <v>1</v>
      </c>
      <c r="M644" s="15" t="n">
        <f aca="false">M643+L644</f>
        <v>643</v>
      </c>
    </row>
    <row r="645" customFormat="false" ht="15" hidden="false" customHeight="false" outlineLevel="0" collapsed="false">
      <c r="A645" s="14" t="n">
        <v>644</v>
      </c>
      <c r="B645" s="15" t="s">
        <v>370</v>
      </c>
      <c r="C645" s="15" t="s">
        <v>258</v>
      </c>
      <c r="D645" s="16" t="s">
        <v>485</v>
      </c>
      <c r="E645" s="16" t="s">
        <v>486</v>
      </c>
      <c r="F645" s="15"/>
      <c r="G645" s="15" t="s">
        <v>428</v>
      </c>
      <c r="H645" s="15" t="s">
        <v>487</v>
      </c>
      <c r="I645" s="17" t="n">
        <v>139.74</v>
      </c>
      <c r="J645" s="16"/>
      <c r="K645" s="15" t="s">
        <v>372</v>
      </c>
      <c r="L645" s="15" t="n">
        <f aca="false">IF(AND(OR(Search!$C$4="",Search!$C$4="All",B645=Search!$C$4),OR(Search!$C$5="",Search!$C$5="All",C645=Search!$C$5),OR(Search!$C$6="",Search!$C$6="All",D645=Search!$C$6),OR(Search!$C$7="",ISNUMBER(SEARCH(Search!$C$7,D645&amp;" "&amp;E645&amp;" "&amp;F645&amp;" "&amp;G645&amp;" "&amp;H645&amp;" "&amp;J645))),OR(Search!$C$8="",ISNUMBER(SEARCH(Search!$C$8,G645)))),1,0)</f>
        <v>1</v>
      </c>
      <c r="M645" s="15" t="n">
        <f aca="false">M644+L645</f>
        <v>644</v>
      </c>
    </row>
    <row r="646" customFormat="false" ht="15" hidden="false" customHeight="false" outlineLevel="0" collapsed="false">
      <c r="A646" s="14" t="n">
        <v>645</v>
      </c>
      <c r="B646" s="15" t="s">
        <v>370</v>
      </c>
      <c r="C646" s="15" t="s">
        <v>258</v>
      </c>
      <c r="D646" s="16" t="s">
        <v>485</v>
      </c>
      <c r="E646" s="16" t="s">
        <v>488</v>
      </c>
      <c r="F646" s="15"/>
      <c r="G646" s="15" t="s">
        <v>427</v>
      </c>
      <c r="H646" s="15" t="s">
        <v>487</v>
      </c>
      <c r="I646" s="17" t="n">
        <v>147.7</v>
      </c>
      <c r="J646" s="16"/>
      <c r="K646" s="15" t="s">
        <v>372</v>
      </c>
      <c r="L646" s="15" t="n">
        <f aca="false">IF(AND(OR(Search!$C$4="",Search!$C$4="All",B646=Search!$C$4),OR(Search!$C$5="",Search!$C$5="All",C646=Search!$C$5),OR(Search!$C$6="",Search!$C$6="All",D646=Search!$C$6),OR(Search!$C$7="",ISNUMBER(SEARCH(Search!$C$7,D646&amp;" "&amp;E646&amp;" "&amp;F646&amp;" "&amp;G646&amp;" "&amp;H646&amp;" "&amp;J646))),OR(Search!$C$8="",ISNUMBER(SEARCH(Search!$C$8,G646)))),1,0)</f>
        <v>1</v>
      </c>
      <c r="M646" s="15" t="n">
        <f aca="false">M645+L646</f>
        <v>645</v>
      </c>
    </row>
    <row r="647" customFormat="false" ht="15" hidden="false" customHeight="false" outlineLevel="0" collapsed="false">
      <c r="A647" s="14" t="n">
        <v>646</v>
      </c>
      <c r="B647" s="15" t="s">
        <v>370</v>
      </c>
      <c r="C647" s="15" t="s">
        <v>258</v>
      </c>
      <c r="D647" s="16" t="s">
        <v>485</v>
      </c>
      <c r="E647" s="16" t="s">
        <v>488</v>
      </c>
      <c r="F647" s="15"/>
      <c r="G647" s="15" t="s">
        <v>428</v>
      </c>
      <c r="H647" s="15" t="s">
        <v>487</v>
      </c>
      <c r="I647" s="17" t="n">
        <v>174.98</v>
      </c>
      <c r="J647" s="16"/>
      <c r="K647" s="15" t="s">
        <v>372</v>
      </c>
      <c r="L647" s="15" t="n">
        <f aca="false">IF(AND(OR(Search!$C$4="",Search!$C$4="All",B647=Search!$C$4),OR(Search!$C$5="",Search!$C$5="All",C647=Search!$C$5),OR(Search!$C$6="",Search!$C$6="All",D647=Search!$C$6),OR(Search!$C$7="",ISNUMBER(SEARCH(Search!$C$7,D647&amp;" "&amp;E647&amp;" "&amp;F647&amp;" "&amp;G647&amp;" "&amp;H647&amp;" "&amp;J647))),OR(Search!$C$8="",ISNUMBER(SEARCH(Search!$C$8,G647)))),1,0)</f>
        <v>1</v>
      </c>
      <c r="M647" s="15" t="n">
        <f aca="false">M646+L647</f>
        <v>646</v>
      </c>
    </row>
    <row r="648" customFormat="false" ht="15" hidden="false" customHeight="false" outlineLevel="0" collapsed="false">
      <c r="A648" s="14" t="n">
        <v>647</v>
      </c>
      <c r="B648" s="15" t="s">
        <v>370</v>
      </c>
      <c r="C648" s="15" t="s">
        <v>251</v>
      </c>
      <c r="D648" s="16" t="s">
        <v>254</v>
      </c>
      <c r="E648" s="16"/>
      <c r="F648" s="15" t="s">
        <v>489</v>
      </c>
      <c r="G648" s="15"/>
      <c r="H648" s="15" t="s">
        <v>253</v>
      </c>
      <c r="I648" s="17" t="n">
        <v>2091</v>
      </c>
      <c r="J648" s="16"/>
      <c r="K648" s="15" t="s">
        <v>372</v>
      </c>
      <c r="L648" s="15" t="n">
        <f aca="false">IF(AND(OR(Search!$C$4="",Search!$C$4="All",B648=Search!$C$4),OR(Search!$C$5="",Search!$C$5="All",C648=Search!$C$5),OR(Search!$C$6="",Search!$C$6="All",D648=Search!$C$6),OR(Search!$C$7="",ISNUMBER(SEARCH(Search!$C$7,D648&amp;" "&amp;E648&amp;" "&amp;F648&amp;" "&amp;G648&amp;" "&amp;H648&amp;" "&amp;J648))),OR(Search!$C$8="",ISNUMBER(SEARCH(Search!$C$8,G648)))),1,0)</f>
        <v>1</v>
      </c>
      <c r="M648" s="15" t="n">
        <f aca="false">M647+L648</f>
        <v>647</v>
      </c>
    </row>
    <row r="649" customFormat="false" ht="15" hidden="false" customHeight="false" outlineLevel="0" collapsed="false">
      <c r="A649" s="14" t="n">
        <v>648</v>
      </c>
      <c r="B649" s="15" t="s">
        <v>370</v>
      </c>
      <c r="C649" s="15" t="s">
        <v>251</v>
      </c>
      <c r="D649" s="16" t="s">
        <v>254</v>
      </c>
      <c r="E649" s="16"/>
      <c r="F649" s="15" t="s">
        <v>490</v>
      </c>
      <c r="G649" s="15"/>
      <c r="H649" s="15" t="s">
        <v>253</v>
      </c>
      <c r="I649" s="17" t="n">
        <v>2091</v>
      </c>
      <c r="J649" s="16"/>
      <c r="K649" s="15" t="s">
        <v>372</v>
      </c>
      <c r="L649" s="15" t="n">
        <f aca="false">IF(AND(OR(Search!$C$4="",Search!$C$4="All",B649=Search!$C$4),OR(Search!$C$5="",Search!$C$5="All",C649=Search!$C$5),OR(Search!$C$6="",Search!$C$6="All",D649=Search!$C$6),OR(Search!$C$7="",ISNUMBER(SEARCH(Search!$C$7,D649&amp;" "&amp;E649&amp;" "&amp;F649&amp;" "&amp;G649&amp;" "&amp;H649&amp;" "&amp;J649))),OR(Search!$C$8="",ISNUMBER(SEARCH(Search!$C$8,G649)))),1,0)</f>
        <v>1</v>
      </c>
      <c r="M649" s="15" t="n">
        <f aca="false">M648+L649</f>
        <v>648</v>
      </c>
    </row>
    <row r="650" customFormat="false" ht="15" hidden="false" customHeight="false" outlineLevel="0" collapsed="false">
      <c r="A650" s="14" t="n">
        <v>649</v>
      </c>
      <c r="B650" s="15" t="s">
        <v>370</v>
      </c>
      <c r="C650" s="15" t="s">
        <v>166</v>
      </c>
      <c r="D650" s="16" t="s">
        <v>491</v>
      </c>
      <c r="E650" s="16"/>
      <c r="F650" s="15" t="s">
        <v>492</v>
      </c>
      <c r="G650" s="15" t="s">
        <v>164</v>
      </c>
      <c r="H650" s="15" t="s">
        <v>161</v>
      </c>
      <c r="I650" s="17" t="n">
        <v>1326</v>
      </c>
      <c r="J650" s="16"/>
      <c r="K650" s="15" t="s">
        <v>372</v>
      </c>
      <c r="L650" s="15" t="n">
        <f aca="false">IF(AND(OR(Search!$C$4="",Search!$C$4="All",B650=Search!$C$4),OR(Search!$C$5="",Search!$C$5="All",C650=Search!$C$5),OR(Search!$C$6="",Search!$C$6="All",D650=Search!$C$6),OR(Search!$C$7="",ISNUMBER(SEARCH(Search!$C$7,D650&amp;" "&amp;E650&amp;" "&amp;F650&amp;" "&amp;G650&amp;" "&amp;H650&amp;" "&amp;J650))),OR(Search!$C$8="",ISNUMBER(SEARCH(Search!$C$8,G650)))),1,0)</f>
        <v>1</v>
      </c>
      <c r="M650" s="15" t="n">
        <f aca="false">M649+L650</f>
        <v>649</v>
      </c>
    </row>
    <row r="651" customFormat="false" ht="15" hidden="false" customHeight="false" outlineLevel="0" collapsed="false">
      <c r="A651" s="14" t="n">
        <v>650</v>
      </c>
      <c r="B651" s="15" t="s">
        <v>370</v>
      </c>
      <c r="C651" s="15" t="s">
        <v>166</v>
      </c>
      <c r="D651" s="16" t="s">
        <v>491</v>
      </c>
      <c r="E651" s="16"/>
      <c r="F651" s="15" t="s">
        <v>492</v>
      </c>
      <c r="G651" s="15" t="s">
        <v>173</v>
      </c>
      <c r="H651" s="15" t="s">
        <v>161</v>
      </c>
      <c r="I651" s="17" t="n">
        <v>1657.5</v>
      </c>
      <c r="J651" s="16"/>
      <c r="K651" s="15" t="s">
        <v>372</v>
      </c>
      <c r="L651" s="15" t="n">
        <f aca="false">IF(AND(OR(Search!$C$4="",Search!$C$4="All",B651=Search!$C$4),OR(Search!$C$5="",Search!$C$5="All",C651=Search!$C$5),OR(Search!$C$6="",Search!$C$6="All",D651=Search!$C$6),OR(Search!$C$7="",ISNUMBER(SEARCH(Search!$C$7,D651&amp;" "&amp;E651&amp;" "&amp;F651&amp;" "&amp;G651&amp;" "&amp;H651&amp;" "&amp;J651))),OR(Search!$C$8="",ISNUMBER(SEARCH(Search!$C$8,G651)))),1,0)</f>
        <v>1</v>
      </c>
      <c r="M651" s="15" t="n">
        <f aca="false">M650+L651</f>
        <v>650</v>
      </c>
    </row>
    <row r="652" customFormat="false" ht="15" hidden="false" customHeight="false" outlineLevel="0" collapsed="false">
      <c r="A652" s="14" t="n">
        <v>651</v>
      </c>
      <c r="B652" s="15" t="s">
        <v>370</v>
      </c>
      <c r="C652" s="15" t="s">
        <v>166</v>
      </c>
      <c r="D652" s="16" t="s">
        <v>491</v>
      </c>
      <c r="E652" s="16"/>
      <c r="F652" s="15" t="s">
        <v>492</v>
      </c>
      <c r="G652" s="15" t="s">
        <v>163</v>
      </c>
      <c r="H652" s="15" t="s">
        <v>161</v>
      </c>
      <c r="I652" s="17" t="n">
        <v>1783.98</v>
      </c>
      <c r="J652" s="16"/>
      <c r="K652" s="15" t="s">
        <v>372</v>
      </c>
      <c r="L652" s="15" t="n">
        <f aca="false">IF(AND(OR(Search!$C$4="",Search!$C$4="All",B652=Search!$C$4),OR(Search!$C$5="",Search!$C$5="All",C652=Search!$C$5),OR(Search!$C$6="",Search!$C$6="All",D652=Search!$C$6),OR(Search!$C$7="",ISNUMBER(SEARCH(Search!$C$7,D652&amp;" "&amp;E652&amp;" "&amp;F652&amp;" "&amp;G652&amp;" "&amp;H652&amp;" "&amp;J652))),OR(Search!$C$8="",ISNUMBER(SEARCH(Search!$C$8,G652)))),1,0)</f>
        <v>1</v>
      </c>
      <c r="M652" s="15" t="n">
        <f aca="false">M651+L652</f>
        <v>651</v>
      </c>
    </row>
    <row r="653" customFormat="false" ht="15" hidden="false" customHeight="false" outlineLevel="0" collapsed="false">
      <c r="A653" s="14" t="n">
        <v>652</v>
      </c>
      <c r="B653" s="15" t="s">
        <v>370</v>
      </c>
      <c r="C653" s="15" t="s">
        <v>166</v>
      </c>
      <c r="D653" s="16" t="s">
        <v>491</v>
      </c>
      <c r="E653" s="16"/>
      <c r="F653" s="15" t="s">
        <v>493</v>
      </c>
      <c r="G653" s="15" t="s">
        <v>164</v>
      </c>
      <c r="H653" s="15" t="s">
        <v>161</v>
      </c>
      <c r="I653" s="17" t="n">
        <v>1542.24</v>
      </c>
      <c r="J653" s="16"/>
      <c r="K653" s="15" t="s">
        <v>372</v>
      </c>
      <c r="L653" s="15" t="n">
        <f aca="false">IF(AND(OR(Search!$C$4="",Search!$C$4="All",B653=Search!$C$4),OR(Search!$C$5="",Search!$C$5="All",C653=Search!$C$5),OR(Search!$C$6="",Search!$C$6="All",D653=Search!$C$6),OR(Search!$C$7="",ISNUMBER(SEARCH(Search!$C$7,D653&amp;" "&amp;E653&amp;" "&amp;F653&amp;" "&amp;G653&amp;" "&amp;H653&amp;" "&amp;J653))),OR(Search!$C$8="",ISNUMBER(SEARCH(Search!$C$8,G653)))),1,0)</f>
        <v>1</v>
      </c>
      <c r="M653" s="15" t="n">
        <f aca="false">M652+L653</f>
        <v>652</v>
      </c>
    </row>
    <row r="654" customFormat="false" ht="15" hidden="false" customHeight="false" outlineLevel="0" collapsed="false">
      <c r="A654" s="14" t="n">
        <v>653</v>
      </c>
      <c r="B654" s="15" t="s">
        <v>370</v>
      </c>
      <c r="C654" s="15" t="s">
        <v>166</v>
      </c>
      <c r="D654" s="16" t="s">
        <v>491</v>
      </c>
      <c r="E654" s="16"/>
      <c r="F654" s="15" t="s">
        <v>493</v>
      </c>
      <c r="G654" s="15" t="s">
        <v>173</v>
      </c>
      <c r="H654" s="15" t="s">
        <v>161</v>
      </c>
      <c r="I654" s="17" t="n">
        <v>1927.8</v>
      </c>
      <c r="J654" s="16"/>
      <c r="K654" s="15" t="s">
        <v>372</v>
      </c>
      <c r="L654" s="15" t="n">
        <f aca="false">IF(AND(OR(Search!$C$4="",Search!$C$4="All",B654=Search!$C$4),OR(Search!$C$5="",Search!$C$5="All",C654=Search!$C$5),OR(Search!$C$6="",Search!$C$6="All",D654=Search!$C$6),OR(Search!$C$7="",ISNUMBER(SEARCH(Search!$C$7,D654&amp;" "&amp;E654&amp;" "&amp;F654&amp;" "&amp;G654&amp;" "&amp;H654&amp;" "&amp;J654))),OR(Search!$C$8="",ISNUMBER(SEARCH(Search!$C$8,G654)))),1,0)</f>
        <v>1</v>
      </c>
      <c r="M654" s="15" t="n">
        <f aca="false">M653+L654</f>
        <v>653</v>
      </c>
    </row>
    <row r="655" customFormat="false" ht="15" hidden="false" customHeight="false" outlineLevel="0" collapsed="false">
      <c r="A655" s="14" t="n">
        <v>654</v>
      </c>
      <c r="B655" s="15" t="s">
        <v>370</v>
      </c>
      <c r="C655" s="15" t="s">
        <v>166</v>
      </c>
      <c r="D655" s="16" t="s">
        <v>491</v>
      </c>
      <c r="E655" s="16"/>
      <c r="F655" s="15" t="s">
        <v>493</v>
      </c>
      <c r="G655" s="15" t="s">
        <v>163</v>
      </c>
      <c r="H655" s="15" t="s">
        <v>161</v>
      </c>
      <c r="I655" s="17" t="n">
        <v>1959.93</v>
      </c>
      <c r="J655" s="16"/>
      <c r="K655" s="15" t="s">
        <v>372</v>
      </c>
      <c r="L655" s="15" t="n">
        <f aca="false">IF(AND(OR(Search!$C$4="",Search!$C$4="All",B655=Search!$C$4),OR(Search!$C$5="",Search!$C$5="All",C655=Search!$C$5),OR(Search!$C$6="",Search!$C$6="All",D655=Search!$C$6),OR(Search!$C$7="",ISNUMBER(SEARCH(Search!$C$7,D655&amp;" "&amp;E655&amp;" "&amp;F655&amp;" "&amp;G655&amp;" "&amp;H655&amp;" "&amp;J655))),OR(Search!$C$8="",ISNUMBER(SEARCH(Search!$C$8,G655)))),1,0)</f>
        <v>1</v>
      </c>
      <c r="M655" s="15" t="n">
        <f aca="false">M654+L655</f>
        <v>654</v>
      </c>
    </row>
    <row r="656" customFormat="false" ht="15" hidden="false" customHeight="false" outlineLevel="0" collapsed="false">
      <c r="A656" s="14" t="n">
        <v>655</v>
      </c>
      <c r="B656" s="15" t="s">
        <v>370</v>
      </c>
      <c r="C656" s="15" t="s">
        <v>293</v>
      </c>
      <c r="D656" s="16" t="s">
        <v>494</v>
      </c>
      <c r="E656" s="16"/>
      <c r="F656" s="15"/>
      <c r="G656" s="15" t="s">
        <v>296</v>
      </c>
      <c r="H656" s="15" t="s">
        <v>203</v>
      </c>
      <c r="I656" s="17" t="n">
        <v>3.42</v>
      </c>
      <c r="J656" s="16"/>
      <c r="K656" s="15" t="s">
        <v>372</v>
      </c>
      <c r="L656" s="15" t="n">
        <f aca="false">IF(AND(OR(Search!$C$4="",Search!$C$4="All",B656=Search!$C$4),OR(Search!$C$5="",Search!$C$5="All",C656=Search!$C$5),OR(Search!$C$6="",Search!$C$6="All",D656=Search!$C$6),OR(Search!$C$7="",ISNUMBER(SEARCH(Search!$C$7,D656&amp;" "&amp;E656&amp;" "&amp;F656&amp;" "&amp;G656&amp;" "&amp;H656&amp;" "&amp;J656))),OR(Search!$C$8="",ISNUMBER(SEARCH(Search!$C$8,G656)))),1,0)</f>
        <v>1</v>
      </c>
      <c r="M656" s="15" t="n">
        <f aca="false">M655+L656</f>
        <v>655</v>
      </c>
    </row>
    <row r="657" customFormat="false" ht="15" hidden="false" customHeight="false" outlineLevel="0" collapsed="false">
      <c r="A657" s="14" t="n">
        <v>656</v>
      </c>
      <c r="B657" s="15" t="s">
        <v>370</v>
      </c>
      <c r="C657" s="15" t="s">
        <v>331</v>
      </c>
      <c r="D657" s="16" t="s">
        <v>495</v>
      </c>
      <c r="E657" s="16"/>
      <c r="F657" s="15" t="s">
        <v>371</v>
      </c>
      <c r="G657" s="15" t="s">
        <v>173</v>
      </c>
      <c r="H657" s="15" t="s">
        <v>487</v>
      </c>
      <c r="I657" s="17" t="n">
        <v>4233</v>
      </c>
      <c r="J657" s="16"/>
      <c r="K657" s="15" t="s">
        <v>372</v>
      </c>
      <c r="L657" s="15" t="n">
        <f aca="false">IF(AND(OR(Search!$C$4="",Search!$C$4="All",B657=Search!$C$4),OR(Search!$C$5="",Search!$C$5="All",C657=Search!$C$5),OR(Search!$C$6="",Search!$C$6="All",D657=Search!$C$6),OR(Search!$C$7="",ISNUMBER(SEARCH(Search!$C$7,D657&amp;" "&amp;E657&amp;" "&amp;F657&amp;" "&amp;G657&amp;" "&amp;H657&amp;" "&amp;J657))),OR(Search!$C$8="",ISNUMBER(SEARCH(Search!$C$8,G657)))),1,0)</f>
        <v>1</v>
      </c>
      <c r="M657" s="15" t="n">
        <f aca="false">M656+L657</f>
        <v>656</v>
      </c>
    </row>
    <row r="658" customFormat="false" ht="15" hidden="false" customHeight="false" outlineLevel="0" collapsed="false">
      <c r="A658" s="14" t="n">
        <v>657</v>
      </c>
      <c r="B658" s="15" t="s">
        <v>370</v>
      </c>
      <c r="C658" s="15" t="s">
        <v>331</v>
      </c>
      <c r="D658" s="16" t="s">
        <v>495</v>
      </c>
      <c r="E658" s="16"/>
      <c r="F658" s="15" t="s">
        <v>496</v>
      </c>
      <c r="G658" s="15" t="s">
        <v>497</v>
      </c>
      <c r="H658" s="15" t="s">
        <v>479</v>
      </c>
      <c r="I658" s="17" t="n">
        <v>4268</v>
      </c>
      <c r="J658" s="16"/>
      <c r="K658" s="15" t="s">
        <v>372</v>
      </c>
      <c r="L658" s="15" t="n">
        <f aca="false">IF(AND(OR(Search!$C$4="",Search!$C$4="All",B658=Search!$C$4),OR(Search!$C$5="",Search!$C$5="All",C658=Search!$C$5),OR(Search!$C$6="",Search!$C$6="All",D658=Search!$C$6),OR(Search!$C$7="",ISNUMBER(SEARCH(Search!$C$7,D658&amp;" "&amp;E658&amp;" "&amp;F658&amp;" "&amp;G658&amp;" "&amp;H658&amp;" "&amp;J658))),OR(Search!$C$8="",ISNUMBER(SEARCH(Search!$C$8,G658)))),1,0)</f>
        <v>1</v>
      </c>
      <c r="M658" s="15" t="n">
        <f aca="false">M657+L658</f>
        <v>657</v>
      </c>
    </row>
    <row r="659" customFormat="false" ht="15" hidden="false" customHeight="false" outlineLevel="0" collapsed="false">
      <c r="A659" s="14" t="n">
        <v>658</v>
      </c>
      <c r="B659" s="15" t="s">
        <v>370</v>
      </c>
      <c r="C659" s="15" t="s">
        <v>331</v>
      </c>
      <c r="D659" s="16" t="s">
        <v>495</v>
      </c>
      <c r="E659" s="16"/>
      <c r="F659" s="15" t="s">
        <v>496</v>
      </c>
      <c r="G659" s="15" t="s">
        <v>497</v>
      </c>
      <c r="H659" s="15" t="s">
        <v>498</v>
      </c>
      <c r="I659" s="17" t="n">
        <v>861.9</v>
      </c>
      <c r="J659" s="16"/>
      <c r="K659" s="15" t="s">
        <v>372</v>
      </c>
      <c r="L659" s="15" t="n">
        <f aca="false">IF(AND(OR(Search!$C$4="",Search!$C$4="All",B659=Search!$C$4),OR(Search!$C$5="",Search!$C$5="All",C659=Search!$C$5),OR(Search!$C$6="",Search!$C$6="All",D659=Search!$C$6),OR(Search!$C$7="",ISNUMBER(SEARCH(Search!$C$7,D659&amp;" "&amp;E659&amp;" "&amp;F659&amp;" "&amp;G659&amp;" "&amp;H659&amp;" "&amp;J659))),OR(Search!$C$8="",ISNUMBER(SEARCH(Search!$C$8,G659)))),1,0)</f>
        <v>1</v>
      </c>
      <c r="M659" s="15" t="n">
        <f aca="false">M658+L659</f>
        <v>658</v>
      </c>
    </row>
    <row r="660" customFormat="false" ht="15" hidden="false" customHeight="false" outlineLevel="0" collapsed="false">
      <c r="A660" s="14" t="n">
        <v>659</v>
      </c>
      <c r="B660" s="15" t="s">
        <v>370</v>
      </c>
      <c r="C660" s="15" t="s">
        <v>331</v>
      </c>
      <c r="D660" s="16" t="s">
        <v>495</v>
      </c>
      <c r="E660" s="16"/>
      <c r="F660" s="15" t="s">
        <v>499</v>
      </c>
      <c r="G660" s="15" t="s">
        <v>497</v>
      </c>
      <c r="H660" s="15" t="s">
        <v>380</v>
      </c>
      <c r="I660" s="17" t="n">
        <v>2244</v>
      </c>
      <c r="J660" s="16"/>
      <c r="K660" s="15" t="s">
        <v>372</v>
      </c>
      <c r="L660" s="15" t="n">
        <f aca="false">IF(AND(OR(Search!$C$4="",Search!$C$4="All",B660=Search!$C$4),OR(Search!$C$5="",Search!$C$5="All",C660=Search!$C$5),OR(Search!$C$6="",Search!$C$6="All",D660=Search!$C$6),OR(Search!$C$7="",ISNUMBER(SEARCH(Search!$C$7,D660&amp;" "&amp;E660&amp;" "&amp;F660&amp;" "&amp;G660&amp;" "&amp;H660&amp;" "&amp;J660))),OR(Search!$C$8="",ISNUMBER(SEARCH(Search!$C$8,G660)))),1,0)</f>
        <v>1</v>
      </c>
      <c r="M660" s="15" t="n">
        <f aca="false">M659+L660</f>
        <v>659</v>
      </c>
    </row>
    <row r="661" customFormat="false" ht="15" hidden="false" customHeight="false" outlineLevel="0" collapsed="false">
      <c r="A661" s="14" t="n">
        <v>660</v>
      </c>
      <c r="B661" s="15" t="s">
        <v>370</v>
      </c>
      <c r="C661" s="15" t="s">
        <v>331</v>
      </c>
      <c r="D661" s="16" t="s">
        <v>495</v>
      </c>
      <c r="E661" s="16"/>
      <c r="F661" s="15" t="s">
        <v>499</v>
      </c>
      <c r="G661" s="15" t="s">
        <v>497</v>
      </c>
      <c r="H661" s="15" t="s">
        <v>498</v>
      </c>
      <c r="I661" s="17" t="n">
        <v>1081.2</v>
      </c>
      <c r="J661" s="16"/>
      <c r="K661" s="15" t="s">
        <v>372</v>
      </c>
      <c r="L661" s="15" t="n">
        <f aca="false">IF(AND(OR(Search!$C$4="",Search!$C$4="All",B661=Search!$C$4),OR(Search!$C$5="",Search!$C$5="All",C661=Search!$C$5),OR(Search!$C$6="",Search!$C$6="All",D661=Search!$C$6),OR(Search!$C$7="",ISNUMBER(SEARCH(Search!$C$7,D661&amp;" "&amp;E661&amp;" "&amp;F661&amp;" "&amp;G661&amp;" "&amp;H661&amp;" "&amp;J661))),OR(Search!$C$8="",ISNUMBER(SEARCH(Search!$C$8,G661)))),1,0)</f>
        <v>1</v>
      </c>
      <c r="M661" s="15" t="n">
        <f aca="false">M660+L661</f>
        <v>660</v>
      </c>
    </row>
    <row r="662" customFormat="false" ht="15" hidden="false" customHeight="false" outlineLevel="0" collapsed="false">
      <c r="A662" s="14" t="n">
        <v>661</v>
      </c>
      <c r="B662" s="15" t="s">
        <v>370</v>
      </c>
      <c r="C662" s="15" t="s">
        <v>200</v>
      </c>
      <c r="D662" s="16" t="s">
        <v>500</v>
      </c>
      <c r="E662" s="16"/>
      <c r="F662" s="15" t="s">
        <v>228</v>
      </c>
      <c r="G662" s="15" t="s">
        <v>225</v>
      </c>
      <c r="H662" s="15" t="s">
        <v>498</v>
      </c>
      <c r="I662" s="17" t="n">
        <v>1540.2</v>
      </c>
      <c r="J662" s="16"/>
      <c r="K662" s="15" t="s">
        <v>372</v>
      </c>
      <c r="L662" s="15" t="n">
        <f aca="false">IF(AND(OR(Search!$C$4="",Search!$C$4="All",B662=Search!$C$4),OR(Search!$C$5="",Search!$C$5="All",C662=Search!$C$5),OR(Search!$C$6="",Search!$C$6="All",D662=Search!$C$6),OR(Search!$C$7="",ISNUMBER(SEARCH(Search!$C$7,D662&amp;" "&amp;E662&amp;" "&amp;F662&amp;" "&amp;G662&amp;" "&amp;H662&amp;" "&amp;J662))),OR(Search!$C$8="",ISNUMBER(SEARCH(Search!$C$8,G662)))),1,0)</f>
        <v>1</v>
      </c>
      <c r="M662" s="15" t="n">
        <f aca="false">M661+L662</f>
        <v>661</v>
      </c>
    </row>
    <row r="663" customFormat="false" ht="15" hidden="false" customHeight="false" outlineLevel="0" collapsed="false">
      <c r="A663" s="14" t="n">
        <v>662</v>
      </c>
      <c r="B663" s="15" t="s">
        <v>370</v>
      </c>
      <c r="C663" s="15" t="s">
        <v>200</v>
      </c>
      <c r="D663" s="16" t="s">
        <v>500</v>
      </c>
      <c r="E663" s="16"/>
      <c r="F663" s="15" t="s">
        <v>228</v>
      </c>
      <c r="G663" s="15" t="s">
        <v>225</v>
      </c>
      <c r="H663" s="15" t="s">
        <v>380</v>
      </c>
      <c r="I663" s="17" t="n">
        <v>3060</v>
      </c>
      <c r="J663" s="16"/>
      <c r="K663" s="15" t="s">
        <v>372</v>
      </c>
      <c r="L663" s="15" t="n">
        <f aca="false">IF(AND(OR(Search!$C$4="",Search!$C$4="All",B663=Search!$C$4),OR(Search!$C$5="",Search!$C$5="All",C663=Search!$C$5),OR(Search!$C$6="",Search!$C$6="All",D663=Search!$C$6),OR(Search!$C$7="",ISNUMBER(SEARCH(Search!$C$7,D663&amp;" "&amp;E663&amp;" "&amp;F663&amp;" "&amp;G663&amp;" "&amp;H663&amp;" "&amp;J663))),OR(Search!$C$8="",ISNUMBER(SEARCH(Search!$C$8,G663)))),1,0)</f>
        <v>1</v>
      </c>
      <c r="M663" s="15" t="n">
        <f aca="false">M662+L663</f>
        <v>662</v>
      </c>
    </row>
    <row r="664" customFormat="false" ht="15" hidden="false" customHeight="false" outlineLevel="0" collapsed="false">
      <c r="A664" s="14" t="n">
        <v>663</v>
      </c>
      <c r="B664" s="15" t="s">
        <v>370</v>
      </c>
      <c r="C664" s="15" t="s">
        <v>339</v>
      </c>
      <c r="D664" s="16" t="s">
        <v>501</v>
      </c>
      <c r="E664" s="16" t="s">
        <v>502</v>
      </c>
      <c r="F664" s="15" t="s">
        <v>503</v>
      </c>
      <c r="G664" s="15" t="s">
        <v>160</v>
      </c>
      <c r="H664" s="15" t="s">
        <v>161</v>
      </c>
      <c r="I664" s="17" t="n">
        <v>1530</v>
      </c>
      <c r="J664" s="16"/>
      <c r="K664" s="15" t="s">
        <v>372</v>
      </c>
      <c r="L664" s="15" t="n">
        <f aca="false">IF(AND(OR(Search!$C$4="",Search!$C$4="All",B664=Search!$C$4),OR(Search!$C$5="",Search!$C$5="All",C664=Search!$C$5),OR(Search!$C$6="",Search!$C$6="All",D664=Search!$C$6),OR(Search!$C$7="",ISNUMBER(SEARCH(Search!$C$7,D664&amp;" "&amp;E664&amp;" "&amp;F664&amp;" "&amp;G664&amp;" "&amp;H664&amp;" "&amp;J664))),OR(Search!$C$8="",ISNUMBER(SEARCH(Search!$C$8,G664)))),1,0)</f>
        <v>1</v>
      </c>
      <c r="M664" s="15" t="n">
        <f aca="false">M663+L664</f>
        <v>663</v>
      </c>
    </row>
    <row r="665" customFormat="false" ht="15" hidden="false" customHeight="false" outlineLevel="0" collapsed="false">
      <c r="A665" s="14" t="n">
        <v>664</v>
      </c>
      <c r="B665" s="15" t="s">
        <v>370</v>
      </c>
      <c r="C665" s="15" t="s">
        <v>339</v>
      </c>
      <c r="D665" s="16" t="s">
        <v>504</v>
      </c>
      <c r="E665" s="16" t="s">
        <v>502</v>
      </c>
      <c r="F665" s="15" t="s">
        <v>503</v>
      </c>
      <c r="G665" s="15" t="s">
        <v>160</v>
      </c>
      <c r="H665" s="15" t="s">
        <v>161</v>
      </c>
      <c r="I665" s="17" t="n">
        <v>1402.5</v>
      </c>
      <c r="J665" s="16"/>
      <c r="K665" s="15" t="s">
        <v>372</v>
      </c>
      <c r="L665" s="15" t="n">
        <f aca="false">IF(AND(OR(Search!$C$4="",Search!$C$4="All",B665=Search!$C$4),OR(Search!$C$5="",Search!$C$5="All",C665=Search!$C$5),OR(Search!$C$6="",Search!$C$6="All",D665=Search!$C$6),OR(Search!$C$7="",ISNUMBER(SEARCH(Search!$C$7,D665&amp;" "&amp;E665&amp;" "&amp;F665&amp;" "&amp;G665&amp;" "&amp;H665&amp;" "&amp;J665))),OR(Search!$C$8="",ISNUMBER(SEARCH(Search!$C$8,G665)))),1,0)</f>
        <v>1</v>
      </c>
      <c r="M665" s="15" t="n">
        <f aca="false">M664+L665</f>
        <v>664</v>
      </c>
    </row>
    <row r="666" customFormat="false" ht="15" hidden="false" customHeight="false" outlineLevel="0" collapsed="false">
      <c r="A666" s="14" t="n">
        <v>665</v>
      </c>
      <c r="B666" s="15" t="s">
        <v>370</v>
      </c>
      <c r="C666" s="15" t="s">
        <v>339</v>
      </c>
      <c r="D666" s="16" t="s">
        <v>501</v>
      </c>
      <c r="E666" s="16" t="s">
        <v>505</v>
      </c>
      <c r="F666" s="15" t="s">
        <v>503</v>
      </c>
      <c r="G666" s="15" t="s">
        <v>160</v>
      </c>
      <c r="H666" s="15" t="s">
        <v>161</v>
      </c>
      <c r="I666" s="17" t="n">
        <v>1443.3</v>
      </c>
      <c r="J666" s="16"/>
      <c r="K666" s="15" t="s">
        <v>372</v>
      </c>
      <c r="L666" s="15" t="n">
        <f aca="false">IF(AND(OR(Search!$C$4="",Search!$C$4="All",B666=Search!$C$4),OR(Search!$C$5="",Search!$C$5="All",C666=Search!$C$5),OR(Search!$C$6="",Search!$C$6="All",D666=Search!$C$6),OR(Search!$C$7="",ISNUMBER(SEARCH(Search!$C$7,D666&amp;" "&amp;E666&amp;" "&amp;F666&amp;" "&amp;G666&amp;" "&amp;H666&amp;" "&amp;J666))),OR(Search!$C$8="",ISNUMBER(SEARCH(Search!$C$8,G666)))),1,0)</f>
        <v>1</v>
      </c>
      <c r="M666" s="15" t="n">
        <f aca="false">M665+L666</f>
        <v>665</v>
      </c>
    </row>
    <row r="667" customFormat="false" ht="15" hidden="false" customHeight="false" outlineLevel="0" collapsed="false">
      <c r="A667" s="14" t="n">
        <v>666</v>
      </c>
      <c r="B667" s="15" t="s">
        <v>370</v>
      </c>
      <c r="C667" s="15" t="s">
        <v>293</v>
      </c>
      <c r="D667" s="16" t="s">
        <v>506</v>
      </c>
      <c r="E667" s="16"/>
      <c r="F667" s="15"/>
      <c r="G667" s="15" t="s">
        <v>507</v>
      </c>
      <c r="H667" s="15" t="s">
        <v>203</v>
      </c>
      <c r="I667" s="17" t="n">
        <v>4.64</v>
      </c>
      <c r="J667" s="16"/>
      <c r="K667" s="15" t="s">
        <v>372</v>
      </c>
      <c r="L667" s="15" t="n">
        <f aca="false">IF(AND(OR(Search!$C$4="",Search!$C$4="All",B667=Search!$C$4),OR(Search!$C$5="",Search!$C$5="All",C667=Search!$C$5),OR(Search!$C$6="",Search!$C$6="All",D667=Search!$C$6),OR(Search!$C$7="",ISNUMBER(SEARCH(Search!$C$7,D667&amp;" "&amp;E667&amp;" "&amp;F667&amp;" "&amp;G667&amp;" "&amp;H667&amp;" "&amp;J667))),OR(Search!$C$8="",ISNUMBER(SEARCH(Search!$C$8,G667)))),1,0)</f>
        <v>1</v>
      </c>
      <c r="M667" s="15" t="n">
        <f aca="false">M666+L667</f>
        <v>666</v>
      </c>
    </row>
    <row r="668" customFormat="false" ht="15" hidden="false" customHeight="false" outlineLevel="0" collapsed="false">
      <c r="A668" s="14" t="n">
        <v>667</v>
      </c>
      <c r="B668" s="15" t="s">
        <v>370</v>
      </c>
      <c r="C668" s="15" t="s">
        <v>293</v>
      </c>
      <c r="D668" s="16" t="s">
        <v>506</v>
      </c>
      <c r="E668" s="16"/>
      <c r="F668" s="15"/>
      <c r="G668" s="15" t="s">
        <v>508</v>
      </c>
      <c r="H668" s="15" t="s">
        <v>203</v>
      </c>
      <c r="I668" s="17" t="n">
        <v>4.69</v>
      </c>
      <c r="J668" s="16"/>
      <c r="K668" s="15" t="s">
        <v>372</v>
      </c>
      <c r="L668" s="15" t="n">
        <f aca="false">IF(AND(OR(Search!$C$4="",Search!$C$4="All",B668=Search!$C$4),OR(Search!$C$5="",Search!$C$5="All",C668=Search!$C$5),OR(Search!$C$6="",Search!$C$6="All",D668=Search!$C$6),OR(Search!$C$7="",ISNUMBER(SEARCH(Search!$C$7,D668&amp;" "&amp;E668&amp;" "&amp;F668&amp;" "&amp;G668&amp;" "&amp;H668&amp;" "&amp;J668))),OR(Search!$C$8="",ISNUMBER(SEARCH(Search!$C$8,G668)))),1,0)</f>
        <v>1</v>
      </c>
      <c r="M668" s="15" t="n">
        <f aca="false">M667+L668</f>
        <v>667</v>
      </c>
    </row>
    <row r="669" customFormat="false" ht="15" hidden="false" customHeight="false" outlineLevel="0" collapsed="false">
      <c r="A669" s="14" t="n">
        <v>668</v>
      </c>
      <c r="B669" s="15" t="s">
        <v>370</v>
      </c>
      <c r="C669" s="15" t="s">
        <v>293</v>
      </c>
      <c r="D669" s="16" t="s">
        <v>506</v>
      </c>
      <c r="E669" s="16"/>
      <c r="F669" s="15"/>
      <c r="G669" s="15" t="s">
        <v>509</v>
      </c>
      <c r="H669" s="15" t="s">
        <v>203</v>
      </c>
      <c r="I669" s="17" t="n">
        <v>4.18</v>
      </c>
      <c r="J669" s="16"/>
      <c r="K669" s="15" t="s">
        <v>372</v>
      </c>
      <c r="L669" s="15" t="n">
        <f aca="false">IF(AND(OR(Search!$C$4="",Search!$C$4="All",B669=Search!$C$4),OR(Search!$C$5="",Search!$C$5="All",C669=Search!$C$5),OR(Search!$C$6="",Search!$C$6="All",D669=Search!$C$6),OR(Search!$C$7="",ISNUMBER(SEARCH(Search!$C$7,D669&amp;" "&amp;E669&amp;" "&amp;F669&amp;" "&amp;G669&amp;" "&amp;H669&amp;" "&amp;J669))),OR(Search!$C$8="",ISNUMBER(SEARCH(Search!$C$8,G669)))),1,0)</f>
        <v>1</v>
      </c>
      <c r="M669" s="15" t="n">
        <f aca="false">M668+L669</f>
        <v>668</v>
      </c>
    </row>
    <row r="670" customFormat="false" ht="15" hidden="false" customHeight="false" outlineLevel="0" collapsed="false">
      <c r="A670" s="14" t="n">
        <v>669</v>
      </c>
      <c r="B670" s="15" t="s">
        <v>370</v>
      </c>
      <c r="C670" s="15" t="s">
        <v>293</v>
      </c>
      <c r="D670" s="16" t="s">
        <v>506</v>
      </c>
      <c r="E670" s="16"/>
      <c r="F670" s="15"/>
      <c r="G670" s="15" t="s">
        <v>174</v>
      </c>
      <c r="H670" s="15" t="s">
        <v>203</v>
      </c>
      <c r="I670" s="17" t="n">
        <v>4.64</v>
      </c>
      <c r="J670" s="16"/>
      <c r="K670" s="15" t="s">
        <v>372</v>
      </c>
      <c r="L670" s="15" t="n">
        <f aca="false">IF(AND(OR(Search!$C$4="",Search!$C$4="All",B670=Search!$C$4),OR(Search!$C$5="",Search!$C$5="All",C670=Search!$C$5),OR(Search!$C$6="",Search!$C$6="All",D670=Search!$C$6),OR(Search!$C$7="",ISNUMBER(SEARCH(Search!$C$7,D670&amp;" "&amp;E670&amp;" "&amp;F670&amp;" "&amp;G670&amp;" "&amp;H670&amp;" "&amp;J670))),OR(Search!$C$8="",ISNUMBER(SEARCH(Search!$C$8,G670)))),1,0)</f>
        <v>1</v>
      </c>
      <c r="M670" s="15" t="n">
        <f aca="false">M669+L670</f>
        <v>669</v>
      </c>
    </row>
    <row r="671" customFormat="false" ht="15" hidden="false" customHeight="false" outlineLevel="0" collapsed="false">
      <c r="A671" s="14" t="n">
        <v>670</v>
      </c>
      <c r="B671" s="15" t="s">
        <v>370</v>
      </c>
      <c r="C671" s="15" t="s">
        <v>293</v>
      </c>
      <c r="D671" s="16" t="s">
        <v>510</v>
      </c>
      <c r="E671" s="16" t="s">
        <v>511</v>
      </c>
      <c r="F671" s="15"/>
      <c r="G671" s="15" t="s">
        <v>512</v>
      </c>
      <c r="H671" s="15" t="s">
        <v>203</v>
      </c>
      <c r="I671" s="17" t="n">
        <v>9.44</v>
      </c>
      <c r="J671" s="16"/>
      <c r="K671" s="15" t="s">
        <v>372</v>
      </c>
      <c r="L671" s="15" t="n">
        <f aca="false">IF(AND(OR(Search!$C$4="",Search!$C$4="All",B671=Search!$C$4),OR(Search!$C$5="",Search!$C$5="All",C671=Search!$C$5),OR(Search!$C$6="",Search!$C$6="All",D671=Search!$C$6),OR(Search!$C$7="",ISNUMBER(SEARCH(Search!$C$7,D671&amp;" "&amp;E671&amp;" "&amp;F671&amp;" "&amp;G671&amp;" "&amp;H671&amp;" "&amp;J671))),OR(Search!$C$8="",ISNUMBER(SEARCH(Search!$C$8,G671)))),1,0)</f>
        <v>1</v>
      </c>
      <c r="M671" s="15" t="n">
        <f aca="false">M670+L671</f>
        <v>670</v>
      </c>
    </row>
    <row r="672" customFormat="false" ht="15" hidden="false" customHeight="false" outlineLevel="0" collapsed="false">
      <c r="A672" s="14" t="n">
        <v>671</v>
      </c>
      <c r="B672" s="15" t="s">
        <v>370</v>
      </c>
      <c r="C672" s="15" t="s">
        <v>293</v>
      </c>
      <c r="D672" s="16" t="s">
        <v>510</v>
      </c>
      <c r="E672" s="16" t="s">
        <v>511</v>
      </c>
      <c r="F672" s="15"/>
      <c r="G672" s="15" t="s">
        <v>513</v>
      </c>
      <c r="H672" s="15" t="s">
        <v>203</v>
      </c>
      <c r="I672" s="17" t="n">
        <v>8.67</v>
      </c>
      <c r="J672" s="16"/>
      <c r="K672" s="15" t="s">
        <v>372</v>
      </c>
      <c r="L672" s="15" t="n">
        <f aca="false">IF(AND(OR(Search!$C$4="",Search!$C$4="All",B672=Search!$C$4),OR(Search!$C$5="",Search!$C$5="All",C672=Search!$C$5),OR(Search!$C$6="",Search!$C$6="All",D672=Search!$C$6),OR(Search!$C$7="",ISNUMBER(SEARCH(Search!$C$7,D672&amp;" "&amp;E672&amp;" "&amp;F672&amp;" "&amp;G672&amp;" "&amp;H672&amp;" "&amp;J672))),OR(Search!$C$8="",ISNUMBER(SEARCH(Search!$C$8,G672)))),1,0)</f>
        <v>1</v>
      </c>
      <c r="M672" s="15" t="n">
        <f aca="false">M671+L672</f>
        <v>671</v>
      </c>
    </row>
    <row r="673" customFormat="false" ht="15" hidden="false" customHeight="false" outlineLevel="0" collapsed="false">
      <c r="A673" s="14" t="n">
        <v>672</v>
      </c>
      <c r="B673" s="15" t="s">
        <v>370</v>
      </c>
      <c r="C673" s="15" t="s">
        <v>293</v>
      </c>
      <c r="D673" s="16" t="s">
        <v>510</v>
      </c>
      <c r="E673" s="16" t="s">
        <v>514</v>
      </c>
      <c r="F673" s="15"/>
      <c r="G673" s="15" t="s">
        <v>515</v>
      </c>
      <c r="H673" s="15" t="s">
        <v>203</v>
      </c>
      <c r="I673" s="17" t="n">
        <v>8.42</v>
      </c>
      <c r="J673" s="16"/>
      <c r="K673" s="15" t="s">
        <v>372</v>
      </c>
      <c r="L673" s="15" t="n">
        <f aca="false">IF(AND(OR(Search!$C$4="",Search!$C$4="All",B673=Search!$C$4),OR(Search!$C$5="",Search!$C$5="All",C673=Search!$C$5),OR(Search!$C$6="",Search!$C$6="All",D673=Search!$C$6),OR(Search!$C$7="",ISNUMBER(SEARCH(Search!$C$7,D673&amp;" "&amp;E673&amp;" "&amp;F673&amp;" "&amp;G673&amp;" "&amp;H673&amp;" "&amp;J673))),OR(Search!$C$8="",ISNUMBER(SEARCH(Search!$C$8,G673)))),1,0)</f>
        <v>1</v>
      </c>
      <c r="M673" s="15" t="n">
        <f aca="false">M672+L673</f>
        <v>672</v>
      </c>
    </row>
    <row r="674" customFormat="false" ht="15" hidden="false" customHeight="false" outlineLevel="0" collapsed="false">
      <c r="A674" s="14" t="n">
        <v>673</v>
      </c>
      <c r="B674" s="15" t="s">
        <v>370</v>
      </c>
      <c r="C674" s="15" t="s">
        <v>293</v>
      </c>
      <c r="D674" s="16" t="s">
        <v>516</v>
      </c>
      <c r="E674" s="16" t="s">
        <v>517</v>
      </c>
      <c r="F674" s="15"/>
      <c r="G674" s="15" t="s">
        <v>518</v>
      </c>
      <c r="H674" s="15" t="s">
        <v>203</v>
      </c>
      <c r="I674" s="17" t="n">
        <v>3.16</v>
      </c>
      <c r="J674" s="16"/>
      <c r="K674" s="15" t="s">
        <v>372</v>
      </c>
      <c r="L674" s="15" t="n">
        <f aca="false">IF(AND(OR(Search!$C$4="",Search!$C$4="All",B674=Search!$C$4),OR(Search!$C$5="",Search!$C$5="All",C674=Search!$C$5),OR(Search!$C$6="",Search!$C$6="All",D674=Search!$C$6),OR(Search!$C$7="",ISNUMBER(SEARCH(Search!$C$7,D674&amp;" "&amp;E674&amp;" "&amp;F674&amp;" "&amp;G674&amp;" "&amp;H674&amp;" "&amp;J674))),OR(Search!$C$8="",ISNUMBER(SEARCH(Search!$C$8,G674)))),1,0)</f>
        <v>1</v>
      </c>
      <c r="M674" s="15" t="n">
        <f aca="false">M673+L674</f>
        <v>673</v>
      </c>
    </row>
    <row r="675" customFormat="false" ht="15" hidden="false" customHeight="false" outlineLevel="0" collapsed="false">
      <c r="A675" s="14" t="n">
        <v>674</v>
      </c>
      <c r="B675" s="15" t="s">
        <v>370</v>
      </c>
      <c r="C675" s="15" t="s">
        <v>293</v>
      </c>
      <c r="D675" s="16" t="s">
        <v>516</v>
      </c>
      <c r="E675" s="16" t="s">
        <v>517</v>
      </c>
      <c r="F675" s="15"/>
      <c r="G675" s="15" t="s">
        <v>296</v>
      </c>
      <c r="H675" s="15" t="s">
        <v>203</v>
      </c>
      <c r="I675" s="17" t="n">
        <v>8.26</v>
      </c>
      <c r="J675" s="16"/>
      <c r="K675" s="15" t="s">
        <v>372</v>
      </c>
      <c r="L675" s="15" t="n">
        <f aca="false">IF(AND(OR(Search!$C$4="",Search!$C$4="All",B675=Search!$C$4),OR(Search!$C$5="",Search!$C$5="All",C675=Search!$C$5),OR(Search!$C$6="",Search!$C$6="All",D675=Search!$C$6),OR(Search!$C$7="",ISNUMBER(SEARCH(Search!$C$7,D675&amp;" "&amp;E675&amp;" "&amp;F675&amp;" "&amp;G675&amp;" "&amp;H675&amp;" "&amp;J675))),OR(Search!$C$8="",ISNUMBER(SEARCH(Search!$C$8,G675)))),1,0)</f>
        <v>1</v>
      </c>
      <c r="M675" s="15" t="n">
        <f aca="false">M674+L675</f>
        <v>674</v>
      </c>
    </row>
    <row r="676" customFormat="false" ht="15" hidden="false" customHeight="false" outlineLevel="0" collapsed="false">
      <c r="A676" s="14" t="n">
        <v>675</v>
      </c>
      <c r="B676" s="15" t="s">
        <v>370</v>
      </c>
      <c r="C676" s="15" t="s">
        <v>293</v>
      </c>
      <c r="D676" s="16" t="s">
        <v>516</v>
      </c>
      <c r="E676" s="16" t="s">
        <v>519</v>
      </c>
      <c r="F676" s="15"/>
      <c r="G676" s="15" t="s">
        <v>520</v>
      </c>
      <c r="H676" s="15" t="s">
        <v>203</v>
      </c>
      <c r="I676" s="17" t="n">
        <v>1.07</v>
      </c>
      <c r="J676" s="16"/>
      <c r="K676" s="15" t="s">
        <v>372</v>
      </c>
      <c r="L676" s="15" t="n">
        <f aca="false">IF(AND(OR(Search!$C$4="",Search!$C$4="All",B676=Search!$C$4),OR(Search!$C$5="",Search!$C$5="All",C676=Search!$C$5),OR(Search!$C$6="",Search!$C$6="All",D676=Search!$C$6),OR(Search!$C$7="",ISNUMBER(SEARCH(Search!$C$7,D676&amp;" "&amp;E676&amp;" "&amp;F676&amp;" "&amp;G676&amp;" "&amp;H676&amp;" "&amp;J676))),OR(Search!$C$8="",ISNUMBER(SEARCH(Search!$C$8,G676)))),1,0)</f>
        <v>1</v>
      </c>
      <c r="M676" s="15" t="n">
        <f aca="false">M675+L676</f>
        <v>675</v>
      </c>
    </row>
    <row r="677" customFormat="false" ht="15" hidden="false" customHeight="false" outlineLevel="0" collapsed="false">
      <c r="A677" s="14" t="n">
        <v>676</v>
      </c>
      <c r="B677" s="15" t="s">
        <v>370</v>
      </c>
      <c r="C677" s="15" t="s">
        <v>293</v>
      </c>
      <c r="D677" s="16" t="s">
        <v>521</v>
      </c>
      <c r="E677" s="16" t="s">
        <v>522</v>
      </c>
      <c r="F677" s="15"/>
      <c r="G677" s="15" t="s">
        <v>427</v>
      </c>
      <c r="H677" s="15" t="s">
        <v>523</v>
      </c>
      <c r="I677" s="17" t="n">
        <v>19.86</v>
      </c>
      <c r="J677" s="16"/>
      <c r="K677" s="15" t="s">
        <v>372</v>
      </c>
      <c r="L677" s="15" t="n">
        <f aca="false">IF(AND(OR(Search!$C$4="",Search!$C$4="All",B677=Search!$C$4),OR(Search!$C$5="",Search!$C$5="All",C677=Search!$C$5),OR(Search!$C$6="",Search!$C$6="All",D677=Search!$C$6),OR(Search!$C$7="",ISNUMBER(SEARCH(Search!$C$7,D677&amp;" "&amp;E677&amp;" "&amp;F677&amp;" "&amp;G677&amp;" "&amp;H677&amp;" "&amp;J677))),OR(Search!$C$8="",ISNUMBER(SEARCH(Search!$C$8,G677)))),1,0)</f>
        <v>1</v>
      </c>
      <c r="M677" s="15" t="n">
        <f aca="false">M676+L677</f>
        <v>676</v>
      </c>
    </row>
    <row r="678" customFormat="false" ht="15" hidden="false" customHeight="false" outlineLevel="0" collapsed="false">
      <c r="A678" s="14" t="n">
        <v>677</v>
      </c>
      <c r="B678" s="15" t="s">
        <v>370</v>
      </c>
      <c r="C678" s="15" t="s">
        <v>293</v>
      </c>
      <c r="D678" s="16" t="s">
        <v>521</v>
      </c>
      <c r="E678" s="16" t="s">
        <v>524</v>
      </c>
      <c r="F678" s="15"/>
      <c r="G678" s="15" t="s">
        <v>427</v>
      </c>
      <c r="H678" s="15" t="s">
        <v>523</v>
      </c>
      <c r="I678" s="17" t="n">
        <v>24.02</v>
      </c>
      <c r="J678" s="16"/>
      <c r="K678" s="15" t="s">
        <v>372</v>
      </c>
      <c r="L678" s="15" t="n">
        <f aca="false">IF(AND(OR(Search!$C$4="",Search!$C$4="All",B678=Search!$C$4),OR(Search!$C$5="",Search!$C$5="All",C678=Search!$C$5),OR(Search!$C$6="",Search!$C$6="All",D678=Search!$C$6),OR(Search!$C$7="",ISNUMBER(SEARCH(Search!$C$7,D678&amp;" "&amp;E678&amp;" "&amp;F678&amp;" "&amp;G678&amp;" "&amp;H678&amp;" "&amp;J678))),OR(Search!$C$8="",ISNUMBER(SEARCH(Search!$C$8,G678)))),1,0)</f>
        <v>1</v>
      </c>
      <c r="M678" s="15" t="n">
        <f aca="false">M677+L678</f>
        <v>677</v>
      </c>
    </row>
    <row r="679" customFormat="false" ht="15" hidden="false" customHeight="false" outlineLevel="0" collapsed="false">
      <c r="A679" s="14" t="n">
        <v>678</v>
      </c>
      <c r="B679" s="15" t="s">
        <v>370</v>
      </c>
      <c r="C679" s="15" t="s">
        <v>293</v>
      </c>
      <c r="D679" s="16" t="s">
        <v>521</v>
      </c>
      <c r="E679" s="16" t="s">
        <v>522</v>
      </c>
      <c r="F679" s="15"/>
      <c r="G679" s="15" t="s">
        <v>428</v>
      </c>
      <c r="H679" s="15" t="s">
        <v>523</v>
      </c>
      <c r="I679" s="17" t="n">
        <v>23.46</v>
      </c>
      <c r="J679" s="16"/>
      <c r="K679" s="15" t="s">
        <v>372</v>
      </c>
      <c r="L679" s="15" t="n">
        <f aca="false">IF(AND(OR(Search!$C$4="",Search!$C$4="All",B679=Search!$C$4),OR(Search!$C$5="",Search!$C$5="All",C679=Search!$C$5),OR(Search!$C$6="",Search!$C$6="All",D679=Search!$C$6),OR(Search!$C$7="",ISNUMBER(SEARCH(Search!$C$7,D679&amp;" "&amp;E679&amp;" "&amp;F679&amp;" "&amp;G679&amp;" "&amp;H679&amp;" "&amp;J679))),OR(Search!$C$8="",ISNUMBER(SEARCH(Search!$C$8,G679)))),1,0)</f>
        <v>1</v>
      </c>
      <c r="M679" s="15" t="n">
        <f aca="false">M678+L679</f>
        <v>678</v>
      </c>
    </row>
    <row r="680" customFormat="false" ht="15" hidden="false" customHeight="false" outlineLevel="0" collapsed="false">
      <c r="A680" s="14" t="n">
        <v>679</v>
      </c>
      <c r="B680" s="15" t="s">
        <v>370</v>
      </c>
      <c r="C680" s="15" t="s">
        <v>293</v>
      </c>
      <c r="D680" s="16" t="s">
        <v>521</v>
      </c>
      <c r="E680" s="16" t="s">
        <v>524</v>
      </c>
      <c r="F680" s="15"/>
      <c r="G680" s="15" t="s">
        <v>428</v>
      </c>
      <c r="H680" s="15" t="s">
        <v>523</v>
      </c>
      <c r="I680" s="17" t="n">
        <v>28.4</v>
      </c>
      <c r="J680" s="16"/>
      <c r="K680" s="15" t="s">
        <v>372</v>
      </c>
      <c r="L680" s="15" t="n">
        <f aca="false">IF(AND(OR(Search!$C$4="",Search!$C$4="All",B680=Search!$C$4),OR(Search!$C$5="",Search!$C$5="All",C680=Search!$C$5),OR(Search!$C$6="",Search!$C$6="All",D680=Search!$C$6),OR(Search!$C$7="",ISNUMBER(SEARCH(Search!$C$7,D680&amp;" "&amp;E680&amp;" "&amp;F680&amp;" "&amp;G680&amp;" "&amp;H680&amp;" "&amp;J680))),OR(Search!$C$8="",ISNUMBER(SEARCH(Search!$C$8,G680)))),1,0)</f>
        <v>1</v>
      </c>
      <c r="M680" s="15" t="n">
        <f aca="false">M679+L680</f>
        <v>679</v>
      </c>
    </row>
    <row r="681" customFormat="false" ht="15" hidden="false" customHeight="false" outlineLevel="0" collapsed="false">
      <c r="A681" s="14" t="n">
        <v>680</v>
      </c>
      <c r="B681" s="15" t="s">
        <v>370</v>
      </c>
      <c r="C681" s="15" t="s">
        <v>293</v>
      </c>
      <c r="D681" s="16" t="s">
        <v>521</v>
      </c>
      <c r="E681" s="16" t="s">
        <v>522</v>
      </c>
      <c r="F681" s="15"/>
      <c r="G681" s="15" t="s">
        <v>427</v>
      </c>
      <c r="H681" s="15" t="s">
        <v>525</v>
      </c>
      <c r="I681" s="17" t="n">
        <v>29.9</v>
      </c>
      <c r="J681" s="16"/>
      <c r="K681" s="15" t="s">
        <v>372</v>
      </c>
      <c r="L681" s="15" t="n">
        <f aca="false">IF(AND(OR(Search!$C$4="",Search!$C$4="All",B681=Search!$C$4),OR(Search!$C$5="",Search!$C$5="All",C681=Search!$C$5),OR(Search!$C$6="",Search!$C$6="All",D681=Search!$C$6),OR(Search!$C$7="",ISNUMBER(SEARCH(Search!$C$7,D681&amp;" "&amp;E681&amp;" "&amp;F681&amp;" "&amp;G681&amp;" "&amp;H681&amp;" "&amp;J681))),OR(Search!$C$8="",ISNUMBER(SEARCH(Search!$C$8,G681)))),1,0)</f>
        <v>1</v>
      </c>
      <c r="M681" s="15" t="n">
        <f aca="false">M680+L681</f>
        <v>680</v>
      </c>
    </row>
    <row r="682" customFormat="false" ht="15" hidden="false" customHeight="false" outlineLevel="0" collapsed="false">
      <c r="A682" s="14" t="n">
        <v>681</v>
      </c>
      <c r="B682" s="15" t="s">
        <v>370</v>
      </c>
      <c r="C682" s="15" t="s">
        <v>293</v>
      </c>
      <c r="D682" s="16" t="s">
        <v>521</v>
      </c>
      <c r="E682" s="16" t="s">
        <v>522</v>
      </c>
      <c r="F682" s="15"/>
      <c r="G682" s="15" t="s">
        <v>428</v>
      </c>
      <c r="H682" s="15" t="s">
        <v>525</v>
      </c>
      <c r="I682" s="17" t="n">
        <v>35.35</v>
      </c>
      <c r="J682" s="16"/>
      <c r="K682" s="15" t="s">
        <v>372</v>
      </c>
      <c r="L682" s="15" t="n">
        <f aca="false">IF(AND(OR(Search!$C$4="",Search!$C$4="All",B682=Search!$C$4),OR(Search!$C$5="",Search!$C$5="All",C682=Search!$C$5),OR(Search!$C$6="",Search!$C$6="All",D682=Search!$C$6),OR(Search!$C$7="",ISNUMBER(SEARCH(Search!$C$7,D682&amp;" "&amp;E682&amp;" "&amp;F682&amp;" "&amp;G682&amp;" "&amp;H682&amp;" "&amp;J682))),OR(Search!$C$8="",ISNUMBER(SEARCH(Search!$C$8,G682)))),1,0)</f>
        <v>1</v>
      </c>
      <c r="M682" s="15" t="n">
        <f aca="false">M681+L682</f>
        <v>681</v>
      </c>
    </row>
    <row r="683" customFormat="false" ht="15" hidden="false" customHeight="false" outlineLevel="0" collapsed="false">
      <c r="A683" s="14" t="n">
        <v>682</v>
      </c>
      <c r="B683" s="15" t="s">
        <v>370</v>
      </c>
      <c r="C683" s="15" t="s">
        <v>251</v>
      </c>
      <c r="D683" s="16" t="s">
        <v>526</v>
      </c>
      <c r="E683" s="16"/>
      <c r="F683" s="15"/>
      <c r="G683" s="15" t="s">
        <v>527</v>
      </c>
      <c r="H683" s="15" t="s">
        <v>528</v>
      </c>
      <c r="I683" s="17" t="n">
        <v>48.45</v>
      </c>
      <c r="J683" s="16"/>
      <c r="K683" s="15" t="s">
        <v>372</v>
      </c>
      <c r="L683" s="15" t="n">
        <f aca="false">IF(AND(OR(Search!$C$4="",Search!$C$4="All",B683=Search!$C$4),OR(Search!$C$5="",Search!$C$5="All",C683=Search!$C$5),OR(Search!$C$6="",Search!$C$6="All",D683=Search!$C$6),OR(Search!$C$7="",ISNUMBER(SEARCH(Search!$C$7,D683&amp;" "&amp;E683&amp;" "&amp;F683&amp;" "&amp;G683&amp;" "&amp;H683&amp;" "&amp;J683))),OR(Search!$C$8="",ISNUMBER(SEARCH(Search!$C$8,G683)))),1,0)</f>
        <v>1</v>
      </c>
      <c r="M683" s="15" t="n">
        <f aca="false">M682+L683</f>
        <v>682</v>
      </c>
    </row>
    <row r="684" customFormat="false" ht="15" hidden="false" customHeight="false" outlineLevel="0" collapsed="false">
      <c r="A684" s="14" t="n">
        <v>683</v>
      </c>
      <c r="B684" s="15" t="s">
        <v>370</v>
      </c>
      <c r="C684" s="15" t="s">
        <v>251</v>
      </c>
      <c r="D684" s="16" t="s">
        <v>526</v>
      </c>
      <c r="E684" s="16"/>
      <c r="F684" s="15"/>
      <c r="G684" s="15" t="s">
        <v>529</v>
      </c>
      <c r="H684" s="15" t="s">
        <v>528</v>
      </c>
      <c r="I684" s="17" t="n">
        <v>27.03</v>
      </c>
      <c r="J684" s="16"/>
      <c r="K684" s="15" t="s">
        <v>372</v>
      </c>
      <c r="L684" s="15" t="n">
        <f aca="false">IF(AND(OR(Search!$C$4="",Search!$C$4="All",B684=Search!$C$4),OR(Search!$C$5="",Search!$C$5="All",C684=Search!$C$5),OR(Search!$C$6="",Search!$C$6="All",D684=Search!$C$6),OR(Search!$C$7="",ISNUMBER(SEARCH(Search!$C$7,D684&amp;" "&amp;E684&amp;" "&amp;F684&amp;" "&amp;G684&amp;" "&amp;H684&amp;" "&amp;J684))),OR(Search!$C$8="",ISNUMBER(SEARCH(Search!$C$8,G684)))),1,0)</f>
        <v>1</v>
      </c>
      <c r="M684" s="15" t="n">
        <f aca="false">M683+L684</f>
        <v>683</v>
      </c>
    </row>
    <row r="685" customFormat="false" ht="15" hidden="false" customHeight="false" outlineLevel="0" collapsed="false">
      <c r="A685" s="14" t="n">
        <v>684</v>
      </c>
      <c r="B685" s="15" t="s">
        <v>370</v>
      </c>
      <c r="C685" s="15" t="s">
        <v>251</v>
      </c>
      <c r="D685" s="16" t="s">
        <v>526</v>
      </c>
      <c r="E685" s="16"/>
      <c r="F685" s="15"/>
      <c r="G685" s="15" t="s">
        <v>530</v>
      </c>
      <c r="H685" s="15" t="s">
        <v>528</v>
      </c>
      <c r="I685" s="17" t="n">
        <v>14.08</v>
      </c>
      <c r="J685" s="16"/>
      <c r="K685" s="15" t="s">
        <v>372</v>
      </c>
      <c r="L685" s="15" t="n">
        <f aca="false">IF(AND(OR(Search!$C$4="",Search!$C$4="All",B685=Search!$C$4),OR(Search!$C$5="",Search!$C$5="All",C685=Search!$C$5),OR(Search!$C$6="",Search!$C$6="All",D685=Search!$C$6),OR(Search!$C$7="",ISNUMBER(SEARCH(Search!$C$7,D685&amp;" "&amp;E685&amp;" "&amp;F685&amp;" "&amp;G685&amp;" "&amp;H685&amp;" "&amp;J685))),OR(Search!$C$8="",ISNUMBER(SEARCH(Search!$C$8,G685)))),1,0)</f>
        <v>1</v>
      </c>
      <c r="M685" s="15" t="n">
        <f aca="false">M684+L685</f>
        <v>684</v>
      </c>
    </row>
    <row r="686" customFormat="false" ht="15" hidden="false" customHeight="false" outlineLevel="0" collapsed="false">
      <c r="A686" s="14" t="n">
        <v>685</v>
      </c>
      <c r="B686" s="15" t="s">
        <v>370</v>
      </c>
      <c r="C686" s="15" t="s">
        <v>251</v>
      </c>
      <c r="D686" s="16" t="s">
        <v>526</v>
      </c>
      <c r="E686" s="16"/>
      <c r="F686" s="15"/>
      <c r="G686" s="15" t="s">
        <v>531</v>
      </c>
      <c r="H686" s="15" t="s">
        <v>528</v>
      </c>
      <c r="I686" s="17" t="n">
        <v>6.89</v>
      </c>
      <c r="J686" s="16"/>
      <c r="K686" s="15" t="s">
        <v>372</v>
      </c>
      <c r="L686" s="15" t="n">
        <f aca="false">IF(AND(OR(Search!$C$4="",Search!$C$4="All",B686=Search!$C$4),OR(Search!$C$5="",Search!$C$5="All",C686=Search!$C$5),OR(Search!$C$6="",Search!$C$6="All",D686=Search!$C$6),OR(Search!$C$7="",ISNUMBER(SEARCH(Search!$C$7,D686&amp;" "&amp;E686&amp;" "&amp;F686&amp;" "&amp;G686&amp;" "&amp;H686&amp;" "&amp;J686))),OR(Search!$C$8="",ISNUMBER(SEARCH(Search!$C$8,G686)))),1,0)</f>
        <v>1</v>
      </c>
      <c r="M686" s="15" t="n">
        <f aca="false">M685+L686</f>
        <v>685</v>
      </c>
    </row>
    <row r="687" customFormat="false" ht="15" hidden="false" customHeight="false" outlineLevel="0" collapsed="false">
      <c r="A687" s="14" t="n">
        <v>686</v>
      </c>
      <c r="B687" s="15" t="s">
        <v>370</v>
      </c>
      <c r="C687" s="15" t="s">
        <v>532</v>
      </c>
      <c r="D687" s="16" t="s">
        <v>533</v>
      </c>
      <c r="E687" s="16" t="s">
        <v>534</v>
      </c>
      <c r="F687" s="15"/>
      <c r="G687" s="15" t="s">
        <v>535</v>
      </c>
      <c r="H687" s="15" t="s">
        <v>536</v>
      </c>
      <c r="I687" s="17" t="n">
        <v>900</v>
      </c>
      <c r="J687" s="16"/>
      <c r="K687" s="15" t="s">
        <v>372</v>
      </c>
      <c r="L687" s="15" t="n">
        <f aca="false">IF(AND(OR(Search!$C$4="",Search!$C$4="All",B687=Search!$C$4),OR(Search!$C$5="",Search!$C$5="All",C687=Search!$C$5),OR(Search!$C$6="",Search!$C$6="All",D687=Search!$C$6),OR(Search!$C$7="",ISNUMBER(SEARCH(Search!$C$7,D687&amp;" "&amp;E687&amp;" "&amp;F687&amp;" "&amp;G687&amp;" "&amp;H687&amp;" "&amp;J687))),OR(Search!$C$8="",ISNUMBER(SEARCH(Search!$C$8,G687)))),1,0)</f>
        <v>1</v>
      </c>
      <c r="M687" s="15" t="n">
        <f aca="false">M686+L687</f>
        <v>686</v>
      </c>
    </row>
    <row r="688" customFormat="false" ht="15" hidden="false" customHeight="false" outlineLevel="0" collapsed="false">
      <c r="A688" s="14" t="n">
        <v>687</v>
      </c>
      <c r="B688" s="15" t="s">
        <v>370</v>
      </c>
      <c r="C688" s="15" t="s">
        <v>532</v>
      </c>
      <c r="D688" s="16" t="s">
        <v>533</v>
      </c>
      <c r="E688" s="16" t="s">
        <v>534</v>
      </c>
      <c r="F688" s="15"/>
      <c r="G688" s="15" t="s">
        <v>537</v>
      </c>
      <c r="H688" s="15" t="s">
        <v>536</v>
      </c>
      <c r="I688" s="17" t="n">
        <v>1500</v>
      </c>
      <c r="J688" s="16"/>
      <c r="K688" s="15" t="s">
        <v>372</v>
      </c>
      <c r="L688" s="15" t="n">
        <f aca="false">IF(AND(OR(Search!$C$4="",Search!$C$4="All",B688=Search!$C$4),OR(Search!$C$5="",Search!$C$5="All",C688=Search!$C$5),OR(Search!$C$6="",Search!$C$6="All",D688=Search!$C$6),OR(Search!$C$7="",ISNUMBER(SEARCH(Search!$C$7,D688&amp;" "&amp;E688&amp;" "&amp;F688&amp;" "&amp;G688&amp;" "&amp;H688&amp;" "&amp;J688))),OR(Search!$C$8="",ISNUMBER(SEARCH(Search!$C$8,G688)))),1,0)</f>
        <v>1</v>
      </c>
      <c r="M688" s="15" t="n">
        <f aca="false">M687+L688</f>
        <v>687</v>
      </c>
    </row>
    <row r="689" customFormat="false" ht="15" hidden="false" customHeight="false" outlineLevel="0" collapsed="false">
      <c r="A689" s="14" t="n">
        <v>688</v>
      </c>
      <c r="B689" s="15" t="s">
        <v>370</v>
      </c>
      <c r="C689" s="15" t="s">
        <v>532</v>
      </c>
      <c r="D689" s="16" t="s">
        <v>538</v>
      </c>
      <c r="E689" s="16" t="s">
        <v>534</v>
      </c>
      <c r="F689" s="15"/>
      <c r="G689" s="15" t="s">
        <v>539</v>
      </c>
      <c r="H689" s="15" t="s">
        <v>536</v>
      </c>
      <c r="I689" s="17" t="n">
        <v>500</v>
      </c>
      <c r="J689" s="16"/>
      <c r="K689" s="15" t="s">
        <v>372</v>
      </c>
      <c r="L689" s="15" t="n">
        <f aca="false">IF(AND(OR(Search!$C$4="",Search!$C$4="All",B689=Search!$C$4),OR(Search!$C$5="",Search!$C$5="All",C689=Search!$C$5),OR(Search!$C$6="",Search!$C$6="All",D689=Search!$C$6),OR(Search!$C$7="",ISNUMBER(SEARCH(Search!$C$7,D689&amp;" "&amp;E689&amp;" "&amp;F689&amp;" "&amp;G689&amp;" "&amp;H689&amp;" "&amp;J689))),OR(Search!$C$8="",ISNUMBER(SEARCH(Search!$C$8,G689)))),1,0)</f>
        <v>1</v>
      </c>
      <c r="M689" s="15" t="n">
        <f aca="false">M688+L689</f>
        <v>688</v>
      </c>
    </row>
    <row r="690" customFormat="false" ht="15" hidden="false" customHeight="false" outlineLevel="0" collapsed="false">
      <c r="A690" s="14" t="n">
        <v>689</v>
      </c>
      <c r="B690" s="15" t="s">
        <v>370</v>
      </c>
      <c r="C690" s="15" t="s">
        <v>532</v>
      </c>
      <c r="D690" s="16" t="s">
        <v>538</v>
      </c>
      <c r="E690" s="16" t="s">
        <v>534</v>
      </c>
      <c r="F690" s="15"/>
      <c r="G690" s="15" t="s">
        <v>540</v>
      </c>
      <c r="H690" s="15" t="s">
        <v>536</v>
      </c>
      <c r="I690" s="17" t="n">
        <v>750</v>
      </c>
      <c r="J690" s="16"/>
      <c r="K690" s="15" t="s">
        <v>372</v>
      </c>
      <c r="L690" s="15" t="n">
        <f aca="false">IF(AND(OR(Search!$C$4="",Search!$C$4="All",B690=Search!$C$4),OR(Search!$C$5="",Search!$C$5="All",C690=Search!$C$5),OR(Search!$C$6="",Search!$C$6="All",D690=Search!$C$6),OR(Search!$C$7="",ISNUMBER(SEARCH(Search!$C$7,D690&amp;" "&amp;E690&amp;" "&amp;F690&amp;" "&amp;G690&amp;" "&amp;H690&amp;" "&amp;J690))),OR(Search!$C$8="",ISNUMBER(SEARCH(Search!$C$8,G690)))),1,0)</f>
        <v>1</v>
      </c>
      <c r="M690" s="15" t="n">
        <f aca="false">M689+L690</f>
        <v>689</v>
      </c>
    </row>
    <row r="691" customFormat="false" ht="15" hidden="false" customHeight="false" outlineLevel="0" collapsed="false">
      <c r="A691" s="14" t="n">
        <v>690</v>
      </c>
      <c r="B691" s="15" t="s">
        <v>370</v>
      </c>
      <c r="C691" s="15" t="s">
        <v>532</v>
      </c>
      <c r="D691" s="16" t="s">
        <v>538</v>
      </c>
      <c r="E691" s="16" t="s">
        <v>534</v>
      </c>
      <c r="F691" s="15"/>
      <c r="G691" s="15" t="s">
        <v>541</v>
      </c>
      <c r="H691" s="15" t="s">
        <v>536</v>
      </c>
      <c r="I691" s="17" t="n">
        <v>1400</v>
      </c>
      <c r="J691" s="16"/>
      <c r="K691" s="15" t="s">
        <v>372</v>
      </c>
      <c r="L691" s="15" t="n">
        <f aca="false">IF(AND(OR(Search!$C$4="",Search!$C$4="All",B691=Search!$C$4),OR(Search!$C$5="",Search!$C$5="All",C691=Search!$C$5),OR(Search!$C$6="",Search!$C$6="All",D691=Search!$C$6),OR(Search!$C$7="",ISNUMBER(SEARCH(Search!$C$7,D691&amp;" "&amp;E691&amp;" "&amp;F691&amp;" "&amp;G691&amp;" "&amp;H691&amp;" "&amp;J691))),OR(Search!$C$8="",ISNUMBER(SEARCH(Search!$C$8,G691)))),1,0)</f>
        <v>1</v>
      </c>
      <c r="M691" s="15" t="n">
        <f aca="false">M690+L691</f>
        <v>690</v>
      </c>
    </row>
    <row r="692" customFormat="false" ht="15" hidden="false" customHeight="false" outlineLevel="0" collapsed="false">
      <c r="A692" s="14" t="n">
        <v>691</v>
      </c>
      <c r="B692" s="15" t="s">
        <v>370</v>
      </c>
      <c r="C692" s="15" t="s">
        <v>532</v>
      </c>
      <c r="D692" s="16" t="s">
        <v>542</v>
      </c>
      <c r="E692" s="16" t="s">
        <v>543</v>
      </c>
      <c r="F692" s="15"/>
      <c r="G692" s="15" t="s">
        <v>535</v>
      </c>
      <c r="H692" s="15" t="s">
        <v>536</v>
      </c>
      <c r="I692" s="17" t="n">
        <v>482.5</v>
      </c>
      <c r="J692" s="16"/>
      <c r="K692" s="15" t="s">
        <v>372</v>
      </c>
      <c r="L692" s="15" t="n">
        <f aca="false">IF(AND(OR(Search!$C$4="",Search!$C$4="All",B692=Search!$C$4),OR(Search!$C$5="",Search!$C$5="All",C692=Search!$C$5),OR(Search!$C$6="",Search!$C$6="All",D692=Search!$C$6),OR(Search!$C$7="",ISNUMBER(SEARCH(Search!$C$7,D692&amp;" "&amp;E692&amp;" "&amp;F692&amp;" "&amp;G692&amp;" "&amp;H692&amp;" "&amp;J692))),OR(Search!$C$8="",ISNUMBER(SEARCH(Search!$C$8,G692)))),1,0)</f>
        <v>1</v>
      </c>
      <c r="M692" s="15" t="n">
        <f aca="false">M691+L692</f>
        <v>691</v>
      </c>
    </row>
    <row r="693" customFormat="false" ht="15" hidden="false" customHeight="false" outlineLevel="0" collapsed="false">
      <c r="A693" s="14" t="n">
        <v>692</v>
      </c>
      <c r="B693" s="15" t="s">
        <v>370</v>
      </c>
      <c r="C693" s="15" t="s">
        <v>532</v>
      </c>
      <c r="D693" s="16" t="s">
        <v>542</v>
      </c>
      <c r="E693" s="16" t="s">
        <v>543</v>
      </c>
      <c r="F693" s="15"/>
      <c r="G693" s="15" t="s">
        <v>537</v>
      </c>
      <c r="H693" s="15" t="s">
        <v>536</v>
      </c>
      <c r="I693" s="17" t="n">
        <v>677.5</v>
      </c>
      <c r="J693" s="16"/>
      <c r="K693" s="15" t="s">
        <v>372</v>
      </c>
      <c r="L693" s="15" t="n">
        <f aca="false">IF(AND(OR(Search!$C$4="",Search!$C$4="All",B693=Search!$C$4),OR(Search!$C$5="",Search!$C$5="All",C693=Search!$C$5),OR(Search!$C$6="",Search!$C$6="All",D693=Search!$C$6),OR(Search!$C$7="",ISNUMBER(SEARCH(Search!$C$7,D693&amp;" "&amp;E693&amp;" "&amp;F693&amp;" "&amp;G693&amp;" "&amp;H693&amp;" "&amp;J693))),OR(Search!$C$8="",ISNUMBER(SEARCH(Search!$C$8,G693)))),1,0)</f>
        <v>1</v>
      </c>
      <c r="M693" s="15" t="n">
        <f aca="false">M692+L693</f>
        <v>692</v>
      </c>
    </row>
    <row r="694" customFormat="false" ht="15" hidden="false" customHeight="false" outlineLevel="0" collapsed="false">
      <c r="A694" s="14" t="n">
        <v>693</v>
      </c>
      <c r="B694" s="15" t="s">
        <v>370</v>
      </c>
      <c r="C694" s="15" t="s">
        <v>544</v>
      </c>
      <c r="D694" s="16" t="s">
        <v>544</v>
      </c>
      <c r="E694" s="16" t="s">
        <v>545</v>
      </c>
      <c r="F694" s="15"/>
      <c r="G694" s="15" t="s">
        <v>427</v>
      </c>
      <c r="H694" s="15" t="s">
        <v>161</v>
      </c>
      <c r="I694" s="17" t="n">
        <v>333.8</v>
      </c>
      <c r="J694" s="16"/>
      <c r="K694" s="15" t="s">
        <v>372</v>
      </c>
      <c r="L694" s="15" t="n">
        <f aca="false">IF(AND(OR(Search!$C$4="",Search!$C$4="All",B694=Search!$C$4),OR(Search!$C$5="",Search!$C$5="All",C694=Search!$C$5),OR(Search!$C$6="",Search!$C$6="All",D694=Search!$C$6),OR(Search!$C$7="",ISNUMBER(SEARCH(Search!$C$7,D694&amp;" "&amp;E694&amp;" "&amp;F694&amp;" "&amp;G694&amp;" "&amp;H694&amp;" "&amp;J694))),OR(Search!$C$8="",ISNUMBER(SEARCH(Search!$C$8,G694)))),1,0)</f>
        <v>1</v>
      </c>
      <c r="M694" s="15" t="n">
        <f aca="false">M693+L694</f>
        <v>693</v>
      </c>
    </row>
    <row r="695" customFormat="false" ht="15" hidden="false" customHeight="false" outlineLevel="0" collapsed="false">
      <c r="A695" s="14" t="n">
        <v>694</v>
      </c>
      <c r="B695" s="15" t="s">
        <v>370</v>
      </c>
      <c r="C695" s="15" t="s">
        <v>544</v>
      </c>
      <c r="D695" s="16" t="s">
        <v>544</v>
      </c>
      <c r="E695" s="16" t="s">
        <v>546</v>
      </c>
      <c r="F695" s="15"/>
      <c r="G695" s="15" t="s">
        <v>427</v>
      </c>
      <c r="H695" s="15" t="s">
        <v>161</v>
      </c>
      <c r="I695" s="17" t="n">
        <v>327.06</v>
      </c>
      <c r="J695" s="16"/>
      <c r="K695" s="15" t="s">
        <v>372</v>
      </c>
      <c r="L695" s="15" t="n">
        <f aca="false">IF(AND(OR(Search!$C$4="",Search!$C$4="All",B695=Search!$C$4),OR(Search!$C$5="",Search!$C$5="All",C695=Search!$C$5),OR(Search!$C$6="",Search!$C$6="All",D695=Search!$C$6),OR(Search!$C$7="",ISNUMBER(SEARCH(Search!$C$7,D695&amp;" "&amp;E695&amp;" "&amp;F695&amp;" "&amp;G695&amp;" "&amp;H695&amp;" "&amp;J695))),OR(Search!$C$8="",ISNUMBER(SEARCH(Search!$C$8,G695)))),1,0)</f>
        <v>1</v>
      </c>
      <c r="M695" s="15" t="n">
        <f aca="false">M694+L695</f>
        <v>694</v>
      </c>
    </row>
    <row r="696" customFormat="false" ht="15" hidden="false" customHeight="false" outlineLevel="0" collapsed="false">
      <c r="A696" s="14" t="n">
        <v>695</v>
      </c>
      <c r="B696" s="15" t="s">
        <v>370</v>
      </c>
      <c r="C696" s="15" t="s">
        <v>544</v>
      </c>
      <c r="D696" s="16" t="s">
        <v>544</v>
      </c>
      <c r="E696" s="16" t="s">
        <v>547</v>
      </c>
      <c r="F696" s="15"/>
      <c r="G696" s="15" t="s">
        <v>427</v>
      </c>
      <c r="H696" s="15" t="s">
        <v>161</v>
      </c>
      <c r="I696" s="17" t="n">
        <v>328.75</v>
      </c>
      <c r="J696" s="16"/>
      <c r="K696" s="15" t="s">
        <v>372</v>
      </c>
      <c r="L696" s="15" t="n">
        <f aca="false">IF(AND(OR(Search!$C$4="",Search!$C$4="All",B696=Search!$C$4),OR(Search!$C$5="",Search!$C$5="All",C696=Search!$C$5),OR(Search!$C$6="",Search!$C$6="All",D696=Search!$C$6),OR(Search!$C$7="",ISNUMBER(SEARCH(Search!$C$7,D696&amp;" "&amp;E696&amp;" "&amp;F696&amp;" "&amp;G696&amp;" "&amp;H696&amp;" "&amp;J696))),OR(Search!$C$8="",ISNUMBER(SEARCH(Search!$C$8,G696)))),1,0)</f>
        <v>1</v>
      </c>
      <c r="M696" s="15" t="n">
        <f aca="false">M695+L696</f>
        <v>695</v>
      </c>
    </row>
    <row r="697" customFormat="false" ht="15" hidden="false" customHeight="false" outlineLevel="0" collapsed="false">
      <c r="A697" s="14" t="n">
        <v>696</v>
      </c>
      <c r="B697" s="15" t="s">
        <v>370</v>
      </c>
      <c r="C697" s="15" t="s">
        <v>544</v>
      </c>
      <c r="D697" s="16" t="s">
        <v>544</v>
      </c>
      <c r="E697" s="16" t="s">
        <v>548</v>
      </c>
      <c r="F697" s="15"/>
      <c r="G697" s="15" t="s">
        <v>427</v>
      </c>
      <c r="H697" s="15" t="s">
        <v>161</v>
      </c>
      <c r="I697" s="17" t="n">
        <v>361.57</v>
      </c>
      <c r="J697" s="16"/>
      <c r="K697" s="15" t="s">
        <v>372</v>
      </c>
      <c r="L697" s="15" t="n">
        <f aca="false">IF(AND(OR(Search!$C$4="",Search!$C$4="All",B697=Search!$C$4),OR(Search!$C$5="",Search!$C$5="All",C697=Search!$C$5),OR(Search!$C$6="",Search!$C$6="All",D697=Search!$C$6),OR(Search!$C$7="",ISNUMBER(SEARCH(Search!$C$7,D697&amp;" "&amp;E697&amp;" "&amp;F697&amp;" "&amp;G697&amp;" "&amp;H697&amp;" "&amp;J697))),OR(Search!$C$8="",ISNUMBER(SEARCH(Search!$C$8,G697)))),1,0)</f>
        <v>1</v>
      </c>
      <c r="M697" s="15" t="n">
        <f aca="false">M696+L697</f>
        <v>696</v>
      </c>
    </row>
    <row r="698" customFormat="false" ht="15" hidden="false" customHeight="false" outlineLevel="0" collapsed="false">
      <c r="A698" s="14" t="n">
        <v>697</v>
      </c>
      <c r="B698" s="15" t="s">
        <v>370</v>
      </c>
      <c r="C698" s="15" t="s">
        <v>544</v>
      </c>
      <c r="D698" s="16" t="s">
        <v>544</v>
      </c>
      <c r="E698" s="16" t="s">
        <v>545</v>
      </c>
      <c r="F698" s="15"/>
      <c r="G698" s="15" t="s">
        <v>428</v>
      </c>
      <c r="H698" s="15" t="s">
        <v>161</v>
      </c>
      <c r="I698" s="17" t="n">
        <v>393.82</v>
      </c>
      <c r="J698" s="16"/>
      <c r="K698" s="15" t="s">
        <v>372</v>
      </c>
      <c r="L698" s="15" t="n">
        <f aca="false">IF(AND(OR(Search!$C$4="",Search!$C$4="All",B698=Search!$C$4),OR(Search!$C$5="",Search!$C$5="All",C698=Search!$C$5),OR(Search!$C$6="",Search!$C$6="All",D698=Search!$C$6),OR(Search!$C$7="",ISNUMBER(SEARCH(Search!$C$7,D698&amp;" "&amp;E698&amp;" "&amp;F698&amp;" "&amp;G698&amp;" "&amp;H698&amp;" "&amp;J698))),OR(Search!$C$8="",ISNUMBER(SEARCH(Search!$C$8,G698)))),1,0)</f>
        <v>1</v>
      </c>
      <c r="M698" s="15" t="n">
        <f aca="false">M697+L698</f>
        <v>697</v>
      </c>
    </row>
    <row r="699" customFormat="false" ht="15" hidden="false" customHeight="false" outlineLevel="0" collapsed="false">
      <c r="A699" s="14" t="n">
        <v>698</v>
      </c>
      <c r="B699" s="15" t="s">
        <v>370</v>
      </c>
      <c r="C699" s="15" t="s">
        <v>544</v>
      </c>
      <c r="D699" s="16" t="s">
        <v>544</v>
      </c>
      <c r="E699" s="16" t="s">
        <v>546</v>
      </c>
      <c r="F699" s="15"/>
      <c r="G699" s="15" t="s">
        <v>428</v>
      </c>
      <c r="H699" s="15" t="s">
        <v>161</v>
      </c>
      <c r="I699" s="17" t="n">
        <v>384.85</v>
      </c>
      <c r="J699" s="16"/>
      <c r="K699" s="15" t="s">
        <v>372</v>
      </c>
      <c r="L699" s="15" t="n">
        <f aca="false">IF(AND(OR(Search!$C$4="",Search!$C$4="All",B699=Search!$C$4),OR(Search!$C$5="",Search!$C$5="All",C699=Search!$C$5),OR(Search!$C$6="",Search!$C$6="All",D699=Search!$C$6),OR(Search!$C$7="",ISNUMBER(SEARCH(Search!$C$7,D699&amp;" "&amp;E699&amp;" "&amp;F699&amp;" "&amp;G699&amp;" "&amp;H699&amp;" "&amp;J699))),OR(Search!$C$8="",ISNUMBER(SEARCH(Search!$C$8,G699)))),1,0)</f>
        <v>1</v>
      </c>
      <c r="M699" s="15" t="n">
        <f aca="false">M698+L699</f>
        <v>698</v>
      </c>
    </row>
    <row r="700" customFormat="false" ht="15" hidden="false" customHeight="false" outlineLevel="0" collapsed="false">
      <c r="A700" s="14" t="n">
        <v>699</v>
      </c>
      <c r="B700" s="15" t="s">
        <v>370</v>
      </c>
      <c r="C700" s="15" t="s">
        <v>544</v>
      </c>
      <c r="D700" s="16" t="s">
        <v>544</v>
      </c>
      <c r="E700" s="16" t="s">
        <v>547</v>
      </c>
      <c r="F700" s="15"/>
      <c r="G700" s="15" t="s">
        <v>428</v>
      </c>
      <c r="H700" s="15" t="s">
        <v>161</v>
      </c>
      <c r="I700" s="17" t="n">
        <v>389.33</v>
      </c>
      <c r="J700" s="16"/>
      <c r="K700" s="15" t="s">
        <v>372</v>
      </c>
      <c r="L700" s="15" t="n">
        <f aca="false">IF(AND(OR(Search!$C$4="",Search!$C$4="All",B700=Search!$C$4),OR(Search!$C$5="",Search!$C$5="All",C700=Search!$C$5),OR(Search!$C$6="",Search!$C$6="All",D700=Search!$C$6),OR(Search!$C$7="",ISNUMBER(SEARCH(Search!$C$7,D700&amp;" "&amp;E700&amp;" "&amp;F700&amp;" "&amp;G700&amp;" "&amp;H700&amp;" "&amp;J700))),OR(Search!$C$8="",ISNUMBER(SEARCH(Search!$C$8,G700)))),1,0)</f>
        <v>1</v>
      </c>
      <c r="M700" s="15" t="n">
        <f aca="false">M699+L700</f>
        <v>699</v>
      </c>
    </row>
    <row r="701" customFormat="false" ht="15" hidden="false" customHeight="false" outlineLevel="0" collapsed="false">
      <c r="A701" s="14" t="n">
        <v>700</v>
      </c>
      <c r="B701" s="15" t="s">
        <v>370</v>
      </c>
      <c r="C701" s="15" t="s">
        <v>544</v>
      </c>
      <c r="D701" s="16" t="s">
        <v>544</v>
      </c>
      <c r="E701" s="16" t="s">
        <v>548</v>
      </c>
      <c r="F701" s="15"/>
      <c r="G701" s="15" t="s">
        <v>428</v>
      </c>
      <c r="H701" s="15" t="s">
        <v>161</v>
      </c>
      <c r="I701" s="17" t="n">
        <v>412.34</v>
      </c>
      <c r="J701" s="16"/>
      <c r="K701" s="15" t="s">
        <v>372</v>
      </c>
      <c r="L701" s="15" t="n">
        <f aca="false">IF(AND(OR(Search!$C$4="",Search!$C$4="All",B701=Search!$C$4),OR(Search!$C$5="",Search!$C$5="All",C701=Search!$C$5),OR(Search!$C$6="",Search!$C$6="All",D701=Search!$C$6),OR(Search!$C$7="",ISNUMBER(SEARCH(Search!$C$7,D701&amp;" "&amp;E701&amp;" "&amp;F701&amp;" "&amp;G701&amp;" "&amp;H701&amp;" "&amp;J701))),OR(Search!$C$8="",ISNUMBER(SEARCH(Search!$C$8,G701)))),1,0)</f>
        <v>1</v>
      </c>
      <c r="M701" s="15" t="n">
        <f aca="false">M700+L701</f>
        <v>700</v>
      </c>
    </row>
    <row r="702" customFormat="false" ht="15" hidden="false" customHeight="false" outlineLevel="0" collapsed="false">
      <c r="A702" s="14" t="n">
        <v>701</v>
      </c>
      <c r="B702" s="15" t="s">
        <v>370</v>
      </c>
      <c r="C702" s="15" t="s">
        <v>544</v>
      </c>
      <c r="D702" s="16" t="s">
        <v>544</v>
      </c>
      <c r="E702" s="16" t="s">
        <v>549</v>
      </c>
      <c r="F702" s="15"/>
      <c r="G702" s="15" t="s">
        <v>428</v>
      </c>
      <c r="H702" s="15" t="s">
        <v>161</v>
      </c>
      <c r="I702" s="17" t="n">
        <v>478.53</v>
      </c>
      <c r="J702" s="16"/>
      <c r="K702" s="15" t="s">
        <v>372</v>
      </c>
      <c r="L702" s="15" t="n">
        <f aca="false">IF(AND(OR(Search!$C$4="",Search!$C$4="All",B702=Search!$C$4),OR(Search!$C$5="",Search!$C$5="All",C702=Search!$C$5),OR(Search!$C$6="",Search!$C$6="All",D702=Search!$C$6),OR(Search!$C$7="",ISNUMBER(SEARCH(Search!$C$7,D702&amp;" "&amp;E702&amp;" "&amp;F702&amp;" "&amp;G702&amp;" "&amp;H702&amp;" "&amp;J702))),OR(Search!$C$8="",ISNUMBER(SEARCH(Search!$C$8,G702)))),1,0)</f>
        <v>1</v>
      </c>
      <c r="M702" s="15" t="n">
        <f aca="false">M701+L702</f>
        <v>701</v>
      </c>
    </row>
    <row r="703" customFormat="false" ht="15" hidden="false" customHeight="false" outlineLevel="0" collapsed="false">
      <c r="A703" s="14" t="n">
        <v>702</v>
      </c>
      <c r="B703" s="15" t="s">
        <v>370</v>
      </c>
      <c r="C703" s="15" t="s">
        <v>544</v>
      </c>
      <c r="D703" s="16" t="s">
        <v>544</v>
      </c>
      <c r="E703" s="16" t="s">
        <v>545</v>
      </c>
      <c r="F703" s="15"/>
      <c r="G703" s="15" t="s">
        <v>550</v>
      </c>
      <c r="H703" s="15" t="s">
        <v>161</v>
      </c>
      <c r="I703" s="17" t="n">
        <v>385.97</v>
      </c>
      <c r="J703" s="16"/>
      <c r="K703" s="15" t="s">
        <v>372</v>
      </c>
      <c r="L703" s="15" t="n">
        <f aca="false">IF(AND(OR(Search!$C$4="",Search!$C$4="All",B703=Search!$C$4),OR(Search!$C$5="",Search!$C$5="All",C703=Search!$C$5),OR(Search!$C$6="",Search!$C$6="All",D703=Search!$C$6),OR(Search!$C$7="",ISNUMBER(SEARCH(Search!$C$7,D703&amp;" "&amp;E703&amp;" "&amp;F703&amp;" "&amp;G703&amp;" "&amp;H703&amp;" "&amp;J703))),OR(Search!$C$8="",ISNUMBER(SEARCH(Search!$C$8,G703)))),1,0)</f>
        <v>1</v>
      </c>
      <c r="M703" s="15" t="n">
        <f aca="false">M702+L703</f>
        <v>702</v>
      </c>
    </row>
    <row r="704" customFormat="false" ht="15" hidden="false" customHeight="false" outlineLevel="0" collapsed="false">
      <c r="A704" s="14" t="n">
        <v>703</v>
      </c>
      <c r="B704" s="15" t="s">
        <v>370</v>
      </c>
      <c r="C704" s="15" t="s">
        <v>544</v>
      </c>
      <c r="D704" s="16" t="s">
        <v>544</v>
      </c>
      <c r="E704" s="16" t="s">
        <v>546</v>
      </c>
      <c r="F704" s="15"/>
      <c r="G704" s="15" t="s">
        <v>550</v>
      </c>
      <c r="H704" s="15" t="s">
        <v>161</v>
      </c>
      <c r="I704" s="17" t="n">
        <v>372.5</v>
      </c>
      <c r="J704" s="16"/>
      <c r="K704" s="15" t="s">
        <v>372</v>
      </c>
      <c r="L704" s="15" t="n">
        <f aca="false">IF(AND(OR(Search!$C$4="",Search!$C$4="All",B704=Search!$C$4),OR(Search!$C$5="",Search!$C$5="All",C704=Search!$C$5),OR(Search!$C$6="",Search!$C$6="All",D704=Search!$C$6),OR(Search!$C$7="",ISNUMBER(SEARCH(Search!$C$7,D704&amp;" "&amp;E704&amp;" "&amp;F704&amp;" "&amp;G704&amp;" "&amp;H704&amp;" "&amp;J704))),OR(Search!$C$8="",ISNUMBER(SEARCH(Search!$C$8,G704)))),1,0)</f>
        <v>1</v>
      </c>
      <c r="M704" s="15" t="n">
        <f aca="false">M703+L704</f>
        <v>703</v>
      </c>
    </row>
    <row r="705" customFormat="false" ht="15" hidden="false" customHeight="false" outlineLevel="0" collapsed="false">
      <c r="A705" s="14" t="n">
        <v>704</v>
      </c>
      <c r="B705" s="15" t="s">
        <v>370</v>
      </c>
      <c r="C705" s="15" t="s">
        <v>544</v>
      </c>
      <c r="D705" s="16" t="s">
        <v>544</v>
      </c>
      <c r="E705" s="16" t="s">
        <v>547</v>
      </c>
      <c r="F705" s="15"/>
      <c r="G705" s="15" t="s">
        <v>550</v>
      </c>
      <c r="H705" s="15" t="s">
        <v>161</v>
      </c>
      <c r="I705" s="17" t="n">
        <v>370.26</v>
      </c>
      <c r="J705" s="16"/>
      <c r="K705" s="15" t="s">
        <v>372</v>
      </c>
      <c r="L705" s="15" t="n">
        <f aca="false">IF(AND(OR(Search!$C$4="",Search!$C$4="All",B705=Search!$C$4),OR(Search!$C$5="",Search!$C$5="All",C705=Search!$C$5),OR(Search!$C$6="",Search!$C$6="All",D705=Search!$C$6),OR(Search!$C$7="",ISNUMBER(SEARCH(Search!$C$7,D705&amp;" "&amp;E705&amp;" "&amp;F705&amp;" "&amp;G705&amp;" "&amp;H705&amp;" "&amp;J705))),OR(Search!$C$8="",ISNUMBER(SEARCH(Search!$C$8,G705)))),1,0)</f>
        <v>1</v>
      </c>
      <c r="M705" s="15" t="n">
        <f aca="false">M704+L705</f>
        <v>704</v>
      </c>
    </row>
    <row r="706" customFormat="false" ht="15" hidden="false" customHeight="false" outlineLevel="0" collapsed="false">
      <c r="A706" s="14" t="n">
        <v>705</v>
      </c>
      <c r="B706" s="15" t="s">
        <v>370</v>
      </c>
      <c r="C706" s="15" t="s">
        <v>544</v>
      </c>
      <c r="D706" s="16" t="s">
        <v>544</v>
      </c>
      <c r="E706" s="16" t="s">
        <v>548</v>
      </c>
      <c r="F706" s="15"/>
      <c r="G706" s="15" t="s">
        <v>550</v>
      </c>
      <c r="H706" s="15" t="s">
        <v>161</v>
      </c>
      <c r="I706" s="17" t="n">
        <v>454.63</v>
      </c>
      <c r="J706" s="16"/>
      <c r="K706" s="15" t="s">
        <v>372</v>
      </c>
      <c r="L706" s="15" t="n">
        <f aca="false">IF(AND(OR(Search!$C$4="",Search!$C$4="All",B706=Search!$C$4),OR(Search!$C$5="",Search!$C$5="All",C706=Search!$C$5),OR(Search!$C$6="",Search!$C$6="All",D706=Search!$C$6),OR(Search!$C$7="",ISNUMBER(SEARCH(Search!$C$7,D706&amp;" "&amp;E706&amp;" "&amp;F706&amp;" "&amp;G706&amp;" "&amp;H706&amp;" "&amp;J706))),OR(Search!$C$8="",ISNUMBER(SEARCH(Search!$C$8,G706)))),1,0)</f>
        <v>1</v>
      </c>
      <c r="M706" s="15" t="n">
        <f aca="false">M705+L706</f>
        <v>705</v>
      </c>
    </row>
    <row r="707" customFormat="false" ht="15" hidden="false" customHeight="false" outlineLevel="0" collapsed="false">
      <c r="A707" s="14" t="n">
        <v>706</v>
      </c>
      <c r="B707" s="15" t="s">
        <v>370</v>
      </c>
      <c r="C707" s="15" t="s">
        <v>544</v>
      </c>
      <c r="D707" s="16" t="s">
        <v>544</v>
      </c>
      <c r="E707" s="16" t="s">
        <v>549</v>
      </c>
      <c r="F707" s="15"/>
      <c r="G707" s="15" t="s">
        <v>550</v>
      </c>
      <c r="H707" s="15" t="s">
        <v>161</v>
      </c>
      <c r="I707" s="17" t="n">
        <v>467.27</v>
      </c>
      <c r="J707" s="16"/>
      <c r="K707" s="15" t="s">
        <v>372</v>
      </c>
      <c r="L707" s="15" t="n">
        <f aca="false">IF(AND(OR(Search!$C$4="",Search!$C$4="All",B707=Search!$C$4),OR(Search!$C$5="",Search!$C$5="All",C707=Search!$C$5),OR(Search!$C$6="",Search!$C$6="All",D707=Search!$C$6),OR(Search!$C$7="",ISNUMBER(SEARCH(Search!$C$7,D707&amp;" "&amp;E707&amp;" "&amp;F707&amp;" "&amp;G707&amp;" "&amp;H707&amp;" "&amp;J707))),OR(Search!$C$8="",ISNUMBER(SEARCH(Search!$C$8,G707)))),1,0)</f>
        <v>1</v>
      </c>
      <c r="M707" s="15" t="n">
        <f aca="false">M706+L707</f>
        <v>706</v>
      </c>
    </row>
    <row r="708" customFormat="false" ht="15" hidden="false" customHeight="false" outlineLevel="0" collapsed="false">
      <c r="A708" s="14" t="n">
        <v>707</v>
      </c>
      <c r="B708" s="15" t="s">
        <v>370</v>
      </c>
      <c r="C708" s="15" t="s">
        <v>544</v>
      </c>
      <c r="D708" s="16" t="s">
        <v>544</v>
      </c>
      <c r="E708" s="16" t="s">
        <v>545</v>
      </c>
      <c r="F708" s="15"/>
      <c r="G708" s="15" t="s">
        <v>164</v>
      </c>
      <c r="H708" s="15" t="s">
        <v>161</v>
      </c>
      <c r="I708" s="17" t="n">
        <v>2872.32</v>
      </c>
      <c r="J708" s="16"/>
      <c r="K708" s="15" t="s">
        <v>372</v>
      </c>
      <c r="L708" s="15" t="n">
        <f aca="false">IF(AND(OR(Search!$C$4="",Search!$C$4="All",B708=Search!$C$4),OR(Search!$C$5="",Search!$C$5="All",C708=Search!$C$5),OR(Search!$C$6="",Search!$C$6="All",D708=Search!$C$6),OR(Search!$C$7="",ISNUMBER(SEARCH(Search!$C$7,D708&amp;" "&amp;E708&amp;" "&amp;F708&amp;" "&amp;G708&amp;" "&amp;H708&amp;" "&amp;J708))),OR(Search!$C$8="",ISNUMBER(SEARCH(Search!$C$8,G708)))),1,0)</f>
        <v>1</v>
      </c>
      <c r="M708" s="15" t="n">
        <f aca="false">M707+L708</f>
        <v>707</v>
      </c>
    </row>
    <row r="709" customFormat="false" ht="15" hidden="false" customHeight="false" outlineLevel="0" collapsed="false">
      <c r="A709" s="14" t="n">
        <v>708</v>
      </c>
      <c r="B709" s="15" t="s">
        <v>370</v>
      </c>
      <c r="C709" s="15" t="s">
        <v>544</v>
      </c>
      <c r="D709" s="16" t="s">
        <v>544</v>
      </c>
      <c r="E709" s="16" t="s">
        <v>546</v>
      </c>
      <c r="F709" s="15"/>
      <c r="G709" s="15" t="s">
        <v>164</v>
      </c>
      <c r="H709" s="15" t="s">
        <v>161</v>
      </c>
      <c r="I709" s="17" t="n">
        <v>2568.26</v>
      </c>
      <c r="J709" s="16"/>
      <c r="K709" s="15" t="s">
        <v>372</v>
      </c>
      <c r="L709" s="15" t="n">
        <f aca="false">IF(AND(OR(Search!$C$4="",Search!$C$4="All",B709=Search!$C$4),OR(Search!$C$5="",Search!$C$5="All",C709=Search!$C$5),OR(Search!$C$6="",Search!$C$6="All",D709=Search!$C$6),OR(Search!$C$7="",ISNUMBER(SEARCH(Search!$C$7,D709&amp;" "&amp;E709&amp;" "&amp;F709&amp;" "&amp;G709&amp;" "&amp;H709&amp;" "&amp;J709))),OR(Search!$C$8="",ISNUMBER(SEARCH(Search!$C$8,G709)))),1,0)</f>
        <v>1</v>
      </c>
      <c r="M709" s="15" t="n">
        <f aca="false">M708+L709</f>
        <v>708</v>
      </c>
    </row>
    <row r="710" customFormat="false" ht="15" hidden="false" customHeight="false" outlineLevel="0" collapsed="false">
      <c r="A710" s="14" t="n">
        <v>709</v>
      </c>
      <c r="B710" s="15" t="s">
        <v>370</v>
      </c>
      <c r="C710" s="15" t="s">
        <v>544</v>
      </c>
      <c r="D710" s="16" t="s">
        <v>544</v>
      </c>
      <c r="E710" s="16" t="s">
        <v>547</v>
      </c>
      <c r="F710" s="15"/>
      <c r="G710" s="15" t="s">
        <v>164</v>
      </c>
      <c r="H710" s="15" t="s">
        <v>161</v>
      </c>
      <c r="I710" s="17" t="n">
        <v>2654.65</v>
      </c>
      <c r="J710" s="16"/>
      <c r="K710" s="15" t="s">
        <v>372</v>
      </c>
      <c r="L710" s="15" t="n">
        <f aca="false">IF(AND(OR(Search!$C$4="",Search!$C$4="All",B710=Search!$C$4),OR(Search!$C$5="",Search!$C$5="All",C710=Search!$C$5),OR(Search!$C$6="",Search!$C$6="All",D710=Search!$C$6),OR(Search!$C$7="",ISNUMBER(SEARCH(Search!$C$7,D710&amp;" "&amp;E710&amp;" "&amp;F710&amp;" "&amp;G710&amp;" "&amp;H710&amp;" "&amp;J710))),OR(Search!$C$8="",ISNUMBER(SEARCH(Search!$C$8,G710)))),1,0)</f>
        <v>1</v>
      </c>
      <c r="M710" s="15" t="n">
        <f aca="false">M709+L710</f>
        <v>709</v>
      </c>
    </row>
    <row r="711" customFormat="false" ht="15" hidden="false" customHeight="false" outlineLevel="0" collapsed="false">
      <c r="A711" s="14" t="n">
        <v>710</v>
      </c>
      <c r="B711" s="15" t="s">
        <v>370</v>
      </c>
      <c r="C711" s="15" t="s">
        <v>544</v>
      </c>
      <c r="D711" s="16" t="s">
        <v>544</v>
      </c>
      <c r="E711" s="16" t="s">
        <v>545</v>
      </c>
      <c r="F711" s="15"/>
      <c r="G711" s="15" t="s">
        <v>429</v>
      </c>
      <c r="H711" s="15" t="s">
        <v>161</v>
      </c>
      <c r="I711" s="17" t="n">
        <v>3394.05</v>
      </c>
      <c r="J711" s="16"/>
      <c r="K711" s="15" t="s">
        <v>372</v>
      </c>
      <c r="L711" s="15" t="n">
        <f aca="false">IF(AND(OR(Search!$C$4="",Search!$C$4="All",B711=Search!$C$4),OR(Search!$C$5="",Search!$C$5="All",C711=Search!$C$5),OR(Search!$C$6="",Search!$C$6="All",D711=Search!$C$6),OR(Search!$C$7="",ISNUMBER(SEARCH(Search!$C$7,D711&amp;" "&amp;E711&amp;" "&amp;F711&amp;" "&amp;G711&amp;" "&amp;H711&amp;" "&amp;J711))),OR(Search!$C$8="",ISNUMBER(SEARCH(Search!$C$8,G711)))),1,0)</f>
        <v>1</v>
      </c>
      <c r="M711" s="15" t="n">
        <f aca="false">M710+L711</f>
        <v>710</v>
      </c>
    </row>
    <row r="712" customFormat="false" ht="15" hidden="false" customHeight="false" outlineLevel="0" collapsed="false">
      <c r="A712" s="14" t="n">
        <v>711</v>
      </c>
      <c r="B712" s="15" t="s">
        <v>370</v>
      </c>
      <c r="C712" s="15" t="s">
        <v>544</v>
      </c>
      <c r="D712" s="16" t="s">
        <v>544</v>
      </c>
      <c r="E712" s="16" t="s">
        <v>546</v>
      </c>
      <c r="F712" s="15"/>
      <c r="G712" s="15" t="s">
        <v>429</v>
      </c>
      <c r="H712" s="15" t="s">
        <v>161</v>
      </c>
      <c r="I712" s="17" t="n">
        <v>3035.01</v>
      </c>
      <c r="J712" s="16"/>
      <c r="K712" s="15" t="s">
        <v>372</v>
      </c>
      <c r="L712" s="15" t="n">
        <f aca="false">IF(AND(OR(Search!$C$4="",Search!$C$4="All",B712=Search!$C$4),OR(Search!$C$5="",Search!$C$5="All",C712=Search!$C$5),OR(Search!$C$6="",Search!$C$6="All",D712=Search!$C$6),OR(Search!$C$7="",ISNUMBER(SEARCH(Search!$C$7,D712&amp;" "&amp;E712&amp;" "&amp;F712&amp;" "&amp;G712&amp;" "&amp;H712&amp;" "&amp;J712))),OR(Search!$C$8="",ISNUMBER(SEARCH(Search!$C$8,G712)))),1,0)</f>
        <v>1</v>
      </c>
      <c r="M712" s="15" t="n">
        <f aca="false">M711+L712</f>
        <v>711</v>
      </c>
    </row>
    <row r="713" customFormat="false" ht="15" hidden="false" customHeight="false" outlineLevel="0" collapsed="false">
      <c r="A713" s="14" t="n">
        <v>712</v>
      </c>
      <c r="B713" s="15" t="s">
        <v>370</v>
      </c>
      <c r="C713" s="15" t="s">
        <v>544</v>
      </c>
      <c r="D713" s="16" t="s">
        <v>544</v>
      </c>
      <c r="E713" s="16" t="s">
        <v>547</v>
      </c>
      <c r="F713" s="15"/>
      <c r="G713" s="15" t="s">
        <v>429</v>
      </c>
      <c r="H713" s="15" t="s">
        <v>161</v>
      </c>
      <c r="I713" s="17" t="n">
        <v>3051.84</v>
      </c>
      <c r="J713" s="16"/>
      <c r="K713" s="15" t="s">
        <v>372</v>
      </c>
      <c r="L713" s="15" t="n">
        <f aca="false">IF(AND(OR(Search!$C$4="",Search!$C$4="All",B713=Search!$C$4),OR(Search!$C$5="",Search!$C$5="All",C713=Search!$C$5),OR(Search!$C$6="",Search!$C$6="All",D713=Search!$C$6),OR(Search!$C$7="",ISNUMBER(SEARCH(Search!$C$7,D713&amp;" "&amp;E713&amp;" "&amp;F713&amp;" "&amp;G713&amp;" "&amp;H713&amp;" "&amp;J713))),OR(Search!$C$8="",ISNUMBER(SEARCH(Search!$C$8,G713)))),1,0)</f>
        <v>1</v>
      </c>
      <c r="M713" s="15" t="n">
        <f aca="false">M712+L713</f>
        <v>712</v>
      </c>
    </row>
    <row r="714" customFormat="false" ht="15" hidden="false" customHeight="false" outlineLevel="0" collapsed="false">
      <c r="A714" s="14" t="n">
        <v>713</v>
      </c>
      <c r="B714" s="15" t="s">
        <v>370</v>
      </c>
      <c r="C714" s="15" t="s">
        <v>544</v>
      </c>
      <c r="D714" s="16" t="s">
        <v>544</v>
      </c>
      <c r="E714" s="16" t="s">
        <v>549</v>
      </c>
      <c r="F714" s="15"/>
      <c r="G714" s="15" t="s">
        <v>429</v>
      </c>
      <c r="H714" s="15" t="s">
        <v>161</v>
      </c>
      <c r="I714" s="17" t="n">
        <v>3755.33</v>
      </c>
      <c r="J714" s="16"/>
      <c r="K714" s="15" t="s">
        <v>372</v>
      </c>
      <c r="L714" s="15" t="n">
        <f aca="false">IF(AND(OR(Search!$C$4="",Search!$C$4="All",B714=Search!$C$4),OR(Search!$C$5="",Search!$C$5="All",C714=Search!$C$5),OR(Search!$C$6="",Search!$C$6="All",D714=Search!$C$6),OR(Search!$C$7="",ISNUMBER(SEARCH(Search!$C$7,D714&amp;" "&amp;E714&amp;" "&amp;F714&amp;" "&amp;G714&amp;" "&amp;H714&amp;" "&amp;J714))),OR(Search!$C$8="",ISNUMBER(SEARCH(Search!$C$8,G714)))),1,0)</f>
        <v>1</v>
      </c>
      <c r="M714" s="15" t="n">
        <f aca="false">M713+L714</f>
        <v>713</v>
      </c>
    </row>
    <row r="715" customFormat="false" ht="15" hidden="false" customHeight="false" outlineLevel="0" collapsed="false">
      <c r="A715" s="14" t="n">
        <v>714</v>
      </c>
      <c r="B715" s="15" t="s">
        <v>370</v>
      </c>
      <c r="C715" s="15" t="s">
        <v>544</v>
      </c>
      <c r="D715" s="16" t="s">
        <v>544</v>
      </c>
      <c r="E715" s="16" t="s">
        <v>545</v>
      </c>
      <c r="F715" s="15"/>
      <c r="G715" s="15" t="s">
        <v>160</v>
      </c>
      <c r="H715" s="15" t="s">
        <v>161</v>
      </c>
      <c r="I715" s="17" t="n">
        <v>3114.67</v>
      </c>
      <c r="J715" s="16"/>
      <c r="K715" s="15" t="s">
        <v>372</v>
      </c>
      <c r="L715" s="15" t="n">
        <f aca="false">IF(AND(OR(Search!$C$4="",Search!$C$4="All",B715=Search!$C$4),OR(Search!$C$5="",Search!$C$5="All",C715=Search!$C$5),OR(Search!$C$6="",Search!$C$6="All",D715=Search!$C$6),OR(Search!$C$7="",ISNUMBER(SEARCH(Search!$C$7,D715&amp;" "&amp;E715&amp;" "&amp;F715&amp;" "&amp;G715&amp;" "&amp;H715&amp;" "&amp;J715))),OR(Search!$C$8="",ISNUMBER(SEARCH(Search!$C$8,G715)))),1,0)</f>
        <v>1</v>
      </c>
      <c r="M715" s="15" t="n">
        <f aca="false">M714+L715</f>
        <v>714</v>
      </c>
    </row>
    <row r="716" customFormat="false" ht="15" hidden="false" customHeight="false" outlineLevel="0" collapsed="false">
      <c r="A716" s="14" t="n">
        <v>715</v>
      </c>
      <c r="B716" s="15" t="s">
        <v>370</v>
      </c>
      <c r="C716" s="15" t="s">
        <v>544</v>
      </c>
      <c r="D716" s="16" t="s">
        <v>544</v>
      </c>
      <c r="E716" s="16" t="s">
        <v>546</v>
      </c>
      <c r="F716" s="15"/>
      <c r="G716" s="15" t="s">
        <v>160</v>
      </c>
      <c r="H716" s="15" t="s">
        <v>161</v>
      </c>
      <c r="I716" s="17" t="n">
        <v>3028.28</v>
      </c>
      <c r="J716" s="16"/>
      <c r="K716" s="15" t="s">
        <v>372</v>
      </c>
      <c r="L716" s="15" t="n">
        <f aca="false">IF(AND(OR(Search!$C$4="",Search!$C$4="All",B716=Search!$C$4),OR(Search!$C$5="",Search!$C$5="All",C716=Search!$C$5),OR(Search!$C$6="",Search!$C$6="All",D716=Search!$C$6),OR(Search!$C$7="",ISNUMBER(SEARCH(Search!$C$7,D716&amp;" "&amp;E716&amp;" "&amp;F716&amp;" "&amp;G716&amp;" "&amp;H716&amp;" "&amp;J716))),OR(Search!$C$8="",ISNUMBER(SEARCH(Search!$C$8,G716)))),1,0)</f>
        <v>1</v>
      </c>
      <c r="M716" s="15" t="n">
        <f aca="false">M715+L716</f>
        <v>715</v>
      </c>
    </row>
    <row r="717" customFormat="false" ht="15" hidden="false" customHeight="false" outlineLevel="0" collapsed="false">
      <c r="A717" s="14" t="n">
        <v>716</v>
      </c>
      <c r="B717" s="15" t="s">
        <v>370</v>
      </c>
      <c r="C717" s="15" t="s">
        <v>544</v>
      </c>
      <c r="D717" s="16" t="s">
        <v>544</v>
      </c>
      <c r="E717" s="16" t="s">
        <v>547</v>
      </c>
      <c r="F717" s="15"/>
      <c r="G717" s="15" t="s">
        <v>160</v>
      </c>
      <c r="H717" s="15" t="s">
        <v>161</v>
      </c>
      <c r="I717" s="17" t="n">
        <v>2939.64</v>
      </c>
      <c r="J717" s="16"/>
      <c r="K717" s="15" t="s">
        <v>372</v>
      </c>
      <c r="L717" s="15" t="n">
        <f aca="false">IF(AND(OR(Search!$C$4="",Search!$C$4="All",B717=Search!$C$4),OR(Search!$C$5="",Search!$C$5="All",C717=Search!$C$5),OR(Search!$C$6="",Search!$C$6="All",D717=Search!$C$6),OR(Search!$C$7="",ISNUMBER(SEARCH(Search!$C$7,D717&amp;" "&amp;E717&amp;" "&amp;F717&amp;" "&amp;G717&amp;" "&amp;H717&amp;" "&amp;J717))),OR(Search!$C$8="",ISNUMBER(SEARCH(Search!$C$8,G717)))),1,0)</f>
        <v>1</v>
      </c>
      <c r="M717" s="15" t="n">
        <f aca="false">M716+L717</f>
        <v>716</v>
      </c>
    </row>
    <row r="718" customFormat="false" ht="15" hidden="false" customHeight="false" outlineLevel="0" collapsed="false">
      <c r="A718" s="14" t="n">
        <v>717</v>
      </c>
      <c r="B718" s="15" t="s">
        <v>370</v>
      </c>
      <c r="C718" s="15" t="s">
        <v>544</v>
      </c>
      <c r="D718" s="16" t="s">
        <v>544</v>
      </c>
      <c r="E718" s="16" t="s">
        <v>549</v>
      </c>
      <c r="F718" s="15"/>
      <c r="G718" s="15" t="s">
        <v>160</v>
      </c>
      <c r="H718" s="15" t="s">
        <v>161</v>
      </c>
      <c r="I718" s="17" t="n">
        <v>4011.15</v>
      </c>
      <c r="J718" s="16"/>
      <c r="K718" s="15" t="s">
        <v>372</v>
      </c>
      <c r="L718" s="15" t="n">
        <f aca="false">IF(AND(OR(Search!$C$4="",Search!$C$4="All",B718=Search!$C$4),OR(Search!$C$5="",Search!$C$5="All",C718=Search!$C$5),OR(Search!$C$6="",Search!$C$6="All",D718=Search!$C$6),OR(Search!$C$7="",ISNUMBER(SEARCH(Search!$C$7,D718&amp;" "&amp;E718&amp;" "&amp;F718&amp;" "&amp;G718&amp;" "&amp;H718&amp;" "&amp;J718))),OR(Search!$C$8="",ISNUMBER(SEARCH(Search!$C$8,G718)))),1,0)</f>
        <v>1</v>
      </c>
      <c r="M718" s="15" t="n">
        <f aca="false">M717+L718</f>
        <v>717</v>
      </c>
    </row>
    <row r="719" customFormat="false" ht="15" hidden="false" customHeight="false" outlineLevel="0" collapsed="false">
      <c r="A719" s="14" t="n">
        <v>718</v>
      </c>
      <c r="B719" s="15" t="s">
        <v>370</v>
      </c>
      <c r="C719" s="15" t="s">
        <v>544</v>
      </c>
      <c r="D719" s="16" t="s">
        <v>544</v>
      </c>
      <c r="E719" s="16" t="s">
        <v>545</v>
      </c>
      <c r="F719" s="15"/>
      <c r="G719" s="15" t="s">
        <v>551</v>
      </c>
      <c r="H719" s="15" t="s">
        <v>161</v>
      </c>
      <c r="I719" s="17" t="n">
        <v>2267</v>
      </c>
      <c r="J719" s="16"/>
      <c r="K719" s="15" t="s">
        <v>372</v>
      </c>
      <c r="L719" s="15" t="n">
        <f aca="false">IF(AND(OR(Search!$C$4="",Search!$C$4="All",B719=Search!$C$4),OR(Search!$C$5="",Search!$C$5="All",C719=Search!$C$5),OR(Search!$C$6="",Search!$C$6="All",D719=Search!$C$6),OR(Search!$C$7="",ISNUMBER(SEARCH(Search!$C$7,D719&amp;" "&amp;E719&amp;" "&amp;F719&amp;" "&amp;G719&amp;" "&amp;H719&amp;" "&amp;J719))),OR(Search!$C$8="",ISNUMBER(SEARCH(Search!$C$8,G719)))),1,0)</f>
        <v>1</v>
      </c>
      <c r="M719" s="15" t="n">
        <f aca="false">M718+L719</f>
        <v>718</v>
      </c>
    </row>
    <row r="720" customFormat="false" ht="15" hidden="false" customHeight="false" outlineLevel="0" collapsed="false">
      <c r="A720" s="14" t="n">
        <v>719</v>
      </c>
      <c r="B720" s="15" t="s">
        <v>370</v>
      </c>
      <c r="C720" s="15" t="s">
        <v>544</v>
      </c>
      <c r="D720" s="16" t="s">
        <v>544</v>
      </c>
      <c r="E720" s="16" t="s">
        <v>546</v>
      </c>
      <c r="F720" s="15"/>
      <c r="G720" s="15" t="s">
        <v>551</v>
      </c>
      <c r="H720" s="15" t="s">
        <v>161</v>
      </c>
      <c r="I720" s="17" t="n">
        <v>2238.39</v>
      </c>
      <c r="J720" s="16"/>
      <c r="K720" s="15" t="s">
        <v>372</v>
      </c>
      <c r="L720" s="15" t="n">
        <f aca="false">IF(AND(OR(Search!$C$4="",Search!$C$4="All",B720=Search!$C$4),OR(Search!$C$5="",Search!$C$5="All",C720=Search!$C$5),OR(Search!$C$6="",Search!$C$6="All",D720=Search!$C$6),OR(Search!$C$7="",ISNUMBER(SEARCH(Search!$C$7,D720&amp;" "&amp;E720&amp;" "&amp;F720&amp;" "&amp;G720&amp;" "&amp;H720&amp;" "&amp;J720))),OR(Search!$C$8="",ISNUMBER(SEARCH(Search!$C$8,G720)))),1,0)</f>
        <v>1</v>
      </c>
      <c r="M720" s="15" t="n">
        <f aca="false">M719+L720</f>
        <v>719</v>
      </c>
    </row>
    <row r="721" customFormat="false" ht="15" hidden="false" customHeight="false" outlineLevel="0" collapsed="false">
      <c r="A721" s="14" t="n">
        <v>720</v>
      </c>
      <c r="B721" s="15" t="s">
        <v>370</v>
      </c>
      <c r="C721" s="15" t="s">
        <v>544</v>
      </c>
      <c r="D721" s="16" t="s">
        <v>544</v>
      </c>
      <c r="E721" s="16" t="s">
        <v>547</v>
      </c>
      <c r="F721" s="15"/>
      <c r="G721" s="15" t="s">
        <v>551</v>
      </c>
      <c r="H721" s="15" t="s">
        <v>161</v>
      </c>
      <c r="I721" s="17" t="n">
        <v>2208.1</v>
      </c>
      <c r="J721" s="16"/>
      <c r="K721" s="15" t="s">
        <v>372</v>
      </c>
      <c r="L721" s="15" t="n">
        <f aca="false">IF(AND(OR(Search!$C$4="",Search!$C$4="All",B721=Search!$C$4),OR(Search!$C$5="",Search!$C$5="All",C721=Search!$C$5),OR(Search!$C$6="",Search!$C$6="All",D721=Search!$C$6),OR(Search!$C$7="",ISNUMBER(SEARCH(Search!$C$7,D721&amp;" "&amp;E721&amp;" "&amp;F721&amp;" "&amp;G721&amp;" "&amp;H721&amp;" "&amp;J721))),OR(Search!$C$8="",ISNUMBER(SEARCH(Search!$C$8,G721)))),1,0)</f>
        <v>1</v>
      </c>
      <c r="M721" s="15" t="n">
        <f aca="false">M720+L721</f>
        <v>720</v>
      </c>
    </row>
    <row r="722" customFormat="false" ht="15" hidden="false" customHeight="false" outlineLevel="0" collapsed="false">
      <c r="A722" s="14" t="n">
        <v>721</v>
      </c>
      <c r="B722" s="15" t="s">
        <v>370</v>
      </c>
      <c r="C722" s="15" t="s">
        <v>544</v>
      </c>
      <c r="D722" s="16" t="s">
        <v>544</v>
      </c>
      <c r="E722" s="16" t="s">
        <v>549</v>
      </c>
      <c r="F722" s="15"/>
      <c r="G722" s="15" t="s">
        <v>551</v>
      </c>
      <c r="H722" s="15" t="s">
        <v>161</v>
      </c>
      <c r="I722" s="17" t="n">
        <v>2743.9</v>
      </c>
      <c r="J722" s="16"/>
      <c r="K722" s="15" t="s">
        <v>372</v>
      </c>
      <c r="L722" s="15" t="n">
        <f aca="false">IF(AND(OR(Search!$C$4="",Search!$C$4="All",B722=Search!$C$4),OR(Search!$C$5="",Search!$C$5="All",C722=Search!$C$5),OR(Search!$C$6="",Search!$C$6="All",D722=Search!$C$6),OR(Search!$C$7="",ISNUMBER(SEARCH(Search!$C$7,D722&amp;" "&amp;E722&amp;" "&amp;F722&amp;" "&amp;G722&amp;" "&amp;H722&amp;" "&amp;J722))),OR(Search!$C$8="",ISNUMBER(SEARCH(Search!$C$8,G722)))),1,0)</f>
        <v>1</v>
      </c>
      <c r="M722" s="15" t="n">
        <f aca="false">M721+L722</f>
        <v>721</v>
      </c>
    </row>
    <row r="723" customFormat="false" ht="15" hidden="false" customHeight="false" outlineLevel="0" collapsed="false">
      <c r="A723" s="14" t="n">
        <v>722</v>
      </c>
      <c r="B723" s="15" t="s">
        <v>370</v>
      </c>
      <c r="C723" s="15" t="s">
        <v>544</v>
      </c>
      <c r="D723" s="16" t="s">
        <v>552</v>
      </c>
      <c r="E723" s="16" t="s">
        <v>553</v>
      </c>
      <c r="F723" s="15"/>
      <c r="G723" s="15" t="s">
        <v>427</v>
      </c>
      <c r="H723" s="15" t="s">
        <v>460</v>
      </c>
      <c r="I723" s="17" t="n">
        <v>162.18</v>
      </c>
      <c r="J723" s="16"/>
      <c r="K723" s="15" t="s">
        <v>372</v>
      </c>
      <c r="L723" s="15" t="n">
        <f aca="false">IF(AND(OR(Search!$C$4="",Search!$C$4="All",B723=Search!$C$4),OR(Search!$C$5="",Search!$C$5="All",C723=Search!$C$5),OR(Search!$C$6="",Search!$C$6="All",D723=Search!$C$6),OR(Search!$C$7="",ISNUMBER(SEARCH(Search!$C$7,D723&amp;" "&amp;E723&amp;" "&amp;F723&amp;" "&amp;G723&amp;" "&amp;H723&amp;" "&amp;J723))),OR(Search!$C$8="",ISNUMBER(SEARCH(Search!$C$8,G723)))),1,0)</f>
        <v>1</v>
      </c>
      <c r="M723" s="15" t="n">
        <f aca="false">M722+L723</f>
        <v>722</v>
      </c>
    </row>
    <row r="724" customFormat="false" ht="15" hidden="false" customHeight="false" outlineLevel="0" collapsed="false">
      <c r="A724" s="14" t="n">
        <v>723</v>
      </c>
      <c r="B724" s="15" t="s">
        <v>370</v>
      </c>
      <c r="C724" s="15" t="s">
        <v>544</v>
      </c>
      <c r="D724" s="16" t="s">
        <v>552</v>
      </c>
      <c r="E724" s="16" t="s">
        <v>554</v>
      </c>
      <c r="F724" s="15"/>
      <c r="G724" s="15" t="s">
        <v>428</v>
      </c>
      <c r="H724" s="15" t="s">
        <v>460</v>
      </c>
      <c r="I724" s="17" t="n">
        <v>191.76</v>
      </c>
      <c r="J724" s="16" t="s">
        <v>384</v>
      </c>
      <c r="K724" s="15" t="s">
        <v>372</v>
      </c>
      <c r="L724" s="15" t="n">
        <f aca="false">IF(AND(OR(Search!$C$4="",Search!$C$4="All",B724=Search!$C$4),OR(Search!$C$5="",Search!$C$5="All",C724=Search!$C$5),OR(Search!$C$6="",Search!$C$6="All",D724=Search!$C$6),OR(Search!$C$7="",ISNUMBER(SEARCH(Search!$C$7,D724&amp;" "&amp;E724&amp;" "&amp;F724&amp;" "&amp;G724&amp;" "&amp;H724&amp;" "&amp;J724))),OR(Search!$C$8="",ISNUMBER(SEARCH(Search!$C$8,G724)))),1,0)</f>
        <v>1</v>
      </c>
      <c r="M724" s="15" t="n">
        <f aca="false">M723+L724</f>
        <v>723</v>
      </c>
    </row>
    <row r="725" customFormat="false" ht="23.85" hidden="false" customHeight="false" outlineLevel="0" collapsed="false">
      <c r="A725" s="14" t="n">
        <v>724</v>
      </c>
      <c r="B725" s="15" t="s">
        <v>370</v>
      </c>
      <c r="C725" s="15" t="s">
        <v>544</v>
      </c>
      <c r="D725" s="16" t="s">
        <v>552</v>
      </c>
      <c r="E725" s="16" t="s">
        <v>555</v>
      </c>
      <c r="F725" s="15"/>
      <c r="G725" s="15"/>
      <c r="H725" s="15" t="s">
        <v>460</v>
      </c>
      <c r="I725" s="17" t="n">
        <v>182.58</v>
      </c>
      <c r="J725" s="16" t="s">
        <v>384</v>
      </c>
      <c r="K725" s="15" t="s">
        <v>372</v>
      </c>
      <c r="L725" s="15" t="n">
        <f aca="false">IF(AND(OR(Search!$C$4="",Search!$C$4="All",B725=Search!$C$4),OR(Search!$C$5="",Search!$C$5="All",C725=Search!$C$5),OR(Search!$C$6="",Search!$C$6="All",D725=Search!$C$6),OR(Search!$C$7="",ISNUMBER(SEARCH(Search!$C$7,D725&amp;" "&amp;E725&amp;" "&amp;F725&amp;" "&amp;G725&amp;" "&amp;H725&amp;" "&amp;J725))),OR(Search!$C$8="",ISNUMBER(SEARCH(Search!$C$8,G725)))),1,0)</f>
        <v>1</v>
      </c>
      <c r="M725" s="15" t="n">
        <f aca="false">M724+L725</f>
        <v>724</v>
      </c>
    </row>
    <row r="726" customFormat="false" ht="15" hidden="false" customHeight="false" outlineLevel="0" collapsed="false">
      <c r="A726" s="14" t="n">
        <v>725</v>
      </c>
      <c r="B726" s="15" t="s">
        <v>370</v>
      </c>
      <c r="C726" s="15" t="s">
        <v>544</v>
      </c>
      <c r="D726" s="16" t="s">
        <v>556</v>
      </c>
      <c r="E726" s="16" t="s">
        <v>557</v>
      </c>
      <c r="F726" s="15"/>
      <c r="G726" s="15" t="s">
        <v>443</v>
      </c>
      <c r="H726" s="15" t="s">
        <v>536</v>
      </c>
      <c r="I726" s="17" t="n">
        <v>925</v>
      </c>
      <c r="J726" s="16"/>
      <c r="K726" s="15" t="s">
        <v>372</v>
      </c>
      <c r="L726" s="15" t="n">
        <f aca="false">IF(AND(OR(Search!$C$4="",Search!$C$4="All",B726=Search!$C$4),OR(Search!$C$5="",Search!$C$5="All",C726=Search!$C$5),OR(Search!$C$6="",Search!$C$6="All",D726=Search!$C$6),OR(Search!$C$7="",ISNUMBER(SEARCH(Search!$C$7,D726&amp;" "&amp;E726&amp;" "&amp;F726&amp;" "&amp;G726&amp;" "&amp;H726&amp;" "&amp;J726))),OR(Search!$C$8="",ISNUMBER(SEARCH(Search!$C$8,G726)))),1,0)</f>
        <v>1</v>
      </c>
      <c r="M726" s="15" t="n">
        <f aca="false">M725+L726</f>
        <v>725</v>
      </c>
    </row>
    <row r="727" customFormat="false" ht="15" hidden="false" customHeight="false" outlineLevel="0" collapsed="false">
      <c r="A727" s="14" t="n">
        <v>726</v>
      </c>
      <c r="B727" s="15" t="s">
        <v>370</v>
      </c>
      <c r="C727" s="15" t="s">
        <v>282</v>
      </c>
      <c r="D727" s="16" t="s">
        <v>558</v>
      </c>
      <c r="E727" s="16" t="s">
        <v>559</v>
      </c>
      <c r="F727" s="15"/>
      <c r="G727" s="15" t="s">
        <v>427</v>
      </c>
      <c r="H727" s="15" t="s">
        <v>460</v>
      </c>
      <c r="I727" s="17" t="n">
        <v>255</v>
      </c>
      <c r="J727" s="16"/>
      <c r="K727" s="15" t="s">
        <v>372</v>
      </c>
      <c r="L727" s="15" t="n">
        <f aca="false">IF(AND(OR(Search!$C$4="",Search!$C$4="All",B727=Search!$C$4),OR(Search!$C$5="",Search!$C$5="All",C727=Search!$C$5),OR(Search!$C$6="",Search!$C$6="All",D727=Search!$C$6),OR(Search!$C$7="",ISNUMBER(SEARCH(Search!$C$7,D727&amp;" "&amp;E727&amp;" "&amp;F727&amp;" "&amp;G727&amp;" "&amp;H727&amp;" "&amp;J727))),OR(Search!$C$8="",ISNUMBER(SEARCH(Search!$C$8,G727)))),1,0)</f>
        <v>1</v>
      </c>
      <c r="M727" s="15" t="n">
        <f aca="false">M726+L727</f>
        <v>726</v>
      </c>
    </row>
    <row r="728" customFormat="false" ht="15" hidden="false" customHeight="false" outlineLevel="0" collapsed="false">
      <c r="A728" s="14" t="n">
        <v>727</v>
      </c>
      <c r="B728" s="15" t="s">
        <v>370</v>
      </c>
      <c r="C728" s="15" t="s">
        <v>282</v>
      </c>
      <c r="D728" s="16" t="s">
        <v>558</v>
      </c>
      <c r="E728" s="16" t="s">
        <v>559</v>
      </c>
      <c r="F728" s="15"/>
      <c r="G728" s="15" t="s">
        <v>428</v>
      </c>
      <c r="H728" s="15" t="s">
        <v>460</v>
      </c>
      <c r="I728" s="17" t="n">
        <v>285.6</v>
      </c>
      <c r="J728" s="16"/>
      <c r="K728" s="15" t="s">
        <v>372</v>
      </c>
      <c r="L728" s="15" t="n">
        <f aca="false">IF(AND(OR(Search!$C$4="",Search!$C$4="All",B728=Search!$C$4),OR(Search!$C$5="",Search!$C$5="All",C728=Search!$C$5),OR(Search!$C$6="",Search!$C$6="All",D728=Search!$C$6),OR(Search!$C$7="",ISNUMBER(SEARCH(Search!$C$7,D728&amp;" "&amp;E728&amp;" "&amp;F728&amp;" "&amp;G728&amp;" "&amp;H728&amp;" "&amp;J728))),OR(Search!$C$8="",ISNUMBER(SEARCH(Search!$C$8,G728)))),1,0)</f>
        <v>1</v>
      </c>
      <c r="M728" s="15" t="n">
        <f aca="false">M727+L728</f>
        <v>727</v>
      </c>
    </row>
    <row r="729" customFormat="false" ht="15" hidden="false" customHeight="false" outlineLevel="0" collapsed="false">
      <c r="A729" s="14" t="n">
        <v>728</v>
      </c>
      <c r="B729" s="15" t="s">
        <v>370</v>
      </c>
      <c r="C729" s="15" t="s">
        <v>282</v>
      </c>
      <c r="D729" s="16" t="s">
        <v>558</v>
      </c>
      <c r="E729" s="16" t="s">
        <v>560</v>
      </c>
      <c r="F729" s="15"/>
      <c r="G729" s="15" t="s">
        <v>427</v>
      </c>
      <c r="H729" s="15" t="s">
        <v>460</v>
      </c>
      <c r="I729" s="17" t="n">
        <v>275.4</v>
      </c>
      <c r="J729" s="16"/>
      <c r="K729" s="15" t="s">
        <v>372</v>
      </c>
      <c r="L729" s="15" t="n">
        <f aca="false">IF(AND(OR(Search!$C$4="",Search!$C$4="All",B729=Search!$C$4),OR(Search!$C$5="",Search!$C$5="All",C729=Search!$C$5),OR(Search!$C$6="",Search!$C$6="All",D729=Search!$C$6),OR(Search!$C$7="",ISNUMBER(SEARCH(Search!$C$7,D729&amp;" "&amp;E729&amp;" "&amp;F729&amp;" "&amp;G729&amp;" "&amp;H729&amp;" "&amp;J729))),OR(Search!$C$8="",ISNUMBER(SEARCH(Search!$C$8,G729)))),1,0)</f>
        <v>1</v>
      </c>
      <c r="M729" s="15" t="n">
        <f aca="false">M728+L729</f>
        <v>728</v>
      </c>
    </row>
    <row r="730" customFormat="false" ht="15" hidden="false" customHeight="false" outlineLevel="0" collapsed="false">
      <c r="A730" s="14" t="n">
        <v>729</v>
      </c>
      <c r="B730" s="15" t="s">
        <v>370</v>
      </c>
      <c r="C730" s="15" t="s">
        <v>282</v>
      </c>
      <c r="D730" s="16" t="s">
        <v>558</v>
      </c>
      <c r="E730" s="16" t="s">
        <v>561</v>
      </c>
      <c r="F730" s="15"/>
      <c r="G730" s="15" t="s">
        <v>427</v>
      </c>
      <c r="H730" s="15" t="s">
        <v>460</v>
      </c>
      <c r="I730" s="17" t="n">
        <v>399.84</v>
      </c>
      <c r="J730" s="16"/>
      <c r="K730" s="15" t="s">
        <v>372</v>
      </c>
      <c r="L730" s="15" t="n">
        <f aca="false">IF(AND(OR(Search!$C$4="",Search!$C$4="All",B730=Search!$C$4),OR(Search!$C$5="",Search!$C$5="All",C730=Search!$C$5),OR(Search!$C$6="",Search!$C$6="All",D730=Search!$C$6),OR(Search!$C$7="",ISNUMBER(SEARCH(Search!$C$7,D730&amp;" "&amp;E730&amp;" "&amp;F730&amp;" "&amp;G730&amp;" "&amp;H730&amp;" "&amp;J730))),OR(Search!$C$8="",ISNUMBER(SEARCH(Search!$C$8,G730)))),1,0)</f>
        <v>1</v>
      </c>
      <c r="M730" s="15" t="n">
        <f aca="false">M729+L730</f>
        <v>729</v>
      </c>
    </row>
    <row r="731" customFormat="false" ht="15" hidden="false" customHeight="false" outlineLevel="0" collapsed="false">
      <c r="A731" s="14" t="n">
        <v>730</v>
      </c>
      <c r="B731" s="15" t="s">
        <v>370</v>
      </c>
      <c r="C731" s="15" t="s">
        <v>282</v>
      </c>
      <c r="D731" s="16" t="s">
        <v>558</v>
      </c>
      <c r="E731" s="16" t="s">
        <v>562</v>
      </c>
      <c r="F731" s="15"/>
      <c r="G731" s="15" t="s">
        <v>427</v>
      </c>
      <c r="H731" s="15" t="s">
        <v>460</v>
      </c>
      <c r="I731" s="17" t="n">
        <v>321.81</v>
      </c>
      <c r="J731" s="16"/>
      <c r="K731" s="15" t="s">
        <v>372</v>
      </c>
      <c r="L731" s="15" t="n">
        <f aca="false">IF(AND(OR(Search!$C$4="",Search!$C$4="All",B731=Search!$C$4),OR(Search!$C$5="",Search!$C$5="All",C731=Search!$C$5),OR(Search!$C$6="",Search!$C$6="All",D731=Search!$C$6),OR(Search!$C$7="",ISNUMBER(SEARCH(Search!$C$7,D731&amp;" "&amp;E731&amp;" "&amp;F731&amp;" "&amp;G731&amp;" "&amp;H731&amp;" "&amp;J731))),OR(Search!$C$8="",ISNUMBER(SEARCH(Search!$C$8,G731)))),1,0)</f>
        <v>1</v>
      </c>
      <c r="M731" s="15" t="n">
        <f aca="false">M730+L731</f>
        <v>730</v>
      </c>
    </row>
    <row r="732" customFormat="false" ht="15" hidden="false" customHeight="false" outlineLevel="0" collapsed="false">
      <c r="A732" s="14" t="n">
        <v>731</v>
      </c>
      <c r="B732" s="15" t="s">
        <v>370</v>
      </c>
      <c r="C732" s="15" t="s">
        <v>251</v>
      </c>
      <c r="D732" s="16" t="s">
        <v>563</v>
      </c>
      <c r="E732" s="16"/>
      <c r="F732" s="15"/>
      <c r="G732" s="15" t="s">
        <v>564</v>
      </c>
      <c r="H732" s="15" t="s">
        <v>161</v>
      </c>
      <c r="I732" s="17" t="n">
        <v>768.06</v>
      </c>
      <c r="J732" s="16"/>
      <c r="K732" s="15" t="s">
        <v>372</v>
      </c>
      <c r="L732" s="15" t="n">
        <f aca="false">IF(AND(OR(Search!$C$4="",Search!$C$4="All",B732=Search!$C$4),OR(Search!$C$5="",Search!$C$5="All",C732=Search!$C$5),OR(Search!$C$6="",Search!$C$6="All",D732=Search!$C$6),OR(Search!$C$7="",ISNUMBER(SEARCH(Search!$C$7,D732&amp;" "&amp;E732&amp;" "&amp;F732&amp;" "&amp;G732&amp;" "&amp;H732&amp;" "&amp;J732))),OR(Search!$C$8="",ISNUMBER(SEARCH(Search!$C$8,G732)))),1,0)</f>
        <v>1</v>
      </c>
      <c r="M732" s="15" t="n">
        <f aca="false">M731+L732</f>
        <v>731</v>
      </c>
    </row>
    <row r="733" customFormat="false" ht="15" hidden="false" customHeight="false" outlineLevel="0" collapsed="false">
      <c r="A733" s="14" t="n">
        <v>732</v>
      </c>
      <c r="B733" s="15" t="s">
        <v>370</v>
      </c>
      <c r="C733" s="15" t="s">
        <v>565</v>
      </c>
      <c r="D733" s="16" t="s">
        <v>566</v>
      </c>
      <c r="E733" s="16"/>
      <c r="F733" s="15"/>
      <c r="G733" s="15" t="s">
        <v>567</v>
      </c>
      <c r="H733" s="15" t="s">
        <v>536</v>
      </c>
      <c r="I733" s="17" t="n">
        <v>1280.1</v>
      </c>
      <c r="J733" s="16"/>
      <c r="K733" s="15" t="s">
        <v>372</v>
      </c>
      <c r="L733" s="15" t="n">
        <f aca="false">IF(AND(OR(Search!$C$4="",Search!$C$4="All",B733=Search!$C$4),OR(Search!$C$5="",Search!$C$5="All",C733=Search!$C$5),OR(Search!$C$6="",Search!$C$6="All",D733=Search!$C$6),OR(Search!$C$7="",ISNUMBER(SEARCH(Search!$C$7,D733&amp;" "&amp;E733&amp;" "&amp;F733&amp;" "&amp;G733&amp;" "&amp;H733&amp;" "&amp;J733))),OR(Search!$C$8="",ISNUMBER(SEARCH(Search!$C$8,G733)))),1,0)</f>
        <v>1</v>
      </c>
      <c r="M733" s="15" t="n">
        <f aca="false">M732+L733</f>
        <v>732</v>
      </c>
    </row>
    <row r="734" customFormat="false" ht="15" hidden="false" customHeight="false" outlineLevel="0" collapsed="false">
      <c r="A734" s="14" t="n">
        <v>733</v>
      </c>
      <c r="B734" s="15" t="s">
        <v>370</v>
      </c>
      <c r="C734" s="15" t="s">
        <v>565</v>
      </c>
      <c r="D734" s="16" t="s">
        <v>568</v>
      </c>
      <c r="E734" s="16"/>
      <c r="F734" s="15"/>
      <c r="G734" s="15" t="s">
        <v>567</v>
      </c>
      <c r="H734" s="15" t="s">
        <v>536</v>
      </c>
      <c r="I734" s="17" t="n">
        <v>656.93</v>
      </c>
      <c r="J734" s="16"/>
      <c r="K734" s="15" t="s">
        <v>372</v>
      </c>
      <c r="L734" s="15" t="n">
        <f aca="false">IF(AND(OR(Search!$C$4="",Search!$C$4="All",B734=Search!$C$4),OR(Search!$C$5="",Search!$C$5="All",C734=Search!$C$5),OR(Search!$C$6="",Search!$C$6="All",D734=Search!$C$6),OR(Search!$C$7="",ISNUMBER(SEARCH(Search!$C$7,D734&amp;" "&amp;E734&amp;" "&amp;F734&amp;" "&amp;G734&amp;" "&amp;H734&amp;" "&amp;J734))),OR(Search!$C$8="",ISNUMBER(SEARCH(Search!$C$8,G734)))),1,0)</f>
        <v>1</v>
      </c>
      <c r="M734" s="15" t="n">
        <f aca="false">M733+L734</f>
        <v>733</v>
      </c>
    </row>
    <row r="735" customFormat="false" ht="15" hidden="false" customHeight="false" outlineLevel="0" collapsed="false">
      <c r="A735" s="14" t="n">
        <v>734</v>
      </c>
      <c r="B735" s="15" t="s">
        <v>370</v>
      </c>
      <c r="C735" s="15" t="s">
        <v>565</v>
      </c>
      <c r="D735" s="16" t="s">
        <v>566</v>
      </c>
      <c r="E735" s="16"/>
      <c r="F735" s="15"/>
      <c r="G735" s="15" t="s">
        <v>569</v>
      </c>
      <c r="H735" s="15" t="s">
        <v>536</v>
      </c>
      <c r="I735" s="17" t="n">
        <v>1505.52</v>
      </c>
      <c r="J735" s="16"/>
      <c r="K735" s="15" t="s">
        <v>372</v>
      </c>
      <c r="L735" s="15" t="n">
        <f aca="false">IF(AND(OR(Search!$C$4="",Search!$C$4="All",B735=Search!$C$4),OR(Search!$C$5="",Search!$C$5="All",C735=Search!$C$5),OR(Search!$C$6="",Search!$C$6="All",D735=Search!$C$6),OR(Search!$C$7="",ISNUMBER(SEARCH(Search!$C$7,D735&amp;" "&amp;E735&amp;" "&amp;F735&amp;" "&amp;G735&amp;" "&amp;H735&amp;" "&amp;J735))),OR(Search!$C$8="",ISNUMBER(SEARCH(Search!$C$8,G735)))),1,0)</f>
        <v>1</v>
      </c>
      <c r="M735" s="15" t="n">
        <f aca="false">M734+L735</f>
        <v>734</v>
      </c>
    </row>
    <row r="736" customFormat="false" ht="15" hidden="false" customHeight="false" outlineLevel="0" collapsed="false">
      <c r="A736" s="14" t="n">
        <v>735</v>
      </c>
      <c r="B736" s="15" t="s">
        <v>370</v>
      </c>
      <c r="C736" s="15" t="s">
        <v>565</v>
      </c>
      <c r="D736" s="16" t="s">
        <v>568</v>
      </c>
      <c r="E736" s="16"/>
      <c r="F736" s="15"/>
      <c r="G736" s="15" t="s">
        <v>569</v>
      </c>
      <c r="H736" s="15" t="s">
        <v>536</v>
      </c>
      <c r="I736" s="17" t="n">
        <v>897.6</v>
      </c>
      <c r="J736" s="16"/>
      <c r="K736" s="15" t="s">
        <v>372</v>
      </c>
      <c r="L736" s="15" t="n">
        <f aca="false">IF(AND(OR(Search!$C$4="",Search!$C$4="All",B736=Search!$C$4),OR(Search!$C$5="",Search!$C$5="All",C736=Search!$C$5),OR(Search!$C$6="",Search!$C$6="All",D736=Search!$C$6),OR(Search!$C$7="",ISNUMBER(SEARCH(Search!$C$7,D736&amp;" "&amp;E736&amp;" "&amp;F736&amp;" "&amp;G736&amp;" "&amp;H736&amp;" "&amp;J736))),OR(Search!$C$8="",ISNUMBER(SEARCH(Search!$C$8,G736)))),1,0)</f>
        <v>1</v>
      </c>
      <c r="M736" s="15" t="n">
        <f aca="false">M735+L736</f>
        <v>735</v>
      </c>
    </row>
    <row r="737" customFormat="false" ht="15" hidden="false" customHeight="false" outlineLevel="0" collapsed="false">
      <c r="A737" s="14" t="n">
        <v>736</v>
      </c>
      <c r="B737" s="15" t="s">
        <v>370</v>
      </c>
      <c r="C737" s="15" t="s">
        <v>565</v>
      </c>
      <c r="D737" s="16" t="s">
        <v>566</v>
      </c>
      <c r="E737" s="16"/>
      <c r="F737" s="15"/>
      <c r="G737" s="15" t="s">
        <v>570</v>
      </c>
      <c r="H737" s="15" t="s">
        <v>536</v>
      </c>
      <c r="I737" s="17" t="n">
        <v>2129.76</v>
      </c>
      <c r="J737" s="16"/>
      <c r="K737" s="15" t="s">
        <v>372</v>
      </c>
      <c r="L737" s="15" t="n">
        <f aca="false">IF(AND(OR(Search!$C$4="",Search!$C$4="All",B737=Search!$C$4),OR(Search!$C$5="",Search!$C$5="All",C737=Search!$C$5),OR(Search!$C$6="",Search!$C$6="All",D737=Search!$C$6),OR(Search!$C$7="",ISNUMBER(SEARCH(Search!$C$7,D737&amp;" "&amp;E737&amp;" "&amp;F737&amp;" "&amp;G737&amp;" "&amp;H737&amp;" "&amp;J737))),OR(Search!$C$8="",ISNUMBER(SEARCH(Search!$C$8,G737)))),1,0)</f>
        <v>1</v>
      </c>
      <c r="M737" s="15" t="n">
        <f aca="false">M736+L737</f>
        <v>736</v>
      </c>
    </row>
    <row r="738" customFormat="false" ht="15" hidden="false" customHeight="false" outlineLevel="0" collapsed="false">
      <c r="A738" s="14" t="n">
        <v>737</v>
      </c>
      <c r="B738" s="15" t="s">
        <v>370</v>
      </c>
      <c r="C738" s="15" t="s">
        <v>565</v>
      </c>
      <c r="D738" s="16" t="s">
        <v>568</v>
      </c>
      <c r="E738" s="16"/>
      <c r="F738" s="15"/>
      <c r="G738" s="15" t="s">
        <v>570</v>
      </c>
      <c r="H738" s="15" t="s">
        <v>536</v>
      </c>
      <c r="I738" s="17" t="n">
        <v>897.6</v>
      </c>
      <c r="J738" s="16"/>
      <c r="K738" s="15" t="s">
        <v>372</v>
      </c>
      <c r="L738" s="15" t="n">
        <f aca="false">IF(AND(OR(Search!$C$4="",Search!$C$4="All",B738=Search!$C$4),OR(Search!$C$5="",Search!$C$5="All",C738=Search!$C$5),OR(Search!$C$6="",Search!$C$6="All",D738=Search!$C$6),OR(Search!$C$7="",ISNUMBER(SEARCH(Search!$C$7,D738&amp;" "&amp;E738&amp;" "&amp;F738&amp;" "&amp;G738&amp;" "&amp;H738&amp;" "&amp;J738))),OR(Search!$C$8="",ISNUMBER(SEARCH(Search!$C$8,G738)))),1,0)</f>
        <v>1</v>
      </c>
      <c r="M738" s="15" t="n">
        <f aca="false">M737+L738</f>
        <v>737</v>
      </c>
    </row>
    <row r="739" customFormat="false" ht="15" hidden="false" customHeight="false" outlineLevel="0" collapsed="false">
      <c r="A739" s="14" t="n">
        <v>738</v>
      </c>
      <c r="B739" s="15" t="s">
        <v>370</v>
      </c>
      <c r="C739" s="15" t="s">
        <v>565</v>
      </c>
      <c r="D739" s="16" t="s">
        <v>566</v>
      </c>
      <c r="E739" s="16"/>
      <c r="F739" s="15"/>
      <c r="G739" s="15" t="s">
        <v>571</v>
      </c>
      <c r="H739" s="15" t="s">
        <v>536</v>
      </c>
      <c r="I739" s="17" t="n">
        <v>2493.39</v>
      </c>
      <c r="J739" s="16"/>
      <c r="K739" s="15" t="s">
        <v>372</v>
      </c>
      <c r="L739" s="15" t="n">
        <f aca="false">IF(AND(OR(Search!$C$4="",Search!$C$4="All",B739=Search!$C$4),OR(Search!$C$5="",Search!$C$5="All",C739=Search!$C$5),OR(Search!$C$6="",Search!$C$6="All",D739=Search!$C$6),OR(Search!$C$7="",ISNUMBER(SEARCH(Search!$C$7,D739&amp;" "&amp;E739&amp;" "&amp;F739&amp;" "&amp;G739&amp;" "&amp;H739&amp;" "&amp;J739))),OR(Search!$C$8="",ISNUMBER(SEARCH(Search!$C$8,G739)))),1,0)</f>
        <v>1</v>
      </c>
      <c r="M739" s="15" t="n">
        <f aca="false">M738+L739</f>
        <v>738</v>
      </c>
    </row>
    <row r="740" customFormat="false" ht="15" hidden="false" customHeight="false" outlineLevel="0" collapsed="false">
      <c r="A740" s="14" t="n">
        <v>739</v>
      </c>
      <c r="B740" s="15" t="s">
        <v>370</v>
      </c>
      <c r="C740" s="15" t="s">
        <v>565</v>
      </c>
      <c r="D740" s="16" t="s">
        <v>568</v>
      </c>
      <c r="E740" s="16"/>
      <c r="F740" s="15"/>
      <c r="G740" s="15" t="s">
        <v>571</v>
      </c>
      <c r="H740" s="15" t="s">
        <v>536</v>
      </c>
      <c r="I740" s="17" t="n">
        <v>1248.23</v>
      </c>
      <c r="J740" s="16"/>
      <c r="K740" s="15" t="s">
        <v>372</v>
      </c>
      <c r="L740" s="15" t="n">
        <f aca="false">IF(AND(OR(Search!$C$4="",Search!$C$4="All",B740=Search!$C$4),OR(Search!$C$5="",Search!$C$5="All",C740=Search!$C$5),OR(Search!$C$6="",Search!$C$6="All",D740=Search!$C$6),OR(Search!$C$7="",ISNUMBER(SEARCH(Search!$C$7,D740&amp;" "&amp;E740&amp;" "&amp;F740&amp;" "&amp;G740&amp;" "&amp;H740&amp;" "&amp;J740))),OR(Search!$C$8="",ISNUMBER(SEARCH(Search!$C$8,G740)))),1,0)</f>
        <v>1</v>
      </c>
      <c r="M740" s="15" t="n">
        <f aca="false">M739+L740</f>
        <v>739</v>
      </c>
    </row>
    <row r="741" customFormat="false" ht="15" hidden="false" customHeight="false" outlineLevel="0" collapsed="false">
      <c r="A741" s="14" t="n">
        <v>740</v>
      </c>
      <c r="B741" s="15" t="s">
        <v>370</v>
      </c>
      <c r="C741" s="15" t="s">
        <v>565</v>
      </c>
      <c r="D741" s="16" t="s">
        <v>572</v>
      </c>
      <c r="E741" s="16"/>
      <c r="F741" s="15"/>
      <c r="G741" s="15" t="s">
        <v>573</v>
      </c>
      <c r="H741" s="15" t="s">
        <v>536</v>
      </c>
      <c r="I741" s="17" t="n">
        <v>190.74</v>
      </c>
      <c r="J741" s="16"/>
      <c r="K741" s="15" t="s">
        <v>372</v>
      </c>
      <c r="L741" s="15" t="n">
        <f aca="false">IF(AND(OR(Search!$C$4="",Search!$C$4="All",B741=Search!$C$4),OR(Search!$C$5="",Search!$C$5="All",C741=Search!$C$5),OR(Search!$C$6="",Search!$C$6="All",D741=Search!$C$6),OR(Search!$C$7="",ISNUMBER(SEARCH(Search!$C$7,D741&amp;" "&amp;E741&amp;" "&amp;F741&amp;" "&amp;G741&amp;" "&amp;H741&amp;" "&amp;J741))),OR(Search!$C$8="",ISNUMBER(SEARCH(Search!$C$8,G741)))),1,0)</f>
        <v>1</v>
      </c>
      <c r="M741" s="15" t="n">
        <f aca="false">M740+L741</f>
        <v>740</v>
      </c>
    </row>
    <row r="742" customFormat="false" ht="15" hidden="false" customHeight="false" outlineLevel="0" collapsed="false">
      <c r="A742" s="14" t="n">
        <v>741</v>
      </c>
      <c r="B742" s="15" t="s">
        <v>370</v>
      </c>
      <c r="C742" s="15" t="s">
        <v>565</v>
      </c>
      <c r="D742" s="16" t="s">
        <v>574</v>
      </c>
      <c r="E742" s="16"/>
      <c r="F742" s="15"/>
      <c r="G742" s="15" t="s">
        <v>575</v>
      </c>
      <c r="H742" s="15" t="s">
        <v>536</v>
      </c>
      <c r="I742" s="17" t="n">
        <v>424.32</v>
      </c>
      <c r="J742" s="16"/>
      <c r="K742" s="15" t="s">
        <v>372</v>
      </c>
      <c r="L742" s="15" t="n">
        <f aca="false">IF(AND(OR(Search!$C$4="",Search!$C$4="All",B742=Search!$C$4),OR(Search!$C$5="",Search!$C$5="All",C742=Search!$C$5),OR(Search!$C$6="",Search!$C$6="All",D742=Search!$C$6),OR(Search!$C$7="",ISNUMBER(SEARCH(Search!$C$7,D742&amp;" "&amp;E742&amp;" "&amp;F742&amp;" "&amp;G742&amp;" "&amp;H742&amp;" "&amp;J742))),OR(Search!$C$8="",ISNUMBER(SEARCH(Search!$C$8,G742)))),1,0)</f>
        <v>1</v>
      </c>
      <c r="M742" s="15" t="n">
        <f aca="false">M741+L742</f>
        <v>741</v>
      </c>
    </row>
    <row r="743" customFormat="false" ht="15" hidden="false" customHeight="false" outlineLevel="0" collapsed="false">
      <c r="A743" s="14" t="n">
        <v>742</v>
      </c>
      <c r="B743" s="15" t="s">
        <v>370</v>
      </c>
      <c r="C743" s="15" t="s">
        <v>565</v>
      </c>
      <c r="D743" s="16" t="s">
        <v>572</v>
      </c>
      <c r="E743" s="16"/>
      <c r="F743" s="15"/>
      <c r="G743" s="15" t="s">
        <v>575</v>
      </c>
      <c r="H743" s="15" t="s">
        <v>536</v>
      </c>
      <c r="I743" s="17" t="n">
        <v>199.16</v>
      </c>
      <c r="J743" s="16"/>
      <c r="K743" s="15" t="s">
        <v>372</v>
      </c>
      <c r="L743" s="15" t="n">
        <f aca="false">IF(AND(OR(Search!$C$4="",Search!$C$4="All",B743=Search!$C$4),OR(Search!$C$5="",Search!$C$5="All",C743=Search!$C$5),OR(Search!$C$6="",Search!$C$6="All",D743=Search!$C$6),OR(Search!$C$7="",ISNUMBER(SEARCH(Search!$C$7,D743&amp;" "&amp;E743&amp;" "&amp;F743&amp;" "&amp;G743&amp;" "&amp;H743&amp;" "&amp;J743))),OR(Search!$C$8="",ISNUMBER(SEARCH(Search!$C$8,G743)))),1,0)</f>
        <v>1</v>
      </c>
      <c r="M743" s="15" t="n">
        <f aca="false">M742+L743</f>
        <v>742</v>
      </c>
    </row>
    <row r="744" customFormat="false" ht="15" hidden="false" customHeight="false" outlineLevel="0" collapsed="false">
      <c r="A744" s="14" t="n">
        <v>743</v>
      </c>
      <c r="B744" s="15" t="s">
        <v>370</v>
      </c>
      <c r="C744" s="15" t="s">
        <v>565</v>
      </c>
      <c r="D744" s="16" t="s">
        <v>574</v>
      </c>
      <c r="E744" s="16"/>
      <c r="F744" s="15"/>
      <c r="G744" s="15" t="s">
        <v>576</v>
      </c>
      <c r="H744" s="15" t="s">
        <v>536</v>
      </c>
      <c r="I744" s="17" t="n">
        <v>486.54</v>
      </c>
      <c r="J744" s="16"/>
      <c r="K744" s="15" t="s">
        <v>372</v>
      </c>
      <c r="L744" s="15" t="n">
        <f aca="false">IF(AND(OR(Search!$C$4="",Search!$C$4="All",B744=Search!$C$4),OR(Search!$C$5="",Search!$C$5="All",C744=Search!$C$5),OR(Search!$C$6="",Search!$C$6="All",D744=Search!$C$6),OR(Search!$C$7="",ISNUMBER(SEARCH(Search!$C$7,D744&amp;" "&amp;E744&amp;" "&amp;F744&amp;" "&amp;G744&amp;" "&amp;H744&amp;" "&amp;J744))),OR(Search!$C$8="",ISNUMBER(SEARCH(Search!$C$8,G744)))),1,0)</f>
        <v>1</v>
      </c>
      <c r="M744" s="15" t="n">
        <f aca="false">M743+L744</f>
        <v>743</v>
      </c>
    </row>
    <row r="745" customFormat="false" ht="15" hidden="false" customHeight="false" outlineLevel="0" collapsed="false">
      <c r="A745" s="14" t="n">
        <v>744</v>
      </c>
      <c r="B745" s="15" t="s">
        <v>370</v>
      </c>
      <c r="C745" s="15" t="s">
        <v>565</v>
      </c>
      <c r="D745" s="16" t="s">
        <v>577</v>
      </c>
      <c r="E745" s="16"/>
      <c r="F745" s="15"/>
      <c r="G745" s="15" t="s">
        <v>576</v>
      </c>
      <c r="H745" s="15" t="s">
        <v>536</v>
      </c>
      <c r="I745" s="17" t="n">
        <v>444.44</v>
      </c>
      <c r="J745" s="16"/>
      <c r="K745" s="15" t="s">
        <v>372</v>
      </c>
      <c r="L745" s="15" t="n">
        <f aca="false">IF(AND(OR(Search!$C$4="",Search!$C$4="All",B745=Search!$C$4),OR(Search!$C$5="",Search!$C$5="All",C745=Search!$C$5),OR(Search!$C$6="",Search!$C$6="All",D745=Search!$C$6),OR(Search!$C$7="",ISNUMBER(SEARCH(Search!$C$7,D745&amp;" "&amp;E745&amp;" "&amp;F745&amp;" "&amp;G745&amp;" "&amp;H745&amp;" "&amp;J745))),OR(Search!$C$8="",ISNUMBER(SEARCH(Search!$C$8,G745)))),1,0)</f>
        <v>1</v>
      </c>
      <c r="M745" s="15" t="n">
        <f aca="false">M744+L745</f>
        <v>744</v>
      </c>
    </row>
    <row r="746" customFormat="false" ht="15" hidden="false" customHeight="false" outlineLevel="0" collapsed="false">
      <c r="A746" s="14" t="n">
        <v>745</v>
      </c>
      <c r="B746" s="15" t="s">
        <v>370</v>
      </c>
      <c r="C746" s="15" t="s">
        <v>565</v>
      </c>
      <c r="D746" s="16" t="s">
        <v>574</v>
      </c>
      <c r="E746" s="16"/>
      <c r="F746" s="15"/>
      <c r="G746" s="15" t="s">
        <v>578</v>
      </c>
      <c r="H746" s="15" t="s">
        <v>536</v>
      </c>
      <c r="I746" s="17" t="n">
        <v>601.8</v>
      </c>
      <c r="J746" s="16"/>
      <c r="K746" s="15" t="s">
        <v>372</v>
      </c>
      <c r="L746" s="15" t="n">
        <f aca="false">IF(AND(OR(Search!$C$4="",Search!$C$4="All",B746=Search!$C$4),OR(Search!$C$5="",Search!$C$5="All",C746=Search!$C$5),OR(Search!$C$6="",Search!$C$6="All",D746=Search!$C$6),OR(Search!$C$7="",ISNUMBER(SEARCH(Search!$C$7,D746&amp;" "&amp;E746&amp;" "&amp;F746&amp;" "&amp;G746&amp;" "&amp;H746&amp;" "&amp;J746))),OR(Search!$C$8="",ISNUMBER(SEARCH(Search!$C$8,G746)))),1,0)</f>
        <v>1</v>
      </c>
      <c r="M746" s="15" t="n">
        <f aca="false">M745+L746</f>
        <v>745</v>
      </c>
    </row>
    <row r="747" customFormat="false" ht="15" hidden="false" customHeight="false" outlineLevel="0" collapsed="false">
      <c r="A747" s="14" t="n">
        <v>746</v>
      </c>
      <c r="B747" s="15" t="s">
        <v>370</v>
      </c>
      <c r="C747" s="15" t="s">
        <v>565</v>
      </c>
      <c r="D747" s="16" t="s">
        <v>577</v>
      </c>
      <c r="E747" s="16"/>
      <c r="F747" s="15"/>
      <c r="G747" s="15" t="s">
        <v>578</v>
      </c>
      <c r="H747" s="15" t="s">
        <v>536</v>
      </c>
      <c r="I747" s="17" t="n">
        <v>726.24</v>
      </c>
      <c r="J747" s="16"/>
      <c r="K747" s="15" t="s">
        <v>372</v>
      </c>
      <c r="L747" s="15" t="n">
        <f aca="false">IF(AND(OR(Search!$C$4="",Search!$C$4="All",B747=Search!$C$4),OR(Search!$C$5="",Search!$C$5="All",C747=Search!$C$5),OR(Search!$C$6="",Search!$C$6="All",D747=Search!$C$6),OR(Search!$C$7="",ISNUMBER(SEARCH(Search!$C$7,D747&amp;" "&amp;E747&amp;" "&amp;F747&amp;" "&amp;G747&amp;" "&amp;H747&amp;" "&amp;J747))),OR(Search!$C$8="",ISNUMBER(SEARCH(Search!$C$8,G747)))),1,0)</f>
        <v>1</v>
      </c>
      <c r="M747" s="15" t="n">
        <f aca="false">M746+L747</f>
        <v>746</v>
      </c>
    </row>
    <row r="748" customFormat="false" ht="15" hidden="false" customHeight="false" outlineLevel="0" collapsed="false">
      <c r="A748" s="14" t="n">
        <v>747</v>
      </c>
      <c r="B748" s="15" t="s">
        <v>370</v>
      </c>
      <c r="C748" s="15" t="s">
        <v>565</v>
      </c>
      <c r="D748" s="16" t="s">
        <v>572</v>
      </c>
      <c r="E748" s="16"/>
      <c r="F748" s="15"/>
      <c r="G748" s="15" t="s">
        <v>578</v>
      </c>
      <c r="H748" s="15" t="s">
        <v>536</v>
      </c>
      <c r="I748" s="17" t="n">
        <v>374.75</v>
      </c>
      <c r="J748" s="16"/>
      <c r="K748" s="15" t="s">
        <v>372</v>
      </c>
      <c r="L748" s="15" t="n">
        <f aca="false">IF(AND(OR(Search!$C$4="",Search!$C$4="All",B748=Search!$C$4),OR(Search!$C$5="",Search!$C$5="All",C748=Search!$C$5),OR(Search!$C$6="",Search!$C$6="All",D748=Search!$C$6),OR(Search!$C$7="",ISNUMBER(SEARCH(Search!$C$7,D748&amp;" "&amp;E748&amp;" "&amp;F748&amp;" "&amp;G748&amp;" "&amp;H748&amp;" "&amp;J748))),OR(Search!$C$8="",ISNUMBER(SEARCH(Search!$C$8,G748)))),1,0)</f>
        <v>1</v>
      </c>
      <c r="M748" s="15" t="n">
        <f aca="false">M747+L748</f>
        <v>747</v>
      </c>
    </row>
    <row r="749" customFormat="false" ht="15" hidden="false" customHeight="false" outlineLevel="0" collapsed="false">
      <c r="A749" s="14" t="n">
        <v>748</v>
      </c>
      <c r="B749" s="15" t="s">
        <v>370</v>
      </c>
      <c r="C749" s="15" t="s">
        <v>565</v>
      </c>
      <c r="D749" s="16" t="s">
        <v>574</v>
      </c>
      <c r="E749" s="16"/>
      <c r="F749" s="15"/>
      <c r="G749" s="15" t="s">
        <v>579</v>
      </c>
      <c r="H749" s="15" t="s">
        <v>536</v>
      </c>
      <c r="I749" s="17" t="n">
        <v>733.38</v>
      </c>
      <c r="J749" s="16"/>
      <c r="K749" s="15" t="s">
        <v>372</v>
      </c>
      <c r="L749" s="15" t="n">
        <f aca="false">IF(AND(OR(Search!$C$4="",Search!$C$4="All",B749=Search!$C$4),OR(Search!$C$5="",Search!$C$5="All",C749=Search!$C$5),OR(Search!$C$6="",Search!$C$6="All",D749=Search!$C$6),OR(Search!$C$7="",ISNUMBER(SEARCH(Search!$C$7,D749&amp;" "&amp;E749&amp;" "&amp;F749&amp;" "&amp;G749&amp;" "&amp;H749&amp;" "&amp;J749))),OR(Search!$C$8="",ISNUMBER(SEARCH(Search!$C$8,G749)))),1,0)</f>
        <v>1</v>
      </c>
      <c r="M749" s="15" t="n">
        <f aca="false">M748+L749</f>
        <v>748</v>
      </c>
    </row>
    <row r="750" customFormat="false" ht="15" hidden="false" customHeight="false" outlineLevel="0" collapsed="false">
      <c r="A750" s="14" t="n">
        <v>749</v>
      </c>
      <c r="B750" s="15" t="s">
        <v>370</v>
      </c>
      <c r="C750" s="15" t="s">
        <v>565</v>
      </c>
      <c r="D750" s="16" t="s">
        <v>577</v>
      </c>
      <c r="E750" s="16"/>
      <c r="F750" s="15"/>
      <c r="G750" s="15" t="s">
        <v>579</v>
      </c>
      <c r="H750" s="15" t="s">
        <v>536</v>
      </c>
      <c r="I750" s="17" t="n">
        <v>887.4</v>
      </c>
      <c r="J750" s="16"/>
      <c r="K750" s="15" t="s">
        <v>372</v>
      </c>
      <c r="L750" s="15" t="n">
        <f aca="false">IF(AND(OR(Search!$C$4="",Search!$C$4="All",B750=Search!$C$4),OR(Search!$C$5="",Search!$C$5="All",C750=Search!$C$5),OR(Search!$C$6="",Search!$C$6="All",D750=Search!$C$6),OR(Search!$C$7="",ISNUMBER(SEARCH(Search!$C$7,D750&amp;" "&amp;E750&amp;" "&amp;F750&amp;" "&amp;G750&amp;" "&amp;H750&amp;" "&amp;J750))),OR(Search!$C$8="",ISNUMBER(SEARCH(Search!$C$8,G750)))),1,0)</f>
        <v>1</v>
      </c>
      <c r="M750" s="15" t="n">
        <f aca="false">M749+L750</f>
        <v>749</v>
      </c>
    </row>
    <row r="751" customFormat="false" ht="15" hidden="false" customHeight="false" outlineLevel="0" collapsed="false">
      <c r="A751" s="14" t="n">
        <v>750</v>
      </c>
      <c r="B751" s="15" t="s">
        <v>370</v>
      </c>
      <c r="C751" s="15" t="s">
        <v>580</v>
      </c>
      <c r="D751" s="16" t="s">
        <v>581</v>
      </c>
      <c r="E751" s="16" t="s">
        <v>582</v>
      </c>
      <c r="F751" s="15"/>
      <c r="G751" s="15"/>
      <c r="H751" s="15" t="s">
        <v>583</v>
      </c>
      <c r="I751" s="17" t="n">
        <v>334</v>
      </c>
      <c r="J751" s="16" t="s">
        <v>384</v>
      </c>
      <c r="K751" s="15" t="s">
        <v>372</v>
      </c>
      <c r="L751" s="15" t="n">
        <f aca="false">IF(AND(OR(Search!$C$4="",Search!$C$4="All",B751=Search!$C$4),OR(Search!$C$5="",Search!$C$5="All",C751=Search!$C$5),OR(Search!$C$6="",Search!$C$6="All",D751=Search!$C$6),OR(Search!$C$7="",ISNUMBER(SEARCH(Search!$C$7,D751&amp;" "&amp;E751&amp;" "&amp;F751&amp;" "&amp;G751&amp;" "&amp;H751&amp;" "&amp;J751))),OR(Search!$C$8="",ISNUMBER(SEARCH(Search!$C$8,G751)))),1,0)</f>
        <v>1</v>
      </c>
      <c r="M751" s="15" t="n">
        <f aca="false">M750+L751</f>
        <v>750</v>
      </c>
    </row>
    <row r="752" customFormat="false" ht="15" hidden="false" customHeight="false" outlineLevel="0" collapsed="false">
      <c r="A752" s="14" t="n">
        <v>751</v>
      </c>
      <c r="B752" s="15" t="s">
        <v>370</v>
      </c>
      <c r="C752" s="15" t="s">
        <v>580</v>
      </c>
      <c r="D752" s="16" t="s">
        <v>584</v>
      </c>
      <c r="E752" s="16" t="s">
        <v>582</v>
      </c>
      <c r="F752" s="15"/>
      <c r="G752" s="15"/>
      <c r="H752" s="15" t="s">
        <v>583</v>
      </c>
      <c r="I752" s="17" t="n">
        <v>463.15</v>
      </c>
      <c r="J752" s="16" t="s">
        <v>384</v>
      </c>
      <c r="K752" s="15" t="s">
        <v>372</v>
      </c>
      <c r="L752" s="15" t="n">
        <f aca="false">IF(AND(OR(Search!$C$4="",Search!$C$4="All",B752=Search!$C$4),OR(Search!$C$5="",Search!$C$5="All",C752=Search!$C$5),OR(Search!$C$6="",Search!$C$6="All",D752=Search!$C$6),OR(Search!$C$7="",ISNUMBER(SEARCH(Search!$C$7,D752&amp;" "&amp;E752&amp;" "&amp;F752&amp;" "&amp;G752&amp;" "&amp;H752&amp;" "&amp;J752))),OR(Search!$C$8="",ISNUMBER(SEARCH(Search!$C$8,G752)))),1,0)</f>
        <v>1</v>
      </c>
      <c r="M752" s="15" t="n">
        <f aca="false">M751+L752</f>
        <v>751</v>
      </c>
    </row>
    <row r="753" customFormat="false" ht="15" hidden="false" customHeight="false" outlineLevel="0" collapsed="false">
      <c r="A753" s="14" t="n">
        <v>752</v>
      </c>
      <c r="B753" s="15" t="s">
        <v>370</v>
      </c>
      <c r="C753" s="15" t="s">
        <v>580</v>
      </c>
      <c r="D753" s="16" t="s">
        <v>585</v>
      </c>
      <c r="E753" s="16" t="s">
        <v>582</v>
      </c>
      <c r="F753" s="15"/>
      <c r="G753" s="15"/>
      <c r="H753" s="15" t="s">
        <v>583</v>
      </c>
      <c r="I753" s="17" t="n">
        <v>414.12</v>
      </c>
      <c r="J753" s="16" t="s">
        <v>384</v>
      </c>
      <c r="K753" s="15" t="s">
        <v>372</v>
      </c>
      <c r="L753" s="15" t="n">
        <f aca="false">IF(AND(OR(Search!$C$4="",Search!$C$4="All",B753=Search!$C$4),OR(Search!$C$5="",Search!$C$5="All",C753=Search!$C$5),OR(Search!$C$6="",Search!$C$6="All",D753=Search!$C$6),OR(Search!$C$7="",ISNUMBER(SEARCH(Search!$C$7,D753&amp;" "&amp;E753&amp;" "&amp;F753&amp;" "&amp;G753&amp;" "&amp;H753&amp;" "&amp;J753))),OR(Search!$C$8="",ISNUMBER(SEARCH(Search!$C$8,G753)))),1,0)</f>
        <v>1</v>
      </c>
      <c r="M753" s="15" t="n">
        <f aca="false">M752+L753</f>
        <v>752</v>
      </c>
    </row>
    <row r="754" customFormat="false" ht="15" hidden="false" customHeight="false" outlineLevel="0" collapsed="false">
      <c r="A754" s="14" t="n">
        <v>753</v>
      </c>
      <c r="B754" s="15" t="s">
        <v>370</v>
      </c>
      <c r="C754" s="15" t="s">
        <v>580</v>
      </c>
      <c r="D754" s="16" t="s">
        <v>586</v>
      </c>
      <c r="E754" s="16" t="s">
        <v>582</v>
      </c>
      <c r="F754" s="15"/>
      <c r="G754" s="15"/>
      <c r="H754" s="15" t="s">
        <v>583</v>
      </c>
      <c r="I754" s="17" t="n">
        <v>487.59</v>
      </c>
      <c r="J754" s="16" t="s">
        <v>384</v>
      </c>
      <c r="K754" s="15" t="s">
        <v>372</v>
      </c>
      <c r="L754" s="15" t="n">
        <f aca="false">IF(AND(OR(Search!$C$4="",Search!$C$4="All",B754=Search!$C$4),OR(Search!$C$5="",Search!$C$5="All",C754=Search!$C$5),OR(Search!$C$6="",Search!$C$6="All",D754=Search!$C$6),OR(Search!$C$7="",ISNUMBER(SEARCH(Search!$C$7,D754&amp;" "&amp;E754&amp;" "&amp;F754&amp;" "&amp;G754&amp;" "&amp;H754&amp;" "&amp;J754))),OR(Search!$C$8="",ISNUMBER(SEARCH(Search!$C$8,G754)))),1,0)</f>
        <v>1</v>
      </c>
      <c r="M754" s="15" t="n">
        <f aca="false">M753+L754</f>
        <v>753</v>
      </c>
    </row>
    <row r="755" customFormat="false" ht="15" hidden="false" customHeight="false" outlineLevel="0" collapsed="false">
      <c r="A755" s="14" t="n">
        <v>754</v>
      </c>
      <c r="B755" s="15" t="s">
        <v>370</v>
      </c>
      <c r="C755" s="15" t="s">
        <v>580</v>
      </c>
      <c r="D755" s="16" t="s">
        <v>587</v>
      </c>
      <c r="E755" s="16" t="s">
        <v>588</v>
      </c>
      <c r="F755" s="15"/>
      <c r="G755" s="15"/>
      <c r="H755" s="15" t="s">
        <v>583</v>
      </c>
      <c r="I755" s="17" t="n">
        <v>542.64</v>
      </c>
      <c r="J755" s="16" t="s">
        <v>384</v>
      </c>
      <c r="K755" s="15" t="s">
        <v>372</v>
      </c>
      <c r="L755" s="15" t="n">
        <f aca="false">IF(AND(OR(Search!$C$4="",Search!$C$4="All",B755=Search!$C$4),OR(Search!$C$5="",Search!$C$5="All",C755=Search!$C$5),OR(Search!$C$6="",Search!$C$6="All",D755=Search!$C$6),OR(Search!$C$7="",ISNUMBER(SEARCH(Search!$C$7,D755&amp;" "&amp;E755&amp;" "&amp;F755&amp;" "&amp;G755&amp;" "&amp;H755&amp;" "&amp;J755))),OR(Search!$C$8="",ISNUMBER(SEARCH(Search!$C$8,G755)))),1,0)</f>
        <v>1</v>
      </c>
      <c r="M755" s="15" t="n">
        <f aca="false">M754+L755</f>
        <v>754</v>
      </c>
    </row>
    <row r="756" customFormat="false" ht="15" hidden="false" customHeight="false" outlineLevel="0" collapsed="false">
      <c r="A756" s="14" t="n">
        <v>755</v>
      </c>
      <c r="B756" s="15" t="s">
        <v>370</v>
      </c>
      <c r="C756" s="15" t="s">
        <v>580</v>
      </c>
      <c r="D756" s="16" t="s">
        <v>589</v>
      </c>
      <c r="E756" s="16" t="s">
        <v>588</v>
      </c>
      <c r="F756" s="15"/>
      <c r="G756" s="15"/>
      <c r="H756" s="15" t="s">
        <v>583</v>
      </c>
      <c r="I756" s="17" t="n">
        <v>627.3</v>
      </c>
      <c r="J756" s="16" t="s">
        <v>384</v>
      </c>
      <c r="K756" s="15" t="s">
        <v>372</v>
      </c>
      <c r="L756" s="15" t="n">
        <f aca="false">IF(AND(OR(Search!$C$4="",Search!$C$4="All",B756=Search!$C$4),OR(Search!$C$5="",Search!$C$5="All",C756=Search!$C$5),OR(Search!$C$6="",Search!$C$6="All",D756=Search!$C$6),OR(Search!$C$7="",ISNUMBER(SEARCH(Search!$C$7,D756&amp;" "&amp;E756&amp;" "&amp;F756&amp;" "&amp;G756&amp;" "&amp;H756&amp;" "&amp;J756))),OR(Search!$C$8="",ISNUMBER(SEARCH(Search!$C$8,G756)))),1,0)</f>
        <v>1</v>
      </c>
      <c r="M756" s="15" t="n">
        <f aca="false">M755+L756</f>
        <v>755</v>
      </c>
    </row>
    <row r="757" customFormat="false" ht="15" hidden="false" customHeight="false" outlineLevel="0" collapsed="false">
      <c r="A757" s="14" t="n">
        <v>756</v>
      </c>
      <c r="B757" s="15" t="s">
        <v>370</v>
      </c>
      <c r="C757" s="15" t="s">
        <v>580</v>
      </c>
      <c r="D757" s="16" t="s">
        <v>590</v>
      </c>
      <c r="E757" s="16" t="s">
        <v>588</v>
      </c>
      <c r="F757" s="15"/>
      <c r="G757" s="15"/>
      <c r="H757" s="15" t="s">
        <v>583</v>
      </c>
      <c r="I757" s="17" t="n">
        <v>448.8</v>
      </c>
      <c r="J757" s="16" t="s">
        <v>384</v>
      </c>
      <c r="K757" s="15" t="s">
        <v>372</v>
      </c>
      <c r="L757" s="15" t="n">
        <f aca="false">IF(AND(OR(Search!$C$4="",Search!$C$4="All",B757=Search!$C$4),OR(Search!$C$5="",Search!$C$5="All",C757=Search!$C$5),OR(Search!$C$6="",Search!$C$6="All",D757=Search!$C$6),OR(Search!$C$7="",ISNUMBER(SEARCH(Search!$C$7,D757&amp;" "&amp;E757&amp;" "&amp;F757&amp;" "&amp;G757&amp;" "&amp;H757&amp;" "&amp;J757))),OR(Search!$C$8="",ISNUMBER(SEARCH(Search!$C$8,G757)))),1,0)</f>
        <v>1</v>
      </c>
      <c r="M757" s="15" t="n">
        <f aca="false">M756+L757</f>
        <v>756</v>
      </c>
    </row>
    <row r="758" customFormat="false" ht="15" hidden="false" customHeight="false" outlineLevel="0" collapsed="false">
      <c r="A758" s="14" t="n">
        <v>757</v>
      </c>
      <c r="B758" s="15" t="s">
        <v>370</v>
      </c>
      <c r="C758" s="15" t="s">
        <v>580</v>
      </c>
      <c r="D758" s="16" t="s">
        <v>591</v>
      </c>
      <c r="E758" s="16" t="s">
        <v>592</v>
      </c>
      <c r="F758" s="15"/>
      <c r="G758" s="15"/>
      <c r="H758" s="15" t="s">
        <v>583</v>
      </c>
      <c r="I758" s="17" t="n">
        <v>851.7</v>
      </c>
      <c r="J758" s="16" t="s">
        <v>384</v>
      </c>
      <c r="K758" s="15" t="s">
        <v>372</v>
      </c>
      <c r="L758" s="15" t="n">
        <f aca="false">IF(AND(OR(Search!$C$4="",Search!$C$4="All",B758=Search!$C$4),OR(Search!$C$5="",Search!$C$5="All",C758=Search!$C$5),OR(Search!$C$6="",Search!$C$6="All",D758=Search!$C$6),OR(Search!$C$7="",ISNUMBER(SEARCH(Search!$C$7,D758&amp;" "&amp;E758&amp;" "&amp;F758&amp;" "&amp;G758&amp;" "&amp;H758&amp;" "&amp;J758))),OR(Search!$C$8="",ISNUMBER(SEARCH(Search!$C$8,G758)))),1,0)</f>
        <v>1</v>
      </c>
      <c r="M758" s="15" t="n">
        <f aca="false">M757+L758</f>
        <v>757</v>
      </c>
    </row>
    <row r="759" customFormat="false" ht="15" hidden="false" customHeight="false" outlineLevel="0" collapsed="false">
      <c r="A759" s="14" t="n">
        <v>758</v>
      </c>
      <c r="B759" s="15" t="s">
        <v>370</v>
      </c>
      <c r="C759" s="15" t="s">
        <v>580</v>
      </c>
      <c r="D759" s="16" t="s">
        <v>593</v>
      </c>
      <c r="E759" s="16" t="s">
        <v>592</v>
      </c>
      <c r="F759" s="15"/>
      <c r="G759" s="15"/>
      <c r="H759" s="15" t="s">
        <v>583</v>
      </c>
      <c r="I759" s="17" t="n">
        <v>754.8</v>
      </c>
      <c r="J759" s="16" t="s">
        <v>384</v>
      </c>
      <c r="K759" s="15" t="s">
        <v>372</v>
      </c>
      <c r="L759" s="15" t="n">
        <f aca="false">IF(AND(OR(Search!$C$4="",Search!$C$4="All",B759=Search!$C$4),OR(Search!$C$5="",Search!$C$5="All",C759=Search!$C$5),OR(Search!$C$6="",Search!$C$6="All",D759=Search!$C$6),OR(Search!$C$7="",ISNUMBER(SEARCH(Search!$C$7,D759&amp;" "&amp;E759&amp;" "&amp;F759&amp;" "&amp;G759&amp;" "&amp;H759&amp;" "&amp;J759))),OR(Search!$C$8="",ISNUMBER(SEARCH(Search!$C$8,G759)))),1,0)</f>
        <v>1</v>
      </c>
      <c r="M759" s="15" t="n">
        <f aca="false">M758+L759</f>
        <v>758</v>
      </c>
    </row>
    <row r="760" customFormat="false" ht="15" hidden="false" customHeight="false" outlineLevel="0" collapsed="false">
      <c r="A760" s="14" t="n">
        <v>759</v>
      </c>
      <c r="B760" s="15" t="s">
        <v>370</v>
      </c>
      <c r="C760" s="15" t="s">
        <v>580</v>
      </c>
      <c r="D760" s="16" t="s">
        <v>594</v>
      </c>
      <c r="E760" s="16" t="s">
        <v>592</v>
      </c>
      <c r="F760" s="15"/>
      <c r="G760" s="15"/>
      <c r="H760" s="15" t="s">
        <v>583</v>
      </c>
      <c r="I760" s="17" t="n">
        <v>678.3</v>
      </c>
      <c r="J760" s="16" t="s">
        <v>384</v>
      </c>
      <c r="K760" s="15" t="s">
        <v>372</v>
      </c>
      <c r="L760" s="15" t="n">
        <f aca="false">IF(AND(OR(Search!$C$4="",Search!$C$4="All",B760=Search!$C$4),OR(Search!$C$5="",Search!$C$5="All",C760=Search!$C$5),OR(Search!$C$6="",Search!$C$6="All",D760=Search!$C$6),OR(Search!$C$7="",ISNUMBER(SEARCH(Search!$C$7,D760&amp;" "&amp;E760&amp;" "&amp;F760&amp;" "&amp;G760&amp;" "&amp;H760&amp;" "&amp;J760))),OR(Search!$C$8="",ISNUMBER(SEARCH(Search!$C$8,G760)))),1,0)</f>
        <v>1</v>
      </c>
      <c r="M760" s="15" t="n">
        <f aca="false">M759+L760</f>
        <v>759</v>
      </c>
    </row>
    <row r="761" customFormat="false" ht="15" hidden="false" customHeight="false" outlineLevel="0" collapsed="false">
      <c r="A761" s="14" t="n">
        <v>760</v>
      </c>
      <c r="B761" s="15" t="s">
        <v>370</v>
      </c>
      <c r="C761" s="15" t="s">
        <v>580</v>
      </c>
      <c r="D761" s="16" t="s">
        <v>595</v>
      </c>
      <c r="E761" s="16" t="s">
        <v>592</v>
      </c>
      <c r="F761" s="15"/>
      <c r="G761" s="15"/>
      <c r="H761" s="15" t="s">
        <v>583</v>
      </c>
      <c r="I761" s="17" t="n">
        <v>851.7</v>
      </c>
      <c r="J761" s="16" t="s">
        <v>384</v>
      </c>
      <c r="K761" s="15" t="s">
        <v>372</v>
      </c>
      <c r="L761" s="15" t="n">
        <f aca="false">IF(AND(OR(Search!$C$4="",Search!$C$4="All",B761=Search!$C$4),OR(Search!$C$5="",Search!$C$5="All",C761=Search!$C$5),OR(Search!$C$6="",Search!$C$6="All",D761=Search!$C$6),OR(Search!$C$7="",ISNUMBER(SEARCH(Search!$C$7,D761&amp;" "&amp;E761&amp;" "&amp;F761&amp;" "&amp;G761&amp;" "&amp;H761&amp;" "&amp;J761))),OR(Search!$C$8="",ISNUMBER(SEARCH(Search!$C$8,G761)))),1,0)</f>
        <v>1</v>
      </c>
      <c r="M761" s="15" t="n">
        <f aca="false">M760+L761</f>
        <v>760</v>
      </c>
    </row>
    <row r="762" customFormat="false" ht="15" hidden="false" customHeight="false" outlineLevel="0" collapsed="false">
      <c r="A762" s="14" t="n">
        <v>761</v>
      </c>
      <c r="B762" s="15" t="s">
        <v>370</v>
      </c>
      <c r="C762" s="15" t="s">
        <v>596</v>
      </c>
      <c r="D762" s="16" t="s">
        <v>597</v>
      </c>
      <c r="E762" s="16" t="s">
        <v>598</v>
      </c>
      <c r="F762" s="15"/>
      <c r="G762" s="15"/>
      <c r="H762" s="15" t="s">
        <v>583</v>
      </c>
      <c r="I762" s="17" t="n">
        <v>930.65</v>
      </c>
      <c r="J762" s="16" t="s">
        <v>384</v>
      </c>
      <c r="K762" s="15" t="s">
        <v>372</v>
      </c>
      <c r="L762" s="15" t="n">
        <f aca="false">IF(AND(OR(Search!$C$4="",Search!$C$4="All",B762=Search!$C$4),OR(Search!$C$5="",Search!$C$5="All",C762=Search!$C$5),OR(Search!$C$6="",Search!$C$6="All",D762=Search!$C$6),OR(Search!$C$7="",ISNUMBER(SEARCH(Search!$C$7,D762&amp;" "&amp;E762&amp;" "&amp;F762&amp;" "&amp;G762&amp;" "&amp;H762&amp;" "&amp;J762))),OR(Search!$C$8="",ISNUMBER(SEARCH(Search!$C$8,G762)))),1,0)</f>
        <v>1</v>
      </c>
      <c r="M762" s="15" t="n">
        <f aca="false">M761+L762</f>
        <v>761</v>
      </c>
    </row>
    <row r="763" customFormat="false" ht="15" hidden="false" customHeight="false" outlineLevel="0" collapsed="false">
      <c r="A763" s="14" t="n">
        <v>762</v>
      </c>
      <c r="B763" s="15" t="s">
        <v>370</v>
      </c>
      <c r="C763" s="15" t="s">
        <v>596</v>
      </c>
      <c r="D763" s="16" t="s">
        <v>599</v>
      </c>
      <c r="E763" s="16" t="s">
        <v>598</v>
      </c>
      <c r="F763" s="15"/>
      <c r="G763" s="15"/>
      <c r="H763" s="15" t="s">
        <v>583</v>
      </c>
      <c r="I763" s="17" t="n">
        <v>872.47</v>
      </c>
      <c r="J763" s="16" t="s">
        <v>384</v>
      </c>
      <c r="K763" s="15" t="s">
        <v>372</v>
      </c>
      <c r="L763" s="15" t="n">
        <f aca="false">IF(AND(OR(Search!$C$4="",Search!$C$4="All",B763=Search!$C$4),OR(Search!$C$5="",Search!$C$5="All",C763=Search!$C$5),OR(Search!$C$6="",Search!$C$6="All",D763=Search!$C$6),OR(Search!$C$7="",ISNUMBER(SEARCH(Search!$C$7,D763&amp;" "&amp;E763&amp;" "&amp;F763&amp;" "&amp;G763&amp;" "&amp;H763&amp;" "&amp;J763))),OR(Search!$C$8="",ISNUMBER(SEARCH(Search!$C$8,G763)))),1,0)</f>
        <v>1</v>
      </c>
      <c r="M763" s="15" t="n">
        <f aca="false">M762+L763</f>
        <v>762</v>
      </c>
    </row>
    <row r="764" customFormat="false" ht="15" hidden="false" customHeight="false" outlineLevel="0" collapsed="false">
      <c r="A764" s="14" t="n">
        <v>763</v>
      </c>
      <c r="B764" s="15" t="s">
        <v>370</v>
      </c>
      <c r="C764" s="15" t="s">
        <v>596</v>
      </c>
      <c r="D764" s="16" t="s">
        <v>600</v>
      </c>
      <c r="E764" s="16" t="s">
        <v>598</v>
      </c>
      <c r="F764" s="15"/>
      <c r="G764" s="15"/>
      <c r="H764" s="15" t="s">
        <v>583</v>
      </c>
      <c r="I764" s="17" t="n">
        <v>621.03</v>
      </c>
      <c r="J764" s="16" t="s">
        <v>384</v>
      </c>
      <c r="K764" s="15" t="s">
        <v>372</v>
      </c>
      <c r="L764" s="15" t="n">
        <f aca="false">IF(AND(OR(Search!$C$4="",Search!$C$4="All",B764=Search!$C$4),OR(Search!$C$5="",Search!$C$5="All",C764=Search!$C$5),OR(Search!$C$6="",Search!$C$6="All",D764=Search!$C$6),OR(Search!$C$7="",ISNUMBER(SEARCH(Search!$C$7,D764&amp;" "&amp;E764&amp;" "&amp;F764&amp;" "&amp;G764&amp;" "&amp;H764&amp;" "&amp;J764))),OR(Search!$C$8="",ISNUMBER(SEARCH(Search!$C$8,G764)))),1,0)</f>
        <v>1</v>
      </c>
      <c r="M764" s="15" t="n">
        <f aca="false">M763+L764</f>
        <v>763</v>
      </c>
    </row>
    <row r="765" customFormat="false" ht="15" hidden="false" customHeight="false" outlineLevel="0" collapsed="false">
      <c r="A765" s="14" t="n">
        <v>764</v>
      </c>
      <c r="B765" s="15" t="s">
        <v>370</v>
      </c>
      <c r="C765" s="15" t="s">
        <v>596</v>
      </c>
      <c r="D765" s="16" t="s">
        <v>601</v>
      </c>
      <c r="E765" s="16" t="s">
        <v>598</v>
      </c>
      <c r="F765" s="15"/>
      <c r="G765" s="15"/>
      <c r="H765" s="15" t="s">
        <v>583</v>
      </c>
      <c r="I765" s="17" t="n">
        <v>1637.22</v>
      </c>
      <c r="J765" s="16" t="s">
        <v>384</v>
      </c>
      <c r="K765" s="15" t="s">
        <v>372</v>
      </c>
      <c r="L765" s="15" t="n">
        <f aca="false">IF(AND(OR(Search!$C$4="",Search!$C$4="All",B765=Search!$C$4),OR(Search!$C$5="",Search!$C$5="All",C765=Search!$C$5),OR(Search!$C$6="",Search!$C$6="All",D765=Search!$C$6),OR(Search!$C$7="",ISNUMBER(SEARCH(Search!$C$7,D765&amp;" "&amp;E765&amp;" "&amp;F765&amp;" "&amp;G765&amp;" "&amp;H765&amp;" "&amp;J765))),OR(Search!$C$8="",ISNUMBER(SEARCH(Search!$C$8,G765)))),1,0)</f>
        <v>1</v>
      </c>
      <c r="M765" s="15" t="n">
        <f aca="false">M764+L765</f>
        <v>764</v>
      </c>
    </row>
    <row r="766" customFormat="false" ht="15" hidden="false" customHeight="false" outlineLevel="0" collapsed="false">
      <c r="A766" s="14" t="n">
        <v>765</v>
      </c>
      <c r="B766" s="15" t="s">
        <v>370</v>
      </c>
      <c r="C766" s="15" t="s">
        <v>596</v>
      </c>
      <c r="D766" s="16" t="s">
        <v>602</v>
      </c>
      <c r="E766" s="16"/>
      <c r="F766" s="15"/>
      <c r="G766" s="15" t="s">
        <v>603</v>
      </c>
      <c r="H766" s="15" t="s">
        <v>583</v>
      </c>
      <c r="I766" s="17" t="n">
        <v>1541.18</v>
      </c>
      <c r="J766" s="16"/>
      <c r="K766" s="15" t="s">
        <v>372</v>
      </c>
      <c r="L766" s="15" t="n">
        <f aca="false">IF(AND(OR(Search!$C$4="",Search!$C$4="All",B766=Search!$C$4),OR(Search!$C$5="",Search!$C$5="All",C766=Search!$C$5),OR(Search!$C$6="",Search!$C$6="All",D766=Search!$C$6),OR(Search!$C$7="",ISNUMBER(SEARCH(Search!$C$7,D766&amp;" "&amp;E766&amp;" "&amp;F766&amp;" "&amp;G766&amp;" "&amp;H766&amp;" "&amp;J766))),OR(Search!$C$8="",ISNUMBER(SEARCH(Search!$C$8,G766)))),1,0)</f>
        <v>1</v>
      </c>
      <c r="M766" s="15" t="n">
        <f aca="false">M765+L766</f>
        <v>765</v>
      </c>
    </row>
    <row r="767" customFormat="false" ht="15" hidden="false" customHeight="false" outlineLevel="0" collapsed="false">
      <c r="A767" s="14" t="n">
        <v>766</v>
      </c>
      <c r="B767" s="15" t="s">
        <v>370</v>
      </c>
      <c r="C767" s="15" t="s">
        <v>604</v>
      </c>
      <c r="D767" s="16" t="s">
        <v>605</v>
      </c>
      <c r="E767" s="16" t="s">
        <v>606</v>
      </c>
      <c r="F767" s="15"/>
      <c r="G767" s="15"/>
      <c r="H767" s="15" t="s">
        <v>607</v>
      </c>
      <c r="I767" s="17" t="n">
        <v>95.93</v>
      </c>
      <c r="J767" s="16" t="s">
        <v>608</v>
      </c>
      <c r="K767" s="15" t="s">
        <v>372</v>
      </c>
      <c r="L767" s="15" t="n">
        <f aca="false">IF(AND(OR(Search!$C$4="",Search!$C$4="All",B767=Search!$C$4),OR(Search!$C$5="",Search!$C$5="All",C767=Search!$C$5),OR(Search!$C$6="",Search!$C$6="All",D767=Search!$C$6),OR(Search!$C$7="",ISNUMBER(SEARCH(Search!$C$7,D767&amp;" "&amp;E767&amp;" "&amp;F767&amp;" "&amp;G767&amp;" "&amp;H767&amp;" "&amp;J767))),OR(Search!$C$8="",ISNUMBER(SEARCH(Search!$C$8,G767)))),1,0)</f>
        <v>1</v>
      </c>
      <c r="M767" s="15" t="n">
        <f aca="false">M766+L767</f>
        <v>766</v>
      </c>
    </row>
    <row r="768" customFormat="false" ht="15" hidden="false" customHeight="false" outlineLevel="0" collapsed="false">
      <c r="A768" s="14" t="n">
        <v>767</v>
      </c>
      <c r="B768" s="15" t="s">
        <v>370</v>
      </c>
      <c r="C768" s="15" t="s">
        <v>604</v>
      </c>
      <c r="D768" s="16" t="s">
        <v>605</v>
      </c>
      <c r="E768" s="16" t="s">
        <v>609</v>
      </c>
      <c r="F768" s="15"/>
      <c r="G768" s="15"/>
      <c r="H768" s="15" t="s">
        <v>607</v>
      </c>
      <c r="I768" s="17" t="n">
        <v>111.08</v>
      </c>
      <c r="J768" s="16" t="s">
        <v>608</v>
      </c>
      <c r="K768" s="15" t="s">
        <v>372</v>
      </c>
      <c r="L768" s="15" t="n">
        <f aca="false">IF(AND(OR(Search!$C$4="",Search!$C$4="All",B768=Search!$C$4),OR(Search!$C$5="",Search!$C$5="All",C768=Search!$C$5),OR(Search!$C$6="",Search!$C$6="All",D768=Search!$C$6),OR(Search!$C$7="",ISNUMBER(SEARCH(Search!$C$7,D768&amp;" "&amp;E768&amp;" "&amp;F768&amp;" "&amp;G768&amp;" "&amp;H768&amp;" "&amp;J768))),OR(Search!$C$8="",ISNUMBER(SEARCH(Search!$C$8,G768)))),1,0)</f>
        <v>1</v>
      </c>
      <c r="M768" s="15" t="n">
        <f aca="false">M767+L768</f>
        <v>767</v>
      </c>
    </row>
    <row r="769" customFormat="false" ht="15" hidden="false" customHeight="false" outlineLevel="0" collapsed="false">
      <c r="A769" s="14" t="n">
        <v>768</v>
      </c>
      <c r="B769" s="15" t="s">
        <v>370</v>
      </c>
      <c r="C769" s="15" t="s">
        <v>604</v>
      </c>
      <c r="D769" s="16" t="s">
        <v>605</v>
      </c>
      <c r="E769" s="16" t="s">
        <v>610</v>
      </c>
      <c r="F769" s="15"/>
      <c r="G769" s="15"/>
      <c r="H769" s="15" t="s">
        <v>607</v>
      </c>
      <c r="I769" s="17" t="n">
        <v>144.4</v>
      </c>
      <c r="J769" s="16" t="s">
        <v>608</v>
      </c>
      <c r="K769" s="15" t="s">
        <v>372</v>
      </c>
      <c r="L769" s="15" t="n">
        <f aca="false">IF(AND(OR(Search!$C$4="",Search!$C$4="All",B769=Search!$C$4),OR(Search!$C$5="",Search!$C$5="All",C769=Search!$C$5),OR(Search!$C$6="",Search!$C$6="All",D769=Search!$C$6),OR(Search!$C$7="",ISNUMBER(SEARCH(Search!$C$7,D769&amp;" "&amp;E769&amp;" "&amp;F769&amp;" "&amp;G769&amp;" "&amp;H769&amp;" "&amp;J769))),OR(Search!$C$8="",ISNUMBER(SEARCH(Search!$C$8,G769)))),1,0)</f>
        <v>1</v>
      </c>
      <c r="M769" s="15" t="n">
        <f aca="false">M768+L769</f>
        <v>768</v>
      </c>
    </row>
    <row r="770" customFormat="false" ht="15" hidden="false" customHeight="false" outlineLevel="0" collapsed="false">
      <c r="A770" s="14" t="n">
        <v>769</v>
      </c>
      <c r="B770" s="15" t="s">
        <v>370</v>
      </c>
      <c r="C770" s="15" t="s">
        <v>596</v>
      </c>
      <c r="D770" s="16" t="s">
        <v>611</v>
      </c>
      <c r="E770" s="16"/>
      <c r="F770" s="15"/>
      <c r="G770" s="15" t="s">
        <v>612</v>
      </c>
      <c r="H770" s="15" t="s">
        <v>82</v>
      </c>
      <c r="I770" s="17" t="n">
        <v>38.37</v>
      </c>
      <c r="J770" s="16"/>
      <c r="K770" s="15" t="s">
        <v>372</v>
      </c>
      <c r="L770" s="15" t="n">
        <f aca="false">IF(AND(OR(Search!$C$4="",Search!$C$4="All",B770=Search!$C$4),OR(Search!$C$5="",Search!$C$5="All",C770=Search!$C$5),OR(Search!$C$6="",Search!$C$6="All",D770=Search!$C$6),OR(Search!$C$7="",ISNUMBER(SEARCH(Search!$C$7,D770&amp;" "&amp;E770&amp;" "&amp;F770&amp;" "&amp;G770&amp;" "&amp;H770&amp;" "&amp;J770))),OR(Search!$C$8="",ISNUMBER(SEARCH(Search!$C$8,G770)))),1,0)</f>
        <v>1</v>
      </c>
      <c r="M770" s="15" t="n">
        <f aca="false">M769+L770</f>
        <v>769</v>
      </c>
    </row>
    <row r="771" customFormat="false" ht="15" hidden="false" customHeight="false" outlineLevel="0" collapsed="false">
      <c r="A771" s="14" t="n">
        <v>770</v>
      </c>
      <c r="B771" s="15" t="s">
        <v>370</v>
      </c>
      <c r="C771" s="15" t="s">
        <v>596</v>
      </c>
      <c r="D771" s="16" t="s">
        <v>611</v>
      </c>
      <c r="E771" s="16"/>
      <c r="F771" s="15"/>
      <c r="G771" s="15" t="s">
        <v>613</v>
      </c>
      <c r="H771" s="15" t="s">
        <v>82</v>
      </c>
      <c r="I771" s="17" t="n">
        <v>57.51</v>
      </c>
      <c r="J771" s="16"/>
      <c r="K771" s="15" t="s">
        <v>372</v>
      </c>
      <c r="L771" s="15" t="n">
        <f aca="false">IF(AND(OR(Search!$C$4="",Search!$C$4="All",B771=Search!$C$4),OR(Search!$C$5="",Search!$C$5="All",C771=Search!$C$5),OR(Search!$C$6="",Search!$C$6="All",D771=Search!$C$6),OR(Search!$C$7="",ISNUMBER(SEARCH(Search!$C$7,D771&amp;" "&amp;E771&amp;" "&amp;F771&amp;" "&amp;G771&amp;" "&amp;H771&amp;" "&amp;J771))),OR(Search!$C$8="",ISNUMBER(SEARCH(Search!$C$8,G771)))),1,0)</f>
        <v>1</v>
      </c>
      <c r="M771" s="15" t="n">
        <f aca="false">M770+L771</f>
        <v>770</v>
      </c>
    </row>
    <row r="772" customFormat="false" ht="15" hidden="false" customHeight="false" outlineLevel="0" collapsed="false">
      <c r="A772" s="14" t="n">
        <v>771</v>
      </c>
      <c r="B772" s="15" t="s">
        <v>370</v>
      </c>
      <c r="C772" s="15" t="s">
        <v>596</v>
      </c>
      <c r="D772" s="16" t="s">
        <v>611</v>
      </c>
      <c r="E772" s="16"/>
      <c r="F772" s="15"/>
      <c r="G772" s="15" t="s">
        <v>614</v>
      </c>
      <c r="H772" s="15" t="s">
        <v>82</v>
      </c>
      <c r="I772" s="17" t="n">
        <v>76.69</v>
      </c>
      <c r="J772" s="16"/>
      <c r="K772" s="15" t="s">
        <v>372</v>
      </c>
      <c r="L772" s="15" t="n">
        <f aca="false">IF(AND(OR(Search!$C$4="",Search!$C$4="All",B772=Search!$C$4),OR(Search!$C$5="",Search!$C$5="All",C772=Search!$C$5),OR(Search!$C$6="",Search!$C$6="All",D772=Search!$C$6),OR(Search!$C$7="",ISNUMBER(SEARCH(Search!$C$7,D772&amp;" "&amp;E772&amp;" "&amp;F772&amp;" "&amp;G772&amp;" "&amp;H772&amp;" "&amp;J772))),OR(Search!$C$8="",ISNUMBER(SEARCH(Search!$C$8,G772)))),1,0)</f>
        <v>1</v>
      </c>
      <c r="M772" s="15" t="n">
        <f aca="false">M771+L772</f>
        <v>771</v>
      </c>
    </row>
    <row r="773" customFormat="false" ht="15" hidden="false" customHeight="false" outlineLevel="0" collapsed="false">
      <c r="A773" s="14" t="n">
        <v>772</v>
      </c>
      <c r="B773" s="15" t="s">
        <v>370</v>
      </c>
      <c r="C773" s="15" t="s">
        <v>335</v>
      </c>
      <c r="D773" s="16" t="s">
        <v>615</v>
      </c>
      <c r="E773" s="16" t="s">
        <v>616</v>
      </c>
      <c r="F773" s="15"/>
      <c r="G773" s="15" t="s">
        <v>617</v>
      </c>
      <c r="H773" s="15" t="s">
        <v>82</v>
      </c>
      <c r="I773" s="17" t="n">
        <v>8976</v>
      </c>
      <c r="J773" s="16"/>
      <c r="K773" s="15" t="s">
        <v>372</v>
      </c>
      <c r="L773" s="15" t="n">
        <f aca="false">IF(AND(OR(Search!$C$4="",Search!$C$4="All",B773=Search!$C$4),OR(Search!$C$5="",Search!$C$5="All",C773=Search!$C$5),OR(Search!$C$6="",Search!$C$6="All",D773=Search!$C$6),OR(Search!$C$7="",ISNUMBER(SEARCH(Search!$C$7,D773&amp;" "&amp;E773&amp;" "&amp;F773&amp;" "&amp;G773&amp;" "&amp;H773&amp;" "&amp;J773))),OR(Search!$C$8="",ISNUMBER(SEARCH(Search!$C$8,G773)))),1,0)</f>
        <v>1</v>
      </c>
      <c r="M773" s="15" t="n">
        <f aca="false">M772+L773</f>
        <v>772</v>
      </c>
    </row>
    <row r="774" customFormat="false" ht="15" hidden="false" customHeight="false" outlineLevel="0" collapsed="false">
      <c r="A774" s="14" t="n">
        <v>773</v>
      </c>
      <c r="B774" s="15" t="s">
        <v>370</v>
      </c>
      <c r="C774" s="15" t="s">
        <v>335</v>
      </c>
      <c r="D774" s="16" t="s">
        <v>615</v>
      </c>
      <c r="E774" s="16" t="s">
        <v>616</v>
      </c>
      <c r="F774" s="15"/>
      <c r="G774" s="15" t="s">
        <v>618</v>
      </c>
      <c r="H774" s="15" t="s">
        <v>528</v>
      </c>
      <c r="I774" s="17" t="n">
        <v>100.98</v>
      </c>
      <c r="J774" s="16"/>
      <c r="K774" s="15" t="s">
        <v>372</v>
      </c>
      <c r="L774" s="15" t="n">
        <f aca="false">IF(AND(OR(Search!$C$4="",Search!$C$4="All",B774=Search!$C$4),OR(Search!$C$5="",Search!$C$5="All",C774=Search!$C$5),OR(Search!$C$6="",Search!$C$6="All",D774=Search!$C$6),OR(Search!$C$7="",ISNUMBER(SEARCH(Search!$C$7,D774&amp;" "&amp;E774&amp;" "&amp;F774&amp;" "&amp;G774&amp;" "&amp;H774&amp;" "&amp;J774))),OR(Search!$C$8="",ISNUMBER(SEARCH(Search!$C$8,G774)))),1,0)</f>
        <v>1</v>
      </c>
      <c r="M774" s="15" t="n">
        <f aca="false">M773+L774</f>
        <v>773</v>
      </c>
    </row>
    <row r="775" customFormat="false" ht="15" hidden="false" customHeight="false" outlineLevel="0" collapsed="false">
      <c r="A775" s="14" t="n">
        <v>774</v>
      </c>
      <c r="B775" s="15" t="s">
        <v>370</v>
      </c>
      <c r="C775" s="15" t="s">
        <v>335</v>
      </c>
      <c r="D775" s="16" t="s">
        <v>615</v>
      </c>
      <c r="E775" s="16" t="s">
        <v>616</v>
      </c>
      <c r="F775" s="15"/>
      <c r="G775" s="15" t="s">
        <v>619</v>
      </c>
      <c r="H775" s="15" t="s">
        <v>620</v>
      </c>
      <c r="I775" s="17" t="n">
        <v>16</v>
      </c>
      <c r="J775" s="16"/>
      <c r="K775" s="15" t="s">
        <v>372</v>
      </c>
      <c r="L775" s="15" t="n">
        <f aca="false">IF(AND(OR(Search!$C$4="",Search!$C$4="All",B775=Search!$C$4),OR(Search!$C$5="",Search!$C$5="All",C775=Search!$C$5),OR(Search!$C$6="",Search!$C$6="All",D775=Search!$C$6),OR(Search!$C$7="",ISNUMBER(SEARCH(Search!$C$7,D775&amp;" "&amp;E775&amp;" "&amp;F775&amp;" "&amp;G775&amp;" "&amp;H775&amp;" "&amp;J775))),OR(Search!$C$8="",ISNUMBER(SEARCH(Search!$C$8,G775)))),1,0)</f>
        <v>1</v>
      </c>
      <c r="M775" s="15" t="n">
        <f aca="false">M774+L775</f>
        <v>774</v>
      </c>
    </row>
    <row r="776" customFormat="false" ht="15" hidden="false" customHeight="false" outlineLevel="0" collapsed="false">
      <c r="A776" s="14" t="n">
        <v>775</v>
      </c>
      <c r="B776" s="15" t="s">
        <v>370</v>
      </c>
      <c r="C776" s="15" t="s">
        <v>335</v>
      </c>
      <c r="D776" s="16" t="s">
        <v>621</v>
      </c>
      <c r="E776" s="16"/>
      <c r="F776" s="15"/>
      <c r="G776" s="15" t="s">
        <v>160</v>
      </c>
      <c r="H776" s="15" t="s">
        <v>380</v>
      </c>
      <c r="I776" s="17" t="n">
        <v>1280.1</v>
      </c>
      <c r="J776" s="16"/>
      <c r="K776" s="15" t="s">
        <v>372</v>
      </c>
      <c r="L776" s="15" t="n">
        <f aca="false">IF(AND(OR(Search!$C$4="",Search!$C$4="All",B776=Search!$C$4),OR(Search!$C$5="",Search!$C$5="All",C776=Search!$C$5),OR(Search!$C$6="",Search!$C$6="All",D776=Search!$C$6),OR(Search!$C$7="",ISNUMBER(SEARCH(Search!$C$7,D776&amp;" "&amp;E776&amp;" "&amp;F776&amp;" "&amp;G776&amp;" "&amp;H776&amp;" "&amp;J776))),OR(Search!$C$8="",ISNUMBER(SEARCH(Search!$C$8,G776)))),1,0)</f>
        <v>1</v>
      </c>
      <c r="M776" s="15" t="n">
        <f aca="false">M775+L776</f>
        <v>775</v>
      </c>
    </row>
    <row r="777" customFormat="false" ht="15" hidden="false" customHeight="false" outlineLevel="0" collapsed="false">
      <c r="A777" s="14" t="n">
        <v>776</v>
      </c>
      <c r="B777" s="15" t="s">
        <v>370</v>
      </c>
      <c r="C777" s="15" t="s">
        <v>335</v>
      </c>
      <c r="D777" s="16" t="s">
        <v>622</v>
      </c>
      <c r="E777" s="16"/>
      <c r="F777" s="15"/>
      <c r="G777" s="15" t="s">
        <v>160</v>
      </c>
      <c r="H777" s="15" t="s">
        <v>203</v>
      </c>
      <c r="I777" s="17" t="n">
        <v>13.26</v>
      </c>
      <c r="J777" s="16"/>
      <c r="K777" s="15" t="s">
        <v>372</v>
      </c>
      <c r="L777" s="15" t="n">
        <f aca="false">IF(AND(OR(Search!$C$4="",Search!$C$4="All",B777=Search!$C$4),OR(Search!$C$5="",Search!$C$5="All",C777=Search!$C$5),OR(Search!$C$6="",Search!$C$6="All",D777=Search!$C$6),OR(Search!$C$7="",ISNUMBER(SEARCH(Search!$C$7,D777&amp;" "&amp;E777&amp;" "&amp;F777&amp;" "&amp;G777&amp;" "&amp;H777&amp;" "&amp;J777))),OR(Search!$C$8="",ISNUMBER(SEARCH(Search!$C$8,G777)))),1,0)</f>
        <v>1</v>
      </c>
      <c r="M777" s="15" t="n">
        <f aca="false">M776+L777</f>
        <v>776</v>
      </c>
    </row>
    <row r="778" customFormat="false" ht="15" hidden="false" customHeight="false" outlineLevel="0" collapsed="false">
      <c r="A778" s="14" t="n">
        <v>777</v>
      </c>
      <c r="B778" s="15" t="s">
        <v>370</v>
      </c>
      <c r="C778" s="15" t="s">
        <v>335</v>
      </c>
      <c r="D778" s="16" t="s">
        <v>623</v>
      </c>
      <c r="E778" s="16"/>
      <c r="F778" s="15"/>
      <c r="G778" s="15" t="s">
        <v>160</v>
      </c>
      <c r="H778" s="15" t="s">
        <v>203</v>
      </c>
      <c r="I778" s="17" t="n">
        <v>26.16</v>
      </c>
      <c r="J778" s="16"/>
      <c r="K778" s="15" t="s">
        <v>372</v>
      </c>
      <c r="L778" s="15" t="n">
        <f aca="false">IF(AND(OR(Search!$C$4="",Search!$C$4="All",B778=Search!$C$4),OR(Search!$C$5="",Search!$C$5="All",C778=Search!$C$5),OR(Search!$C$6="",Search!$C$6="All",D778=Search!$C$6),OR(Search!$C$7="",ISNUMBER(SEARCH(Search!$C$7,D778&amp;" "&amp;E778&amp;" "&amp;F778&amp;" "&amp;G778&amp;" "&amp;H778&amp;" "&amp;J778))),OR(Search!$C$8="",ISNUMBER(SEARCH(Search!$C$8,G778)))),1,0)</f>
        <v>1</v>
      </c>
      <c r="M778" s="15" t="n">
        <f aca="false">M777+L778</f>
        <v>777</v>
      </c>
    </row>
    <row r="779" customFormat="false" ht="15" hidden="false" customHeight="false" outlineLevel="0" collapsed="false">
      <c r="A779" s="14" t="n">
        <v>778</v>
      </c>
      <c r="B779" s="15" t="s">
        <v>370</v>
      </c>
      <c r="C779" s="15" t="s">
        <v>335</v>
      </c>
      <c r="D779" s="16" t="s">
        <v>624</v>
      </c>
      <c r="E779" s="16"/>
      <c r="F779" s="15"/>
      <c r="G779" s="15" t="s">
        <v>160</v>
      </c>
      <c r="H779" s="15" t="s">
        <v>380</v>
      </c>
      <c r="I779" s="17" t="n">
        <v>1300.5</v>
      </c>
      <c r="J779" s="16"/>
      <c r="K779" s="15" t="s">
        <v>372</v>
      </c>
      <c r="L779" s="15" t="n">
        <f aca="false">IF(AND(OR(Search!$C$4="",Search!$C$4="All",B779=Search!$C$4),OR(Search!$C$5="",Search!$C$5="All",C779=Search!$C$5),OR(Search!$C$6="",Search!$C$6="All",D779=Search!$C$6),OR(Search!$C$7="",ISNUMBER(SEARCH(Search!$C$7,D779&amp;" "&amp;E779&amp;" "&amp;F779&amp;" "&amp;G779&amp;" "&amp;H779&amp;" "&amp;J779))),OR(Search!$C$8="",ISNUMBER(SEARCH(Search!$C$8,G779)))),1,0)</f>
        <v>1</v>
      </c>
      <c r="M779" s="15" t="n">
        <f aca="false">M778+L779</f>
        <v>778</v>
      </c>
    </row>
    <row r="780" customFormat="false" ht="15" hidden="false" customHeight="false" outlineLevel="0" collapsed="false">
      <c r="A780" s="14" t="n">
        <v>779</v>
      </c>
      <c r="B780" s="15" t="s">
        <v>370</v>
      </c>
      <c r="C780" s="15" t="s">
        <v>335</v>
      </c>
      <c r="D780" s="16" t="s">
        <v>625</v>
      </c>
      <c r="E780" s="16"/>
      <c r="F780" s="15"/>
      <c r="G780" s="15" t="s">
        <v>160</v>
      </c>
      <c r="H780" s="15" t="s">
        <v>203</v>
      </c>
      <c r="I780" s="17" t="n">
        <v>14.25</v>
      </c>
      <c r="J780" s="16"/>
      <c r="K780" s="15" t="s">
        <v>372</v>
      </c>
      <c r="L780" s="15" t="n">
        <f aca="false">IF(AND(OR(Search!$C$4="",Search!$C$4="All",B780=Search!$C$4),OR(Search!$C$5="",Search!$C$5="All",C780=Search!$C$5),OR(Search!$C$6="",Search!$C$6="All",D780=Search!$C$6),OR(Search!$C$7="",ISNUMBER(SEARCH(Search!$C$7,D780&amp;" "&amp;E780&amp;" "&amp;F780&amp;" "&amp;G780&amp;" "&amp;H780&amp;" "&amp;J780))),OR(Search!$C$8="",ISNUMBER(SEARCH(Search!$C$8,G780)))),1,0)</f>
        <v>1</v>
      </c>
      <c r="M780" s="15" t="n">
        <f aca="false">M779+L780</f>
        <v>779</v>
      </c>
    </row>
    <row r="781" customFormat="false" ht="15" hidden="false" customHeight="false" outlineLevel="0" collapsed="false">
      <c r="A781" s="14" t="n">
        <v>780</v>
      </c>
      <c r="B781" s="15" t="s">
        <v>370</v>
      </c>
      <c r="C781" s="15" t="s">
        <v>335</v>
      </c>
      <c r="D781" s="16" t="s">
        <v>626</v>
      </c>
      <c r="E781" s="16"/>
      <c r="F781" s="15"/>
      <c r="G781" s="15" t="s">
        <v>160</v>
      </c>
      <c r="H781" s="15" t="s">
        <v>203</v>
      </c>
      <c r="I781" s="17" t="n">
        <v>18.87</v>
      </c>
      <c r="J781" s="16"/>
      <c r="K781" s="15" t="s">
        <v>372</v>
      </c>
      <c r="L781" s="15" t="n">
        <f aca="false">IF(AND(OR(Search!$C$4="",Search!$C$4="All",B781=Search!$C$4),OR(Search!$C$5="",Search!$C$5="All",C781=Search!$C$5),OR(Search!$C$6="",Search!$C$6="All",D781=Search!$C$6),OR(Search!$C$7="",ISNUMBER(SEARCH(Search!$C$7,D781&amp;" "&amp;E781&amp;" "&amp;F781&amp;" "&amp;G781&amp;" "&amp;H781&amp;" "&amp;J781))),OR(Search!$C$8="",ISNUMBER(SEARCH(Search!$C$8,G781)))),1,0)</f>
        <v>1</v>
      </c>
      <c r="M781" s="15" t="n">
        <f aca="false">M780+L781</f>
        <v>780</v>
      </c>
    </row>
    <row r="782" customFormat="false" ht="15" hidden="false" customHeight="false" outlineLevel="0" collapsed="false">
      <c r="A782" s="14" t="n">
        <v>781</v>
      </c>
      <c r="B782" s="15" t="s">
        <v>370</v>
      </c>
      <c r="C782" s="15" t="s">
        <v>335</v>
      </c>
      <c r="D782" s="16" t="s">
        <v>627</v>
      </c>
      <c r="E782" s="16"/>
      <c r="F782" s="15"/>
      <c r="G782" s="15" t="s">
        <v>160</v>
      </c>
      <c r="H782" s="15" t="s">
        <v>380</v>
      </c>
      <c r="I782" s="17" t="n">
        <v>1280.1</v>
      </c>
      <c r="J782" s="16"/>
      <c r="K782" s="15" t="s">
        <v>372</v>
      </c>
      <c r="L782" s="15" t="n">
        <f aca="false">IF(AND(OR(Search!$C$4="",Search!$C$4="All",B782=Search!$C$4),OR(Search!$C$5="",Search!$C$5="All",C782=Search!$C$5),OR(Search!$C$6="",Search!$C$6="All",D782=Search!$C$6),OR(Search!$C$7="",ISNUMBER(SEARCH(Search!$C$7,D782&amp;" "&amp;E782&amp;" "&amp;F782&amp;" "&amp;G782&amp;" "&amp;H782&amp;" "&amp;J782))),OR(Search!$C$8="",ISNUMBER(SEARCH(Search!$C$8,G782)))),1,0)</f>
        <v>1</v>
      </c>
      <c r="M782" s="15" t="n">
        <f aca="false">M781+L782</f>
        <v>781</v>
      </c>
    </row>
    <row r="783" customFormat="false" ht="15" hidden="false" customHeight="false" outlineLevel="0" collapsed="false">
      <c r="A783" s="14" t="n">
        <v>782</v>
      </c>
      <c r="B783" s="15" t="s">
        <v>370</v>
      </c>
      <c r="C783" s="15" t="s">
        <v>335</v>
      </c>
      <c r="D783" s="16" t="s">
        <v>628</v>
      </c>
      <c r="E783" s="16"/>
      <c r="F783" s="15"/>
      <c r="G783" s="15" t="s">
        <v>160</v>
      </c>
      <c r="H783" s="15" t="s">
        <v>203</v>
      </c>
      <c r="I783" s="17" t="n">
        <v>16.83</v>
      </c>
      <c r="J783" s="16"/>
      <c r="K783" s="15" t="s">
        <v>372</v>
      </c>
      <c r="L783" s="15" t="n">
        <f aca="false">IF(AND(OR(Search!$C$4="",Search!$C$4="All",B783=Search!$C$4),OR(Search!$C$5="",Search!$C$5="All",C783=Search!$C$5),OR(Search!$C$6="",Search!$C$6="All",D783=Search!$C$6),OR(Search!$C$7="",ISNUMBER(SEARCH(Search!$C$7,D783&amp;" "&amp;E783&amp;" "&amp;F783&amp;" "&amp;G783&amp;" "&amp;H783&amp;" "&amp;J783))),OR(Search!$C$8="",ISNUMBER(SEARCH(Search!$C$8,G783)))),1,0)</f>
        <v>1</v>
      </c>
      <c r="M783" s="15" t="n">
        <f aca="false">M782+L783</f>
        <v>782</v>
      </c>
    </row>
    <row r="784" customFormat="false" ht="15" hidden="false" customHeight="false" outlineLevel="0" collapsed="false">
      <c r="A784" s="14" t="n">
        <v>783</v>
      </c>
      <c r="B784" s="15" t="s">
        <v>370</v>
      </c>
      <c r="C784" s="15" t="s">
        <v>335</v>
      </c>
      <c r="D784" s="16" t="s">
        <v>629</v>
      </c>
      <c r="E784" s="16"/>
      <c r="F784" s="15"/>
      <c r="G784" s="15" t="s">
        <v>160</v>
      </c>
      <c r="H784" s="15" t="s">
        <v>203</v>
      </c>
      <c r="I784" s="17" t="n">
        <v>41.78</v>
      </c>
      <c r="J784" s="16"/>
      <c r="K784" s="15" t="s">
        <v>372</v>
      </c>
      <c r="L784" s="15" t="n">
        <f aca="false">IF(AND(OR(Search!$C$4="",Search!$C$4="All",B784=Search!$C$4),OR(Search!$C$5="",Search!$C$5="All",C784=Search!$C$5),OR(Search!$C$6="",Search!$C$6="All",D784=Search!$C$6),OR(Search!$C$7="",ISNUMBER(SEARCH(Search!$C$7,D784&amp;" "&amp;E784&amp;" "&amp;F784&amp;" "&amp;G784&amp;" "&amp;H784&amp;" "&amp;J784))),OR(Search!$C$8="",ISNUMBER(SEARCH(Search!$C$8,G784)))),1,0)</f>
        <v>1</v>
      </c>
      <c r="M784" s="15" t="n">
        <f aca="false">M783+L784</f>
        <v>783</v>
      </c>
    </row>
    <row r="785" customFormat="false" ht="23.85" hidden="false" customHeight="false" outlineLevel="0" collapsed="false">
      <c r="A785" s="14" t="n">
        <v>784</v>
      </c>
      <c r="B785" s="15" t="s">
        <v>370</v>
      </c>
      <c r="C785" s="15" t="s">
        <v>335</v>
      </c>
      <c r="D785" s="16" t="s">
        <v>630</v>
      </c>
      <c r="E785" s="16"/>
      <c r="F785" s="15"/>
      <c r="G785" s="15" t="s">
        <v>443</v>
      </c>
      <c r="H785" s="15" t="s">
        <v>631</v>
      </c>
      <c r="I785" s="17" t="n">
        <v>480.81</v>
      </c>
      <c r="J785" s="16" t="s">
        <v>384</v>
      </c>
      <c r="K785" s="15" t="s">
        <v>372</v>
      </c>
      <c r="L785" s="15" t="n">
        <f aca="false">IF(AND(OR(Search!$C$4="",Search!$C$4="All",B785=Search!$C$4),OR(Search!$C$5="",Search!$C$5="All",C785=Search!$C$5),OR(Search!$C$6="",Search!$C$6="All",D785=Search!$C$6),OR(Search!$C$7="",ISNUMBER(SEARCH(Search!$C$7,D785&amp;" "&amp;E785&amp;" "&amp;F785&amp;" "&amp;G785&amp;" "&amp;H785&amp;" "&amp;J785))),OR(Search!$C$8="",ISNUMBER(SEARCH(Search!$C$8,G785)))),1,0)</f>
        <v>1</v>
      </c>
      <c r="M785" s="15" t="n">
        <f aca="false">M784+L785</f>
        <v>784</v>
      </c>
    </row>
    <row r="786" customFormat="false" ht="15" hidden="false" customHeight="false" outlineLevel="0" collapsed="false">
      <c r="A786" s="14" t="n">
        <v>785</v>
      </c>
      <c r="B786" s="15" t="s">
        <v>370</v>
      </c>
      <c r="C786" s="15" t="s">
        <v>335</v>
      </c>
      <c r="D786" s="16" t="s">
        <v>632</v>
      </c>
      <c r="E786" s="16" t="s">
        <v>633</v>
      </c>
      <c r="F786" s="15"/>
      <c r="G786" s="15" t="s">
        <v>443</v>
      </c>
      <c r="H786" s="15" t="s">
        <v>631</v>
      </c>
      <c r="I786" s="17" t="n">
        <v>670.4</v>
      </c>
      <c r="J786" s="16"/>
      <c r="K786" s="15" t="s">
        <v>372</v>
      </c>
      <c r="L786" s="15" t="n">
        <f aca="false">IF(AND(OR(Search!$C$4="",Search!$C$4="All",B786=Search!$C$4),OR(Search!$C$5="",Search!$C$5="All",C786=Search!$C$5),OR(Search!$C$6="",Search!$C$6="All",D786=Search!$C$6),OR(Search!$C$7="",ISNUMBER(SEARCH(Search!$C$7,D786&amp;" "&amp;E786&amp;" "&amp;F786&amp;" "&amp;G786&amp;" "&amp;H786&amp;" "&amp;J786))),OR(Search!$C$8="",ISNUMBER(SEARCH(Search!$C$8,G786)))),1,0)</f>
        <v>1</v>
      </c>
      <c r="M786" s="15" t="n">
        <f aca="false">M785+L786</f>
        <v>785</v>
      </c>
    </row>
    <row r="787" customFormat="false" ht="15" hidden="false" customHeight="false" outlineLevel="0" collapsed="false">
      <c r="A787" s="14" t="n">
        <v>786</v>
      </c>
      <c r="B787" s="15" t="s">
        <v>370</v>
      </c>
      <c r="C787" s="15" t="s">
        <v>335</v>
      </c>
      <c r="D787" s="16" t="s">
        <v>634</v>
      </c>
      <c r="E787" s="16" t="s">
        <v>635</v>
      </c>
      <c r="F787" s="15"/>
      <c r="G787" s="15" t="s">
        <v>443</v>
      </c>
      <c r="H787" s="15" t="s">
        <v>536</v>
      </c>
      <c r="I787" s="17" t="n">
        <v>838.13</v>
      </c>
      <c r="J787" s="16"/>
      <c r="K787" s="15" t="s">
        <v>372</v>
      </c>
      <c r="L787" s="15" t="n">
        <f aca="false">IF(AND(OR(Search!$C$4="",Search!$C$4="All",B787=Search!$C$4),OR(Search!$C$5="",Search!$C$5="All",C787=Search!$C$5),OR(Search!$C$6="",Search!$C$6="All",D787=Search!$C$6),OR(Search!$C$7="",ISNUMBER(SEARCH(Search!$C$7,D787&amp;" "&amp;E787&amp;" "&amp;F787&amp;" "&amp;G787&amp;" "&amp;H787&amp;" "&amp;J787))),OR(Search!$C$8="",ISNUMBER(SEARCH(Search!$C$8,G787)))),1,0)</f>
        <v>1</v>
      </c>
      <c r="M787" s="15" t="n">
        <f aca="false">M786+L787</f>
        <v>786</v>
      </c>
    </row>
    <row r="788" customFormat="false" ht="15" hidden="false" customHeight="false" outlineLevel="0" collapsed="false">
      <c r="A788" s="14" t="n">
        <v>787</v>
      </c>
      <c r="B788" s="15" t="s">
        <v>370</v>
      </c>
      <c r="C788" s="15" t="s">
        <v>335</v>
      </c>
      <c r="D788" s="16" t="s">
        <v>636</v>
      </c>
      <c r="E788" s="16" t="s">
        <v>637</v>
      </c>
      <c r="F788" s="15"/>
      <c r="G788" s="15" t="s">
        <v>443</v>
      </c>
      <c r="H788" s="15" t="s">
        <v>631</v>
      </c>
      <c r="I788" s="17" t="n">
        <v>114.44</v>
      </c>
      <c r="J788" s="16" t="s">
        <v>384</v>
      </c>
      <c r="K788" s="15" t="s">
        <v>372</v>
      </c>
      <c r="L788" s="15" t="n">
        <f aca="false">IF(AND(OR(Search!$C$4="",Search!$C$4="All",B788=Search!$C$4),OR(Search!$C$5="",Search!$C$5="All",C788=Search!$C$5),OR(Search!$C$6="",Search!$C$6="All",D788=Search!$C$6),OR(Search!$C$7="",ISNUMBER(SEARCH(Search!$C$7,D788&amp;" "&amp;E788&amp;" "&amp;F788&amp;" "&amp;G788&amp;" "&amp;H788&amp;" "&amp;J788))),OR(Search!$C$8="",ISNUMBER(SEARCH(Search!$C$8,G788)))),1,0)</f>
        <v>1</v>
      </c>
      <c r="M788" s="15" t="n">
        <f aca="false">M787+L788</f>
        <v>787</v>
      </c>
    </row>
    <row r="789" customFormat="false" ht="15" hidden="false" customHeight="false" outlineLevel="0" collapsed="false">
      <c r="A789" s="14" t="n">
        <v>788</v>
      </c>
      <c r="B789" s="15" t="s">
        <v>370</v>
      </c>
      <c r="C789" s="15" t="s">
        <v>335</v>
      </c>
      <c r="D789" s="16" t="s">
        <v>636</v>
      </c>
      <c r="E789" s="16" t="s">
        <v>638</v>
      </c>
      <c r="F789" s="15"/>
      <c r="G789" s="15" t="s">
        <v>443</v>
      </c>
      <c r="H789" s="15" t="s">
        <v>631</v>
      </c>
      <c r="I789" s="17" t="n">
        <v>138.01</v>
      </c>
      <c r="J789" s="16" t="s">
        <v>384</v>
      </c>
      <c r="K789" s="15" t="s">
        <v>372</v>
      </c>
      <c r="L789" s="15" t="n">
        <f aca="false">IF(AND(OR(Search!$C$4="",Search!$C$4="All",B789=Search!$C$4),OR(Search!$C$5="",Search!$C$5="All",C789=Search!$C$5),OR(Search!$C$6="",Search!$C$6="All",D789=Search!$C$6),OR(Search!$C$7="",ISNUMBER(SEARCH(Search!$C$7,D789&amp;" "&amp;E789&amp;" "&amp;F789&amp;" "&amp;G789&amp;" "&amp;H789&amp;" "&amp;J789))),OR(Search!$C$8="",ISNUMBER(SEARCH(Search!$C$8,G789)))),1,0)</f>
        <v>1</v>
      </c>
      <c r="M789" s="15" t="n">
        <f aca="false">M788+L789</f>
        <v>788</v>
      </c>
    </row>
    <row r="790" customFormat="false" ht="15" hidden="false" customHeight="false" outlineLevel="0" collapsed="false">
      <c r="A790" s="14" t="n">
        <v>789</v>
      </c>
      <c r="B790" s="15" t="s">
        <v>639</v>
      </c>
      <c r="C790" s="15" t="s">
        <v>640</v>
      </c>
      <c r="D790" s="16" t="s">
        <v>641</v>
      </c>
      <c r="E790" s="16" t="s">
        <v>642</v>
      </c>
      <c r="F790" s="15" t="s">
        <v>643</v>
      </c>
      <c r="G790" s="15" t="s">
        <v>644</v>
      </c>
      <c r="H790" s="15" t="s">
        <v>203</v>
      </c>
      <c r="I790" s="17" t="n">
        <v>14</v>
      </c>
      <c r="J790" s="16" t="s">
        <v>645</v>
      </c>
      <c r="K790" s="15" t="s">
        <v>646</v>
      </c>
      <c r="L790" s="15" t="n">
        <f aca="false">IF(AND(OR(Search!$C$4="",Search!$C$4="All",B790=Search!$C$4),OR(Search!$C$5="",Search!$C$5="All",C790=Search!$C$5),OR(Search!$C$6="",Search!$C$6="All",D790=Search!$C$6),OR(Search!$C$7="",ISNUMBER(SEARCH(Search!$C$7,D790&amp;" "&amp;E790&amp;" "&amp;F790&amp;" "&amp;G790&amp;" "&amp;H790&amp;" "&amp;J790))),OR(Search!$C$8="",ISNUMBER(SEARCH(Search!$C$8,G790)))),1,0)</f>
        <v>1</v>
      </c>
      <c r="M790" s="15" t="n">
        <f aca="false">M789+L790</f>
        <v>789</v>
      </c>
    </row>
    <row r="791" customFormat="false" ht="15" hidden="false" customHeight="false" outlineLevel="0" collapsed="false">
      <c r="A791" s="14" t="n">
        <v>790</v>
      </c>
      <c r="B791" s="15" t="s">
        <v>639</v>
      </c>
      <c r="C791" s="15" t="s">
        <v>640</v>
      </c>
      <c r="D791" s="16" t="s">
        <v>641</v>
      </c>
      <c r="E791" s="16" t="s">
        <v>642</v>
      </c>
      <c r="F791" s="15" t="s">
        <v>647</v>
      </c>
      <c r="G791" s="15" t="s">
        <v>644</v>
      </c>
      <c r="H791" s="15" t="s">
        <v>203</v>
      </c>
      <c r="I791" s="17" t="n">
        <v>19</v>
      </c>
      <c r="J791" s="16" t="s">
        <v>645</v>
      </c>
      <c r="K791" s="15" t="s">
        <v>646</v>
      </c>
      <c r="L791" s="15" t="n">
        <f aca="false">IF(AND(OR(Search!$C$4="",Search!$C$4="All",B791=Search!$C$4),OR(Search!$C$5="",Search!$C$5="All",C791=Search!$C$5),OR(Search!$C$6="",Search!$C$6="All",D791=Search!$C$6),OR(Search!$C$7="",ISNUMBER(SEARCH(Search!$C$7,D791&amp;" "&amp;E791&amp;" "&amp;F791&amp;" "&amp;G791&amp;" "&amp;H791&amp;" "&amp;J791))),OR(Search!$C$8="",ISNUMBER(SEARCH(Search!$C$8,G791)))),1,0)</f>
        <v>1</v>
      </c>
      <c r="M791" s="15" t="n">
        <f aca="false">M790+L791</f>
        <v>790</v>
      </c>
    </row>
    <row r="792" customFormat="false" ht="15" hidden="false" customHeight="false" outlineLevel="0" collapsed="false">
      <c r="A792" s="14" t="n">
        <v>791</v>
      </c>
      <c r="B792" s="15" t="s">
        <v>639</v>
      </c>
      <c r="C792" s="15" t="s">
        <v>640</v>
      </c>
      <c r="D792" s="16" t="s">
        <v>641</v>
      </c>
      <c r="E792" s="16" t="s">
        <v>642</v>
      </c>
      <c r="F792" s="15" t="s">
        <v>648</v>
      </c>
      <c r="G792" s="15" t="s">
        <v>644</v>
      </c>
      <c r="H792" s="15" t="s">
        <v>203</v>
      </c>
      <c r="I792" s="17" t="n">
        <v>26</v>
      </c>
      <c r="J792" s="16" t="s">
        <v>645</v>
      </c>
      <c r="K792" s="15" t="s">
        <v>646</v>
      </c>
      <c r="L792" s="15" t="n">
        <f aca="false">IF(AND(OR(Search!$C$4="",Search!$C$4="All",B792=Search!$C$4),OR(Search!$C$5="",Search!$C$5="All",C792=Search!$C$5),OR(Search!$C$6="",Search!$C$6="All",D792=Search!$C$6),OR(Search!$C$7="",ISNUMBER(SEARCH(Search!$C$7,D792&amp;" "&amp;E792&amp;" "&amp;F792&amp;" "&amp;G792&amp;" "&amp;H792&amp;" "&amp;J792))),OR(Search!$C$8="",ISNUMBER(SEARCH(Search!$C$8,G792)))),1,0)</f>
        <v>1</v>
      </c>
      <c r="M792" s="15" t="n">
        <f aca="false">M791+L792</f>
        <v>791</v>
      </c>
    </row>
    <row r="793" customFormat="false" ht="15" hidden="false" customHeight="false" outlineLevel="0" collapsed="false">
      <c r="A793" s="14" t="n">
        <v>792</v>
      </c>
      <c r="B793" s="15" t="s">
        <v>639</v>
      </c>
      <c r="C793" s="15" t="s">
        <v>640</v>
      </c>
      <c r="D793" s="16" t="s">
        <v>641</v>
      </c>
      <c r="E793" s="16" t="s">
        <v>642</v>
      </c>
      <c r="F793" s="15" t="s">
        <v>649</v>
      </c>
      <c r="G793" s="15" t="s">
        <v>644</v>
      </c>
      <c r="H793" s="15" t="s">
        <v>203</v>
      </c>
      <c r="I793" s="17" t="n">
        <v>35</v>
      </c>
      <c r="J793" s="16" t="s">
        <v>645</v>
      </c>
      <c r="K793" s="15" t="s">
        <v>646</v>
      </c>
      <c r="L793" s="15" t="n">
        <f aca="false">IF(AND(OR(Search!$C$4="",Search!$C$4="All",B793=Search!$C$4),OR(Search!$C$5="",Search!$C$5="All",C793=Search!$C$5),OR(Search!$C$6="",Search!$C$6="All",D793=Search!$C$6),OR(Search!$C$7="",ISNUMBER(SEARCH(Search!$C$7,D793&amp;" "&amp;E793&amp;" "&amp;F793&amp;" "&amp;G793&amp;" "&amp;H793&amp;" "&amp;J793))),OR(Search!$C$8="",ISNUMBER(SEARCH(Search!$C$8,G793)))),1,0)</f>
        <v>1</v>
      </c>
      <c r="M793" s="15" t="n">
        <f aca="false">M792+L793</f>
        <v>792</v>
      </c>
    </row>
    <row r="794" customFormat="false" ht="15" hidden="false" customHeight="false" outlineLevel="0" collapsed="false">
      <c r="A794" s="14" t="n">
        <v>793</v>
      </c>
      <c r="B794" s="15" t="s">
        <v>639</v>
      </c>
      <c r="C794" s="15" t="s">
        <v>640</v>
      </c>
      <c r="D794" s="16" t="s">
        <v>641</v>
      </c>
      <c r="E794" s="16" t="s">
        <v>642</v>
      </c>
      <c r="F794" s="15" t="s">
        <v>650</v>
      </c>
      <c r="G794" s="15" t="s">
        <v>644</v>
      </c>
      <c r="H794" s="15" t="s">
        <v>203</v>
      </c>
      <c r="I794" s="17" t="n">
        <v>43</v>
      </c>
      <c r="J794" s="16" t="s">
        <v>645</v>
      </c>
      <c r="K794" s="15" t="s">
        <v>646</v>
      </c>
      <c r="L794" s="15" t="n">
        <f aca="false">IF(AND(OR(Search!$C$4="",Search!$C$4="All",B794=Search!$C$4),OR(Search!$C$5="",Search!$C$5="All",C794=Search!$C$5),OR(Search!$C$6="",Search!$C$6="All",D794=Search!$C$6),OR(Search!$C$7="",ISNUMBER(SEARCH(Search!$C$7,D794&amp;" "&amp;E794&amp;" "&amp;F794&amp;" "&amp;G794&amp;" "&amp;H794&amp;" "&amp;J794))),OR(Search!$C$8="",ISNUMBER(SEARCH(Search!$C$8,G794)))),1,0)</f>
        <v>1</v>
      </c>
      <c r="M794" s="15" t="n">
        <f aca="false">M793+L794</f>
        <v>793</v>
      </c>
    </row>
    <row r="795" customFormat="false" ht="15" hidden="false" customHeight="false" outlineLevel="0" collapsed="false">
      <c r="A795" s="14" t="n">
        <v>794</v>
      </c>
      <c r="B795" s="15" t="s">
        <v>639</v>
      </c>
      <c r="C795" s="15" t="s">
        <v>640</v>
      </c>
      <c r="D795" s="16" t="s">
        <v>641</v>
      </c>
      <c r="E795" s="16" t="s">
        <v>642</v>
      </c>
      <c r="F795" s="15" t="s">
        <v>651</v>
      </c>
      <c r="G795" s="15" t="s">
        <v>644</v>
      </c>
      <c r="H795" s="15" t="s">
        <v>203</v>
      </c>
      <c r="I795" s="17" t="n">
        <v>50</v>
      </c>
      <c r="J795" s="16" t="s">
        <v>645</v>
      </c>
      <c r="K795" s="15" t="s">
        <v>646</v>
      </c>
      <c r="L795" s="15" t="n">
        <f aca="false">IF(AND(OR(Search!$C$4="",Search!$C$4="All",B795=Search!$C$4),OR(Search!$C$5="",Search!$C$5="All",C795=Search!$C$5),OR(Search!$C$6="",Search!$C$6="All",D795=Search!$C$6),OR(Search!$C$7="",ISNUMBER(SEARCH(Search!$C$7,D795&amp;" "&amp;E795&amp;" "&amp;F795&amp;" "&amp;G795&amp;" "&amp;H795&amp;" "&amp;J795))),OR(Search!$C$8="",ISNUMBER(SEARCH(Search!$C$8,G795)))),1,0)</f>
        <v>1</v>
      </c>
      <c r="M795" s="15" t="n">
        <f aca="false">M794+L795</f>
        <v>794</v>
      </c>
    </row>
    <row r="796" customFormat="false" ht="15" hidden="false" customHeight="false" outlineLevel="0" collapsed="false">
      <c r="A796" s="14" t="n">
        <v>795</v>
      </c>
      <c r="B796" s="15" t="s">
        <v>639</v>
      </c>
      <c r="C796" s="15" t="s">
        <v>640</v>
      </c>
      <c r="D796" s="16" t="s">
        <v>652</v>
      </c>
      <c r="E796" s="16" t="s">
        <v>653</v>
      </c>
      <c r="F796" s="15" t="s">
        <v>187</v>
      </c>
      <c r="G796" s="15" t="s">
        <v>654</v>
      </c>
      <c r="H796" s="15" t="s">
        <v>203</v>
      </c>
      <c r="I796" s="17" t="n">
        <v>24</v>
      </c>
      <c r="J796" s="16" t="s">
        <v>655</v>
      </c>
      <c r="K796" s="15" t="s">
        <v>646</v>
      </c>
      <c r="L796" s="15" t="n">
        <f aca="false">IF(AND(OR(Search!$C$4="",Search!$C$4="All",B796=Search!$C$4),OR(Search!$C$5="",Search!$C$5="All",C796=Search!$C$5),OR(Search!$C$6="",Search!$C$6="All",D796=Search!$C$6),OR(Search!$C$7="",ISNUMBER(SEARCH(Search!$C$7,D796&amp;" "&amp;E796&amp;" "&amp;F796&amp;" "&amp;G796&amp;" "&amp;H796&amp;" "&amp;J796))),OR(Search!$C$8="",ISNUMBER(SEARCH(Search!$C$8,G796)))),1,0)</f>
        <v>1</v>
      </c>
      <c r="M796" s="15" t="n">
        <f aca="false">M795+L796</f>
        <v>795</v>
      </c>
    </row>
    <row r="797" customFormat="false" ht="15" hidden="false" customHeight="false" outlineLevel="0" collapsed="false">
      <c r="A797" s="14" t="n">
        <v>796</v>
      </c>
      <c r="B797" s="15" t="s">
        <v>639</v>
      </c>
      <c r="C797" s="15" t="s">
        <v>640</v>
      </c>
      <c r="D797" s="16" t="s">
        <v>652</v>
      </c>
      <c r="E797" s="16" t="s">
        <v>656</v>
      </c>
      <c r="F797" s="15" t="s">
        <v>657</v>
      </c>
      <c r="G797" s="15" t="s">
        <v>658</v>
      </c>
      <c r="H797" s="15" t="s">
        <v>203</v>
      </c>
      <c r="I797" s="17" t="n">
        <v>34</v>
      </c>
      <c r="J797" s="16" t="s">
        <v>655</v>
      </c>
      <c r="K797" s="15" t="s">
        <v>646</v>
      </c>
      <c r="L797" s="15" t="n">
        <f aca="false">IF(AND(OR(Search!$C$4="",Search!$C$4="All",B797=Search!$C$4),OR(Search!$C$5="",Search!$C$5="All",C797=Search!$C$5),OR(Search!$C$6="",Search!$C$6="All",D797=Search!$C$6),OR(Search!$C$7="",ISNUMBER(SEARCH(Search!$C$7,D797&amp;" "&amp;E797&amp;" "&amp;F797&amp;" "&amp;G797&amp;" "&amp;H797&amp;" "&amp;J797))),OR(Search!$C$8="",ISNUMBER(SEARCH(Search!$C$8,G797)))),1,0)</f>
        <v>1</v>
      </c>
      <c r="M797" s="15" t="n">
        <f aca="false">M796+L797</f>
        <v>796</v>
      </c>
    </row>
    <row r="798" customFormat="false" ht="15" hidden="false" customHeight="false" outlineLevel="0" collapsed="false">
      <c r="A798" s="14" t="n">
        <v>797</v>
      </c>
      <c r="B798" s="15" t="s">
        <v>639</v>
      </c>
      <c r="C798" s="15" t="s">
        <v>640</v>
      </c>
      <c r="D798" s="16" t="s">
        <v>652</v>
      </c>
      <c r="E798" s="16" t="s">
        <v>659</v>
      </c>
      <c r="F798" s="15" t="s">
        <v>288</v>
      </c>
      <c r="G798" s="15" t="s">
        <v>660</v>
      </c>
      <c r="H798" s="15" t="s">
        <v>203</v>
      </c>
      <c r="I798" s="17" t="n">
        <v>42</v>
      </c>
      <c r="J798" s="16" t="s">
        <v>655</v>
      </c>
      <c r="K798" s="15" t="s">
        <v>646</v>
      </c>
      <c r="L798" s="15" t="n">
        <f aca="false">IF(AND(OR(Search!$C$4="",Search!$C$4="All",B798=Search!$C$4),OR(Search!$C$5="",Search!$C$5="All",C798=Search!$C$5),OR(Search!$C$6="",Search!$C$6="All",D798=Search!$C$6),OR(Search!$C$7="",ISNUMBER(SEARCH(Search!$C$7,D798&amp;" "&amp;E798&amp;" "&amp;F798&amp;" "&amp;G798&amp;" "&amp;H798&amp;" "&amp;J798))),OR(Search!$C$8="",ISNUMBER(SEARCH(Search!$C$8,G798)))),1,0)</f>
        <v>1</v>
      </c>
      <c r="M798" s="15" t="n">
        <f aca="false">M797+L798</f>
        <v>797</v>
      </c>
    </row>
    <row r="799" customFormat="false" ht="15" hidden="false" customHeight="false" outlineLevel="0" collapsed="false">
      <c r="A799" s="14" t="n">
        <v>798</v>
      </c>
      <c r="B799" s="15" t="s">
        <v>639</v>
      </c>
      <c r="C799" s="15" t="s">
        <v>640</v>
      </c>
      <c r="D799" s="16" t="s">
        <v>652</v>
      </c>
      <c r="E799" s="16" t="s">
        <v>659</v>
      </c>
      <c r="F799" s="15" t="s">
        <v>661</v>
      </c>
      <c r="G799" s="15" t="s">
        <v>660</v>
      </c>
      <c r="H799" s="15" t="s">
        <v>203</v>
      </c>
      <c r="I799" s="17" t="n">
        <v>62</v>
      </c>
      <c r="J799" s="16" t="s">
        <v>655</v>
      </c>
      <c r="K799" s="15" t="s">
        <v>646</v>
      </c>
      <c r="L799" s="15" t="n">
        <f aca="false">IF(AND(OR(Search!$C$4="",Search!$C$4="All",B799=Search!$C$4),OR(Search!$C$5="",Search!$C$5="All",C799=Search!$C$5),OR(Search!$C$6="",Search!$C$6="All",D799=Search!$C$6),OR(Search!$C$7="",ISNUMBER(SEARCH(Search!$C$7,D799&amp;" "&amp;E799&amp;" "&amp;F799&amp;" "&amp;G799&amp;" "&amp;H799&amp;" "&amp;J799))),OR(Search!$C$8="",ISNUMBER(SEARCH(Search!$C$8,G799)))),1,0)</f>
        <v>1</v>
      </c>
      <c r="M799" s="15" t="n">
        <f aca="false">M798+L799</f>
        <v>798</v>
      </c>
    </row>
    <row r="800" customFormat="false" ht="15" hidden="false" customHeight="false" outlineLevel="0" collapsed="false">
      <c r="A800" s="14" t="n">
        <v>799</v>
      </c>
      <c r="B800" s="15" t="s">
        <v>639</v>
      </c>
      <c r="C800" s="15" t="s">
        <v>640</v>
      </c>
      <c r="D800" s="16" t="s">
        <v>652</v>
      </c>
      <c r="E800" s="16" t="s">
        <v>656</v>
      </c>
      <c r="F800" s="15" t="s">
        <v>662</v>
      </c>
      <c r="G800" s="15" t="s">
        <v>654</v>
      </c>
      <c r="H800" s="15" t="s">
        <v>203</v>
      </c>
      <c r="I800" s="17" t="n">
        <v>69</v>
      </c>
      <c r="J800" s="16" t="s">
        <v>655</v>
      </c>
      <c r="K800" s="15" t="s">
        <v>646</v>
      </c>
      <c r="L800" s="15" t="n">
        <f aca="false">IF(AND(OR(Search!$C$4="",Search!$C$4="All",B800=Search!$C$4),OR(Search!$C$5="",Search!$C$5="All",C800=Search!$C$5),OR(Search!$C$6="",Search!$C$6="All",D800=Search!$C$6),OR(Search!$C$7="",ISNUMBER(SEARCH(Search!$C$7,D800&amp;" "&amp;E800&amp;" "&amp;F800&amp;" "&amp;G800&amp;" "&amp;H800&amp;" "&amp;J800))),OR(Search!$C$8="",ISNUMBER(SEARCH(Search!$C$8,G800)))),1,0)</f>
        <v>1</v>
      </c>
      <c r="M800" s="15" t="n">
        <f aca="false">M799+L800</f>
        <v>799</v>
      </c>
    </row>
    <row r="801" customFormat="false" ht="15" hidden="false" customHeight="false" outlineLevel="0" collapsed="false">
      <c r="A801" s="14" t="n">
        <v>800</v>
      </c>
      <c r="B801" s="15" t="s">
        <v>639</v>
      </c>
      <c r="C801" s="15" t="s">
        <v>640</v>
      </c>
      <c r="D801" s="16" t="s">
        <v>652</v>
      </c>
      <c r="E801" s="16" t="s">
        <v>653</v>
      </c>
      <c r="F801" s="15" t="s">
        <v>663</v>
      </c>
      <c r="G801" s="15" t="s">
        <v>664</v>
      </c>
      <c r="H801" s="15" t="s">
        <v>203</v>
      </c>
      <c r="I801" s="17" t="n">
        <v>79</v>
      </c>
      <c r="J801" s="16" t="s">
        <v>655</v>
      </c>
      <c r="K801" s="15" t="s">
        <v>646</v>
      </c>
      <c r="L801" s="15" t="n">
        <f aca="false">IF(AND(OR(Search!$C$4="",Search!$C$4="All",B801=Search!$C$4),OR(Search!$C$5="",Search!$C$5="All",C801=Search!$C$5),OR(Search!$C$6="",Search!$C$6="All",D801=Search!$C$6),OR(Search!$C$7="",ISNUMBER(SEARCH(Search!$C$7,D801&amp;" "&amp;E801&amp;" "&amp;F801&amp;" "&amp;G801&amp;" "&amp;H801&amp;" "&amp;J801))),OR(Search!$C$8="",ISNUMBER(SEARCH(Search!$C$8,G801)))),1,0)</f>
        <v>1</v>
      </c>
      <c r="M801" s="15" t="n">
        <f aca="false">M800+L801</f>
        <v>800</v>
      </c>
    </row>
    <row r="802" customFormat="false" ht="15" hidden="false" customHeight="false" outlineLevel="0" collapsed="false">
      <c r="A802" s="14" t="n">
        <v>801</v>
      </c>
      <c r="B802" s="15" t="s">
        <v>639</v>
      </c>
      <c r="C802" s="15" t="s">
        <v>640</v>
      </c>
      <c r="D802" s="16" t="s">
        <v>665</v>
      </c>
      <c r="E802" s="16" t="s">
        <v>666</v>
      </c>
      <c r="F802" s="15" t="s">
        <v>192</v>
      </c>
      <c r="G802" s="15" t="s">
        <v>660</v>
      </c>
      <c r="H802" s="15" t="s">
        <v>203</v>
      </c>
      <c r="I802" s="17" t="n">
        <v>47</v>
      </c>
      <c r="J802" s="16" t="s">
        <v>655</v>
      </c>
      <c r="K802" s="15" t="s">
        <v>646</v>
      </c>
      <c r="L802" s="15" t="n">
        <f aca="false">IF(AND(OR(Search!$C$4="",Search!$C$4="All",B802=Search!$C$4),OR(Search!$C$5="",Search!$C$5="All",C802=Search!$C$5),OR(Search!$C$6="",Search!$C$6="All",D802=Search!$C$6),OR(Search!$C$7="",ISNUMBER(SEARCH(Search!$C$7,D802&amp;" "&amp;E802&amp;" "&amp;F802&amp;" "&amp;G802&amp;" "&amp;H802&amp;" "&amp;J802))),OR(Search!$C$8="",ISNUMBER(SEARCH(Search!$C$8,G802)))),1,0)</f>
        <v>1</v>
      </c>
      <c r="M802" s="15" t="n">
        <f aca="false">M801+L802</f>
        <v>801</v>
      </c>
    </row>
    <row r="803" customFormat="false" ht="15" hidden="false" customHeight="false" outlineLevel="0" collapsed="false">
      <c r="A803" s="14" t="n">
        <v>802</v>
      </c>
      <c r="B803" s="15" t="s">
        <v>639</v>
      </c>
      <c r="C803" s="15" t="s">
        <v>640</v>
      </c>
      <c r="D803" s="16" t="s">
        <v>665</v>
      </c>
      <c r="E803" s="16" t="s">
        <v>666</v>
      </c>
      <c r="F803" s="15" t="s">
        <v>667</v>
      </c>
      <c r="G803" s="15" t="s">
        <v>660</v>
      </c>
      <c r="H803" s="15" t="s">
        <v>203</v>
      </c>
      <c r="I803" s="17" t="n">
        <v>95</v>
      </c>
      <c r="J803" s="16" t="s">
        <v>655</v>
      </c>
      <c r="K803" s="15" t="s">
        <v>646</v>
      </c>
      <c r="L803" s="15" t="n">
        <f aca="false">IF(AND(OR(Search!$C$4="",Search!$C$4="All",B803=Search!$C$4),OR(Search!$C$5="",Search!$C$5="All",C803=Search!$C$5),OR(Search!$C$6="",Search!$C$6="All",D803=Search!$C$6),OR(Search!$C$7="",ISNUMBER(SEARCH(Search!$C$7,D803&amp;" "&amp;E803&amp;" "&amp;F803&amp;" "&amp;G803&amp;" "&amp;H803&amp;" "&amp;J803))),OR(Search!$C$8="",ISNUMBER(SEARCH(Search!$C$8,G803)))),1,0)</f>
        <v>1</v>
      </c>
      <c r="M803" s="15" t="n">
        <f aca="false">M802+L803</f>
        <v>802</v>
      </c>
    </row>
    <row r="804" customFormat="false" ht="35.05" hidden="false" customHeight="false" outlineLevel="0" collapsed="false">
      <c r="A804" s="14" t="n">
        <v>803</v>
      </c>
      <c r="B804" s="15" t="s">
        <v>639</v>
      </c>
      <c r="C804" s="15" t="s">
        <v>640</v>
      </c>
      <c r="D804" s="16" t="s">
        <v>668</v>
      </c>
      <c r="E804" s="16" t="s">
        <v>669</v>
      </c>
      <c r="F804" s="15" t="s">
        <v>289</v>
      </c>
      <c r="G804" s="15" t="s">
        <v>670</v>
      </c>
      <c r="H804" s="15" t="s">
        <v>203</v>
      </c>
      <c r="I804" s="17" t="n">
        <v>42</v>
      </c>
      <c r="J804" s="16" t="s">
        <v>655</v>
      </c>
      <c r="K804" s="15" t="s">
        <v>646</v>
      </c>
      <c r="L804" s="15" t="n">
        <f aca="false">IF(AND(OR(Search!$C$4="",Search!$C$4="All",B804=Search!$C$4),OR(Search!$C$5="",Search!$C$5="All",C804=Search!$C$5),OR(Search!$C$6="",Search!$C$6="All",D804=Search!$C$6),OR(Search!$C$7="",ISNUMBER(SEARCH(Search!$C$7,D804&amp;" "&amp;E804&amp;" "&amp;F804&amp;" "&amp;G804&amp;" "&amp;H804&amp;" "&amp;J804))),OR(Search!$C$8="",ISNUMBER(SEARCH(Search!$C$8,G804)))),1,0)</f>
        <v>1</v>
      </c>
      <c r="M804" s="15" t="n">
        <f aca="false">M803+L804</f>
        <v>803</v>
      </c>
    </row>
    <row r="805" customFormat="false" ht="35.05" hidden="false" customHeight="false" outlineLevel="0" collapsed="false">
      <c r="A805" s="14" t="n">
        <v>804</v>
      </c>
      <c r="B805" s="15" t="s">
        <v>639</v>
      </c>
      <c r="C805" s="15" t="s">
        <v>640</v>
      </c>
      <c r="D805" s="16" t="s">
        <v>668</v>
      </c>
      <c r="E805" s="16" t="s">
        <v>669</v>
      </c>
      <c r="F805" s="15" t="s">
        <v>289</v>
      </c>
      <c r="G805" s="15" t="s">
        <v>671</v>
      </c>
      <c r="H805" s="15" t="s">
        <v>203</v>
      </c>
      <c r="I805" s="17" t="n">
        <v>21</v>
      </c>
      <c r="J805" s="16" t="s">
        <v>655</v>
      </c>
      <c r="K805" s="15" t="s">
        <v>646</v>
      </c>
      <c r="L805" s="15" t="n">
        <f aca="false">IF(AND(OR(Search!$C$4="",Search!$C$4="All",B805=Search!$C$4),OR(Search!$C$5="",Search!$C$5="All",C805=Search!$C$5),OR(Search!$C$6="",Search!$C$6="All",D805=Search!$C$6),OR(Search!$C$7="",ISNUMBER(SEARCH(Search!$C$7,D805&amp;" "&amp;E805&amp;" "&amp;F805&amp;" "&amp;G805&amp;" "&amp;H805&amp;" "&amp;J805))),OR(Search!$C$8="",ISNUMBER(SEARCH(Search!$C$8,G805)))),1,0)</f>
        <v>1</v>
      </c>
      <c r="M805" s="15" t="n">
        <f aca="false">M804+L805</f>
        <v>804</v>
      </c>
    </row>
    <row r="806" customFormat="false" ht="15" hidden="false" customHeight="false" outlineLevel="0" collapsed="false">
      <c r="A806" s="14" t="n">
        <v>805</v>
      </c>
      <c r="B806" s="15" t="s">
        <v>639</v>
      </c>
      <c r="C806" s="15" t="s">
        <v>640</v>
      </c>
      <c r="D806" s="16" t="s">
        <v>668</v>
      </c>
      <c r="E806" s="16" t="s">
        <v>672</v>
      </c>
      <c r="F806" s="15" t="s">
        <v>289</v>
      </c>
      <c r="G806" s="15" t="s">
        <v>673</v>
      </c>
      <c r="H806" s="15" t="s">
        <v>203</v>
      </c>
      <c r="I806" s="17" t="n">
        <v>51</v>
      </c>
      <c r="J806" s="16" t="s">
        <v>655</v>
      </c>
      <c r="K806" s="15" t="s">
        <v>646</v>
      </c>
      <c r="L806" s="15" t="n">
        <f aca="false">IF(AND(OR(Search!$C$4="",Search!$C$4="All",B806=Search!$C$4),OR(Search!$C$5="",Search!$C$5="All",C806=Search!$C$5),OR(Search!$C$6="",Search!$C$6="All",D806=Search!$C$6),OR(Search!$C$7="",ISNUMBER(SEARCH(Search!$C$7,D806&amp;" "&amp;E806&amp;" "&amp;F806&amp;" "&amp;G806&amp;" "&amp;H806&amp;" "&amp;J806))),OR(Search!$C$8="",ISNUMBER(SEARCH(Search!$C$8,G806)))),1,0)</f>
        <v>1</v>
      </c>
      <c r="M806" s="15" t="n">
        <f aca="false">M805+L806</f>
        <v>805</v>
      </c>
    </row>
    <row r="807" customFormat="false" ht="15" hidden="false" customHeight="false" outlineLevel="0" collapsed="false">
      <c r="A807" s="14" t="n">
        <v>806</v>
      </c>
      <c r="B807" s="15" t="s">
        <v>639</v>
      </c>
      <c r="C807" s="15" t="s">
        <v>640</v>
      </c>
      <c r="D807" s="16" t="s">
        <v>674</v>
      </c>
      <c r="E807" s="16" t="s">
        <v>675</v>
      </c>
      <c r="F807" s="15" t="s">
        <v>643</v>
      </c>
      <c r="G807" s="15" t="s">
        <v>164</v>
      </c>
      <c r="H807" s="15" t="s">
        <v>203</v>
      </c>
      <c r="I807" s="17" t="n">
        <v>16</v>
      </c>
      <c r="J807" s="16" t="s">
        <v>655</v>
      </c>
      <c r="K807" s="15" t="s">
        <v>646</v>
      </c>
      <c r="L807" s="15" t="n">
        <f aca="false">IF(AND(OR(Search!$C$4="",Search!$C$4="All",B807=Search!$C$4),OR(Search!$C$5="",Search!$C$5="All",C807=Search!$C$5),OR(Search!$C$6="",Search!$C$6="All",D807=Search!$C$6),OR(Search!$C$7="",ISNUMBER(SEARCH(Search!$C$7,D807&amp;" "&amp;E807&amp;" "&amp;F807&amp;" "&amp;G807&amp;" "&amp;H807&amp;" "&amp;J807))),OR(Search!$C$8="",ISNUMBER(SEARCH(Search!$C$8,G807)))),1,0)</f>
        <v>1</v>
      </c>
      <c r="M807" s="15" t="n">
        <f aca="false">M806+L807</f>
        <v>806</v>
      </c>
    </row>
    <row r="808" customFormat="false" ht="15" hidden="false" customHeight="false" outlineLevel="0" collapsed="false">
      <c r="A808" s="14" t="n">
        <v>807</v>
      </c>
      <c r="B808" s="15" t="s">
        <v>639</v>
      </c>
      <c r="C808" s="15" t="s">
        <v>640</v>
      </c>
      <c r="D808" s="16" t="s">
        <v>674</v>
      </c>
      <c r="E808" s="16" t="s">
        <v>675</v>
      </c>
      <c r="F808" s="15" t="s">
        <v>676</v>
      </c>
      <c r="G808" s="15" t="s">
        <v>164</v>
      </c>
      <c r="H808" s="15" t="s">
        <v>203</v>
      </c>
      <c r="I808" s="17" t="n">
        <v>30</v>
      </c>
      <c r="J808" s="16" t="s">
        <v>655</v>
      </c>
      <c r="K808" s="15" t="s">
        <v>646</v>
      </c>
      <c r="L808" s="15" t="n">
        <f aca="false">IF(AND(OR(Search!$C$4="",Search!$C$4="All",B808=Search!$C$4),OR(Search!$C$5="",Search!$C$5="All",C808=Search!$C$5),OR(Search!$C$6="",Search!$C$6="All",D808=Search!$C$6),OR(Search!$C$7="",ISNUMBER(SEARCH(Search!$C$7,D808&amp;" "&amp;E808&amp;" "&amp;F808&amp;" "&amp;G808&amp;" "&amp;H808&amp;" "&amp;J808))),OR(Search!$C$8="",ISNUMBER(SEARCH(Search!$C$8,G808)))),1,0)</f>
        <v>1</v>
      </c>
      <c r="M808" s="15" t="n">
        <f aca="false">M807+L808</f>
        <v>807</v>
      </c>
    </row>
    <row r="809" customFormat="false" ht="15" hidden="false" customHeight="false" outlineLevel="0" collapsed="false">
      <c r="A809" s="14" t="n">
        <v>808</v>
      </c>
      <c r="B809" s="15" t="s">
        <v>639</v>
      </c>
      <c r="C809" s="15" t="s">
        <v>640</v>
      </c>
      <c r="D809" s="16" t="s">
        <v>677</v>
      </c>
      <c r="E809" s="16" t="s">
        <v>678</v>
      </c>
      <c r="F809" s="15" t="s">
        <v>192</v>
      </c>
      <c r="G809" s="15" t="s">
        <v>406</v>
      </c>
      <c r="H809" s="15" t="s">
        <v>203</v>
      </c>
      <c r="I809" s="17" t="n">
        <v>30</v>
      </c>
      <c r="J809" s="16" t="s">
        <v>655</v>
      </c>
      <c r="K809" s="15" t="s">
        <v>646</v>
      </c>
      <c r="L809" s="15" t="n">
        <f aca="false">IF(AND(OR(Search!$C$4="",Search!$C$4="All",B809=Search!$C$4),OR(Search!$C$5="",Search!$C$5="All",C809=Search!$C$5),OR(Search!$C$6="",Search!$C$6="All",D809=Search!$C$6),OR(Search!$C$7="",ISNUMBER(SEARCH(Search!$C$7,D809&amp;" "&amp;E809&amp;" "&amp;F809&amp;" "&amp;G809&amp;" "&amp;H809&amp;" "&amp;J809))),OR(Search!$C$8="",ISNUMBER(SEARCH(Search!$C$8,G809)))),1,0)</f>
        <v>1</v>
      </c>
      <c r="M809" s="15" t="n">
        <f aca="false">M808+L809</f>
        <v>808</v>
      </c>
    </row>
    <row r="810" customFormat="false" ht="15" hidden="false" customHeight="false" outlineLevel="0" collapsed="false">
      <c r="A810" s="14" t="n">
        <v>809</v>
      </c>
      <c r="B810" s="15" t="s">
        <v>639</v>
      </c>
      <c r="C810" s="15" t="s">
        <v>640</v>
      </c>
      <c r="D810" s="16" t="s">
        <v>677</v>
      </c>
      <c r="E810" s="16" t="s">
        <v>678</v>
      </c>
      <c r="F810" s="15" t="s">
        <v>649</v>
      </c>
      <c r="G810" s="15" t="s">
        <v>406</v>
      </c>
      <c r="H810" s="15" t="s">
        <v>203</v>
      </c>
      <c r="I810" s="17" t="n">
        <v>48</v>
      </c>
      <c r="J810" s="16" t="s">
        <v>655</v>
      </c>
      <c r="K810" s="15" t="s">
        <v>646</v>
      </c>
      <c r="L810" s="15" t="n">
        <f aca="false">IF(AND(OR(Search!$C$4="",Search!$C$4="All",B810=Search!$C$4),OR(Search!$C$5="",Search!$C$5="All",C810=Search!$C$5),OR(Search!$C$6="",Search!$C$6="All",D810=Search!$C$6),OR(Search!$C$7="",ISNUMBER(SEARCH(Search!$C$7,D810&amp;" "&amp;E810&amp;" "&amp;F810&amp;" "&amp;G810&amp;" "&amp;H810&amp;" "&amp;J810))),OR(Search!$C$8="",ISNUMBER(SEARCH(Search!$C$8,G810)))),1,0)</f>
        <v>1</v>
      </c>
      <c r="M810" s="15" t="n">
        <f aca="false">M809+L810</f>
        <v>809</v>
      </c>
    </row>
    <row r="811" customFormat="false" ht="15" hidden="false" customHeight="false" outlineLevel="0" collapsed="false">
      <c r="A811" s="14" t="n">
        <v>810</v>
      </c>
      <c r="B811" s="15" t="s">
        <v>639</v>
      </c>
      <c r="C811" s="15" t="s">
        <v>640</v>
      </c>
      <c r="D811" s="16" t="s">
        <v>679</v>
      </c>
      <c r="E811" s="16" t="s">
        <v>680</v>
      </c>
      <c r="F811" s="15" t="s">
        <v>192</v>
      </c>
      <c r="G811" s="15" t="s">
        <v>406</v>
      </c>
      <c r="H811" s="15" t="s">
        <v>203</v>
      </c>
      <c r="I811" s="17" t="n">
        <v>30</v>
      </c>
      <c r="J811" s="16" t="s">
        <v>655</v>
      </c>
      <c r="K811" s="15" t="s">
        <v>646</v>
      </c>
      <c r="L811" s="15" t="n">
        <f aca="false">IF(AND(OR(Search!$C$4="",Search!$C$4="All",B811=Search!$C$4),OR(Search!$C$5="",Search!$C$5="All",C811=Search!$C$5),OR(Search!$C$6="",Search!$C$6="All",D811=Search!$C$6),OR(Search!$C$7="",ISNUMBER(SEARCH(Search!$C$7,D811&amp;" "&amp;E811&amp;" "&amp;F811&amp;" "&amp;G811&amp;" "&amp;H811&amp;" "&amp;J811))),OR(Search!$C$8="",ISNUMBER(SEARCH(Search!$C$8,G811)))),1,0)</f>
        <v>1</v>
      </c>
      <c r="M811" s="15" t="n">
        <f aca="false">M810+L811</f>
        <v>810</v>
      </c>
    </row>
    <row r="812" customFormat="false" ht="15" hidden="false" customHeight="false" outlineLevel="0" collapsed="false">
      <c r="A812" s="14" t="n">
        <v>811</v>
      </c>
      <c r="B812" s="15" t="s">
        <v>639</v>
      </c>
      <c r="C812" s="15" t="s">
        <v>640</v>
      </c>
      <c r="D812" s="16" t="s">
        <v>679</v>
      </c>
      <c r="E812" s="16" t="s">
        <v>680</v>
      </c>
      <c r="F812" s="15" t="s">
        <v>649</v>
      </c>
      <c r="G812" s="15" t="s">
        <v>406</v>
      </c>
      <c r="H812" s="15" t="s">
        <v>203</v>
      </c>
      <c r="I812" s="17" t="n">
        <v>48</v>
      </c>
      <c r="J812" s="16" t="s">
        <v>655</v>
      </c>
      <c r="K812" s="15" t="s">
        <v>646</v>
      </c>
      <c r="L812" s="15" t="n">
        <f aca="false">IF(AND(OR(Search!$C$4="",Search!$C$4="All",B812=Search!$C$4),OR(Search!$C$5="",Search!$C$5="All",C812=Search!$C$5),OR(Search!$C$6="",Search!$C$6="All",D812=Search!$C$6),OR(Search!$C$7="",ISNUMBER(SEARCH(Search!$C$7,D812&amp;" "&amp;E812&amp;" "&amp;F812&amp;" "&amp;G812&amp;" "&amp;H812&amp;" "&amp;J812))),OR(Search!$C$8="",ISNUMBER(SEARCH(Search!$C$8,G812)))),1,0)</f>
        <v>1</v>
      </c>
      <c r="M812" s="15" t="n">
        <f aca="false">M811+L812</f>
        <v>811</v>
      </c>
    </row>
    <row r="813" customFormat="false" ht="15" hidden="false" customHeight="false" outlineLevel="0" collapsed="false">
      <c r="A813" s="14" t="n">
        <v>812</v>
      </c>
      <c r="B813" s="15" t="s">
        <v>639</v>
      </c>
      <c r="C813" s="15" t="s">
        <v>640</v>
      </c>
      <c r="D813" s="16" t="s">
        <v>681</v>
      </c>
      <c r="E813" s="16" t="s">
        <v>682</v>
      </c>
      <c r="F813" s="15" t="s">
        <v>683</v>
      </c>
      <c r="G813" s="15" t="s">
        <v>173</v>
      </c>
      <c r="H813" s="15" t="s">
        <v>203</v>
      </c>
      <c r="I813" s="17" t="n">
        <v>11.75</v>
      </c>
      <c r="J813" s="16" t="s">
        <v>655</v>
      </c>
      <c r="K813" s="15" t="s">
        <v>646</v>
      </c>
      <c r="L813" s="15" t="n">
        <f aca="false">IF(AND(OR(Search!$C$4="",Search!$C$4="All",B813=Search!$C$4),OR(Search!$C$5="",Search!$C$5="All",C813=Search!$C$5),OR(Search!$C$6="",Search!$C$6="All",D813=Search!$C$6),OR(Search!$C$7="",ISNUMBER(SEARCH(Search!$C$7,D813&amp;" "&amp;E813&amp;" "&amp;F813&amp;" "&amp;G813&amp;" "&amp;H813&amp;" "&amp;J813))),OR(Search!$C$8="",ISNUMBER(SEARCH(Search!$C$8,G813)))),1,0)</f>
        <v>1</v>
      </c>
      <c r="M813" s="15" t="n">
        <f aca="false">M812+L813</f>
        <v>812</v>
      </c>
    </row>
    <row r="814" customFormat="false" ht="15" hidden="false" customHeight="false" outlineLevel="0" collapsed="false">
      <c r="A814" s="14" t="n">
        <v>813</v>
      </c>
      <c r="B814" s="15" t="s">
        <v>639</v>
      </c>
      <c r="C814" s="15" t="s">
        <v>640</v>
      </c>
      <c r="D814" s="16" t="s">
        <v>681</v>
      </c>
      <c r="E814" s="16" t="s">
        <v>682</v>
      </c>
      <c r="F814" s="15" t="s">
        <v>192</v>
      </c>
      <c r="G814" s="15" t="s">
        <v>173</v>
      </c>
      <c r="H814" s="15" t="s">
        <v>203</v>
      </c>
      <c r="I814" s="17" t="n">
        <v>15</v>
      </c>
      <c r="J814" s="16" t="s">
        <v>655</v>
      </c>
      <c r="K814" s="15" t="s">
        <v>646</v>
      </c>
      <c r="L814" s="15" t="n">
        <f aca="false">IF(AND(OR(Search!$C$4="",Search!$C$4="All",B814=Search!$C$4),OR(Search!$C$5="",Search!$C$5="All",C814=Search!$C$5),OR(Search!$C$6="",Search!$C$6="All",D814=Search!$C$6),OR(Search!$C$7="",ISNUMBER(SEARCH(Search!$C$7,D814&amp;" "&amp;E814&amp;" "&amp;F814&amp;" "&amp;G814&amp;" "&amp;H814&amp;" "&amp;J814))),OR(Search!$C$8="",ISNUMBER(SEARCH(Search!$C$8,G814)))),1,0)</f>
        <v>1</v>
      </c>
      <c r="M814" s="15" t="n">
        <f aca="false">M813+L814</f>
        <v>813</v>
      </c>
    </row>
    <row r="815" customFormat="false" ht="15" hidden="false" customHeight="false" outlineLevel="0" collapsed="false">
      <c r="A815" s="14" t="n">
        <v>814</v>
      </c>
      <c r="B815" s="15" t="s">
        <v>639</v>
      </c>
      <c r="C815" s="15" t="s">
        <v>640</v>
      </c>
      <c r="D815" s="16" t="s">
        <v>681</v>
      </c>
      <c r="E815" s="16" t="s">
        <v>682</v>
      </c>
      <c r="F815" s="15" t="s">
        <v>287</v>
      </c>
      <c r="G815" s="15" t="s">
        <v>173</v>
      </c>
      <c r="H815" s="15" t="s">
        <v>203</v>
      </c>
      <c r="I815" s="17" t="n">
        <v>19.5</v>
      </c>
      <c r="J815" s="16" t="s">
        <v>655</v>
      </c>
      <c r="K815" s="15" t="s">
        <v>646</v>
      </c>
      <c r="L815" s="15" t="n">
        <f aca="false">IF(AND(OR(Search!$C$4="",Search!$C$4="All",B815=Search!$C$4),OR(Search!$C$5="",Search!$C$5="All",C815=Search!$C$5),OR(Search!$C$6="",Search!$C$6="All",D815=Search!$C$6),OR(Search!$C$7="",ISNUMBER(SEARCH(Search!$C$7,D815&amp;" "&amp;E815&amp;" "&amp;F815&amp;" "&amp;G815&amp;" "&amp;H815&amp;" "&amp;J815))),OR(Search!$C$8="",ISNUMBER(SEARCH(Search!$C$8,G815)))),1,0)</f>
        <v>1</v>
      </c>
      <c r="M815" s="15" t="n">
        <f aca="false">M814+L815</f>
        <v>814</v>
      </c>
    </row>
    <row r="816" customFormat="false" ht="15" hidden="false" customHeight="false" outlineLevel="0" collapsed="false">
      <c r="A816" s="14" t="n">
        <v>815</v>
      </c>
      <c r="B816" s="15" t="s">
        <v>639</v>
      </c>
      <c r="C816" s="15" t="s">
        <v>640</v>
      </c>
      <c r="D816" s="16" t="s">
        <v>681</v>
      </c>
      <c r="E816" s="16" t="s">
        <v>682</v>
      </c>
      <c r="F816" s="15" t="s">
        <v>649</v>
      </c>
      <c r="G816" s="15" t="s">
        <v>497</v>
      </c>
      <c r="H816" s="15" t="s">
        <v>203</v>
      </c>
      <c r="I816" s="17" t="n">
        <v>27.75</v>
      </c>
      <c r="J816" s="16" t="s">
        <v>655</v>
      </c>
      <c r="K816" s="15" t="s">
        <v>646</v>
      </c>
      <c r="L816" s="15" t="n">
        <f aca="false">IF(AND(OR(Search!$C$4="",Search!$C$4="All",B816=Search!$C$4),OR(Search!$C$5="",Search!$C$5="All",C816=Search!$C$5),OR(Search!$C$6="",Search!$C$6="All",D816=Search!$C$6),OR(Search!$C$7="",ISNUMBER(SEARCH(Search!$C$7,D816&amp;" "&amp;E816&amp;" "&amp;F816&amp;" "&amp;G816&amp;" "&amp;H816&amp;" "&amp;J816))),OR(Search!$C$8="",ISNUMBER(SEARCH(Search!$C$8,G816)))),1,0)</f>
        <v>1</v>
      </c>
      <c r="M816" s="15" t="n">
        <f aca="false">M815+L816</f>
        <v>815</v>
      </c>
    </row>
    <row r="817" customFormat="false" ht="15" hidden="false" customHeight="false" outlineLevel="0" collapsed="false">
      <c r="A817" s="14" t="n">
        <v>816</v>
      </c>
      <c r="B817" s="15" t="s">
        <v>639</v>
      </c>
      <c r="C817" s="15" t="s">
        <v>640</v>
      </c>
      <c r="D817" s="16" t="s">
        <v>681</v>
      </c>
      <c r="E817" s="16" t="s">
        <v>682</v>
      </c>
      <c r="F817" s="15" t="s">
        <v>661</v>
      </c>
      <c r="G817" s="15" t="s">
        <v>497</v>
      </c>
      <c r="H817" s="15" t="s">
        <v>203</v>
      </c>
      <c r="I817" s="17" t="n">
        <v>31.5</v>
      </c>
      <c r="J817" s="16" t="s">
        <v>655</v>
      </c>
      <c r="K817" s="15" t="s">
        <v>646</v>
      </c>
      <c r="L817" s="15" t="n">
        <f aca="false">IF(AND(OR(Search!$C$4="",Search!$C$4="All",B817=Search!$C$4),OR(Search!$C$5="",Search!$C$5="All",C817=Search!$C$5),OR(Search!$C$6="",Search!$C$6="All",D817=Search!$C$6),OR(Search!$C$7="",ISNUMBER(SEARCH(Search!$C$7,D817&amp;" "&amp;E817&amp;" "&amp;F817&amp;" "&amp;G817&amp;" "&amp;H817&amp;" "&amp;J817))),OR(Search!$C$8="",ISNUMBER(SEARCH(Search!$C$8,G817)))),1,0)</f>
        <v>1</v>
      </c>
      <c r="M817" s="15" t="n">
        <f aca="false">M816+L817</f>
        <v>816</v>
      </c>
    </row>
    <row r="818" customFormat="false" ht="15" hidden="false" customHeight="false" outlineLevel="0" collapsed="false">
      <c r="A818" s="14" t="n">
        <v>817</v>
      </c>
      <c r="B818" s="15" t="s">
        <v>639</v>
      </c>
      <c r="C818" s="15" t="s">
        <v>640</v>
      </c>
      <c r="D818" s="16" t="s">
        <v>681</v>
      </c>
      <c r="E818" s="16" t="s">
        <v>682</v>
      </c>
      <c r="F818" s="15" t="s">
        <v>667</v>
      </c>
      <c r="G818" s="15" t="s">
        <v>497</v>
      </c>
      <c r="H818" s="15" t="s">
        <v>203</v>
      </c>
      <c r="I818" s="17" t="n">
        <v>38.25</v>
      </c>
      <c r="J818" s="16" t="s">
        <v>655</v>
      </c>
      <c r="K818" s="15" t="s">
        <v>646</v>
      </c>
      <c r="L818" s="15" t="n">
        <f aca="false">IF(AND(OR(Search!$C$4="",Search!$C$4="All",B818=Search!$C$4),OR(Search!$C$5="",Search!$C$5="All",C818=Search!$C$5),OR(Search!$C$6="",Search!$C$6="All",D818=Search!$C$6),OR(Search!$C$7="",ISNUMBER(SEARCH(Search!$C$7,D818&amp;" "&amp;E818&amp;" "&amp;F818&amp;" "&amp;G818&amp;" "&amp;H818&amp;" "&amp;J818))),OR(Search!$C$8="",ISNUMBER(SEARCH(Search!$C$8,G818)))),1,0)</f>
        <v>1</v>
      </c>
      <c r="M818" s="15" t="n">
        <f aca="false">M817+L818</f>
        <v>817</v>
      </c>
    </row>
    <row r="819" customFormat="false" ht="15" hidden="false" customHeight="false" outlineLevel="0" collapsed="false">
      <c r="A819" s="14" t="n">
        <v>818</v>
      </c>
      <c r="B819" s="15" t="s">
        <v>639</v>
      </c>
      <c r="C819" s="15" t="s">
        <v>640</v>
      </c>
      <c r="D819" s="16" t="s">
        <v>684</v>
      </c>
      <c r="E819" s="16" t="s">
        <v>685</v>
      </c>
      <c r="F819" s="15" t="s">
        <v>686</v>
      </c>
      <c r="G819" s="15" t="s">
        <v>687</v>
      </c>
      <c r="H819" s="15" t="s">
        <v>203</v>
      </c>
      <c r="I819" s="17" t="n">
        <v>20</v>
      </c>
      <c r="J819" s="16" t="s">
        <v>655</v>
      </c>
      <c r="K819" s="15" t="s">
        <v>646</v>
      </c>
      <c r="L819" s="15" t="n">
        <f aca="false">IF(AND(OR(Search!$C$4="",Search!$C$4="All",B819=Search!$C$4),OR(Search!$C$5="",Search!$C$5="All",C819=Search!$C$5),OR(Search!$C$6="",Search!$C$6="All",D819=Search!$C$6),OR(Search!$C$7="",ISNUMBER(SEARCH(Search!$C$7,D819&amp;" "&amp;E819&amp;" "&amp;F819&amp;" "&amp;G819&amp;" "&amp;H819&amp;" "&amp;J819))),OR(Search!$C$8="",ISNUMBER(SEARCH(Search!$C$8,G819)))),1,0)</f>
        <v>1</v>
      </c>
      <c r="M819" s="15" t="n">
        <f aca="false">M818+L819</f>
        <v>818</v>
      </c>
    </row>
    <row r="820" customFormat="false" ht="15" hidden="false" customHeight="false" outlineLevel="0" collapsed="false">
      <c r="A820" s="14" t="n">
        <v>819</v>
      </c>
      <c r="B820" s="15" t="s">
        <v>639</v>
      </c>
      <c r="C820" s="15" t="s">
        <v>640</v>
      </c>
      <c r="D820" s="16" t="s">
        <v>684</v>
      </c>
      <c r="E820" s="16" t="s">
        <v>688</v>
      </c>
      <c r="F820" s="15" t="s">
        <v>187</v>
      </c>
      <c r="G820" s="15" t="s">
        <v>687</v>
      </c>
      <c r="H820" s="15" t="s">
        <v>203</v>
      </c>
      <c r="I820" s="17" t="n">
        <v>24</v>
      </c>
      <c r="J820" s="16" t="s">
        <v>655</v>
      </c>
      <c r="K820" s="15" t="s">
        <v>646</v>
      </c>
      <c r="L820" s="15" t="n">
        <f aca="false">IF(AND(OR(Search!$C$4="",Search!$C$4="All",B820=Search!$C$4),OR(Search!$C$5="",Search!$C$5="All",C820=Search!$C$5),OR(Search!$C$6="",Search!$C$6="All",D820=Search!$C$6),OR(Search!$C$7="",ISNUMBER(SEARCH(Search!$C$7,D820&amp;" "&amp;E820&amp;" "&amp;F820&amp;" "&amp;G820&amp;" "&amp;H820&amp;" "&amp;J820))),OR(Search!$C$8="",ISNUMBER(SEARCH(Search!$C$8,G820)))),1,0)</f>
        <v>1</v>
      </c>
      <c r="M820" s="15" t="n">
        <f aca="false">M819+L820</f>
        <v>819</v>
      </c>
    </row>
    <row r="821" customFormat="false" ht="15" hidden="false" customHeight="false" outlineLevel="0" collapsed="false">
      <c r="A821" s="14" t="n">
        <v>820</v>
      </c>
      <c r="B821" s="15" t="s">
        <v>639</v>
      </c>
      <c r="C821" s="15" t="s">
        <v>640</v>
      </c>
      <c r="D821" s="16" t="s">
        <v>684</v>
      </c>
      <c r="E821" s="16" t="s">
        <v>685</v>
      </c>
      <c r="F821" s="15" t="s">
        <v>192</v>
      </c>
      <c r="G821" s="15" t="s">
        <v>687</v>
      </c>
      <c r="H821" s="15" t="s">
        <v>203</v>
      </c>
      <c r="I821" s="17" t="n">
        <v>30</v>
      </c>
      <c r="J821" s="16" t="s">
        <v>655</v>
      </c>
      <c r="K821" s="15" t="s">
        <v>646</v>
      </c>
      <c r="L821" s="15" t="n">
        <f aca="false">IF(AND(OR(Search!$C$4="",Search!$C$4="All",B821=Search!$C$4),OR(Search!$C$5="",Search!$C$5="All",C821=Search!$C$5),OR(Search!$C$6="",Search!$C$6="All",D821=Search!$C$6),OR(Search!$C$7="",ISNUMBER(SEARCH(Search!$C$7,D821&amp;" "&amp;E821&amp;" "&amp;F821&amp;" "&amp;G821&amp;" "&amp;H821&amp;" "&amp;J821))),OR(Search!$C$8="",ISNUMBER(SEARCH(Search!$C$8,G821)))),1,0)</f>
        <v>1</v>
      </c>
      <c r="M821" s="15" t="n">
        <f aca="false">M820+L821</f>
        <v>820</v>
      </c>
    </row>
    <row r="822" customFormat="false" ht="15" hidden="false" customHeight="false" outlineLevel="0" collapsed="false">
      <c r="A822" s="14" t="n">
        <v>821</v>
      </c>
      <c r="B822" s="15" t="s">
        <v>639</v>
      </c>
      <c r="C822" s="15" t="s">
        <v>640</v>
      </c>
      <c r="D822" s="16" t="s">
        <v>684</v>
      </c>
      <c r="E822" s="16" t="s">
        <v>689</v>
      </c>
      <c r="F822" s="15" t="s">
        <v>192</v>
      </c>
      <c r="G822" s="15" t="s">
        <v>654</v>
      </c>
      <c r="H822" s="15" t="s">
        <v>203</v>
      </c>
      <c r="I822" s="17" t="n">
        <v>66</v>
      </c>
      <c r="J822" s="16" t="s">
        <v>655</v>
      </c>
      <c r="K822" s="15" t="s">
        <v>646</v>
      </c>
      <c r="L822" s="15" t="n">
        <f aca="false">IF(AND(OR(Search!$C$4="",Search!$C$4="All",B822=Search!$C$4),OR(Search!$C$5="",Search!$C$5="All",C822=Search!$C$5),OR(Search!$C$6="",Search!$C$6="All",D822=Search!$C$6),OR(Search!$C$7="",ISNUMBER(SEARCH(Search!$C$7,D822&amp;" "&amp;E822&amp;" "&amp;F822&amp;" "&amp;G822&amp;" "&amp;H822&amp;" "&amp;J822))),OR(Search!$C$8="",ISNUMBER(SEARCH(Search!$C$8,G822)))),1,0)</f>
        <v>1</v>
      </c>
      <c r="M822" s="15" t="n">
        <f aca="false">M821+L822</f>
        <v>821</v>
      </c>
    </row>
    <row r="823" customFormat="false" ht="15" hidden="false" customHeight="false" outlineLevel="0" collapsed="false">
      <c r="A823" s="14" t="n">
        <v>822</v>
      </c>
      <c r="B823" s="15" t="s">
        <v>639</v>
      </c>
      <c r="C823" s="15" t="s">
        <v>640</v>
      </c>
      <c r="D823" s="16" t="s">
        <v>684</v>
      </c>
      <c r="E823" s="16" t="s">
        <v>690</v>
      </c>
      <c r="F823" s="15" t="s">
        <v>650</v>
      </c>
      <c r="G823" s="15" t="s">
        <v>654</v>
      </c>
      <c r="H823" s="15" t="s">
        <v>203</v>
      </c>
      <c r="I823" s="17" t="n">
        <v>138</v>
      </c>
      <c r="J823" s="16" t="s">
        <v>655</v>
      </c>
      <c r="K823" s="15" t="s">
        <v>646</v>
      </c>
      <c r="L823" s="15" t="n">
        <f aca="false">IF(AND(OR(Search!$C$4="",Search!$C$4="All",B823=Search!$C$4),OR(Search!$C$5="",Search!$C$5="All",C823=Search!$C$5),OR(Search!$C$6="",Search!$C$6="All",D823=Search!$C$6),OR(Search!$C$7="",ISNUMBER(SEARCH(Search!$C$7,D823&amp;" "&amp;E823&amp;" "&amp;F823&amp;" "&amp;G823&amp;" "&amp;H823&amp;" "&amp;J823))),OR(Search!$C$8="",ISNUMBER(SEARCH(Search!$C$8,G823)))),1,0)</f>
        <v>1</v>
      </c>
      <c r="M823" s="15" t="n">
        <f aca="false">M822+L823</f>
        <v>822</v>
      </c>
    </row>
    <row r="824" customFormat="false" ht="15" hidden="false" customHeight="false" outlineLevel="0" collapsed="false">
      <c r="A824" s="14" t="n">
        <v>823</v>
      </c>
      <c r="B824" s="15" t="s">
        <v>639</v>
      </c>
      <c r="C824" s="15" t="s">
        <v>640</v>
      </c>
      <c r="D824" s="16" t="s">
        <v>684</v>
      </c>
      <c r="E824" s="16" t="s">
        <v>691</v>
      </c>
      <c r="F824" s="15" t="s">
        <v>663</v>
      </c>
      <c r="G824" s="15" t="s">
        <v>654</v>
      </c>
      <c r="H824" s="15" t="s">
        <v>203</v>
      </c>
      <c r="I824" s="17" t="n">
        <v>180</v>
      </c>
      <c r="J824" s="16" t="s">
        <v>655</v>
      </c>
      <c r="K824" s="15" t="s">
        <v>646</v>
      </c>
      <c r="L824" s="15" t="n">
        <f aca="false">IF(AND(OR(Search!$C$4="",Search!$C$4="All",B824=Search!$C$4),OR(Search!$C$5="",Search!$C$5="All",C824=Search!$C$5),OR(Search!$C$6="",Search!$C$6="All",D824=Search!$C$6),OR(Search!$C$7="",ISNUMBER(SEARCH(Search!$C$7,D824&amp;" "&amp;E824&amp;" "&amp;F824&amp;" "&amp;G824&amp;" "&amp;H824&amp;" "&amp;J824))),OR(Search!$C$8="",ISNUMBER(SEARCH(Search!$C$8,G824)))),1,0)</f>
        <v>1</v>
      </c>
      <c r="M824" s="15" t="n">
        <f aca="false">M823+L824</f>
        <v>823</v>
      </c>
    </row>
    <row r="825" customFormat="false" ht="15" hidden="false" customHeight="false" outlineLevel="0" collapsed="false">
      <c r="A825" s="14" t="n">
        <v>824</v>
      </c>
      <c r="B825" s="15" t="s">
        <v>639</v>
      </c>
      <c r="C825" s="15" t="s">
        <v>640</v>
      </c>
      <c r="D825" s="16" t="s">
        <v>692</v>
      </c>
      <c r="E825" s="16" t="s">
        <v>693</v>
      </c>
      <c r="F825" s="15" t="s">
        <v>686</v>
      </c>
      <c r="G825" s="15" t="s">
        <v>164</v>
      </c>
      <c r="H825" s="15" t="s">
        <v>203</v>
      </c>
      <c r="I825" s="17" t="n">
        <v>31</v>
      </c>
      <c r="J825" s="16" t="s">
        <v>655</v>
      </c>
      <c r="K825" s="15" t="s">
        <v>646</v>
      </c>
      <c r="L825" s="15" t="n">
        <f aca="false">IF(AND(OR(Search!$C$4="",Search!$C$4="All",B825=Search!$C$4),OR(Search!$C$5="",Search!$C$5="All",C825=Search!$C$5),OR(Search!$C$6="",Search!$C$6="All",D825=Search!$C$6),OR(Search!$C$7="",ISNUMBER(SEARCH(Search!$C$7,D825&amp;" "&amp;E825&amp;" "&amp;F825&amp;" "&amp;G825&amp;" "&amp;H825&amp;" "&amp;J825))),OR(Search!$C$8="",ISNUMBER(SEARCH(Search!$C$8,G825)))),1,0)</f>
        <v>1</v>
      </c>
      <c r="M825" s="15" t="n">
        <f aca="false">M824+L825</f>
        <v>824</v>
      </c>
    </row>
    <row r="826" customFormat="false" ht="23.85" hidden="false" customHeight="false" outlineLevel="0" collapsed="false">
      <c r="A826" s="14" t="n">
        <v>825</v>
      </c>
      <c r="B826" s="15" t="s">
        <v>639</v>
      </c>
      <c r="C826" s="15" t="s">
        <v>640</v>
      </c>
      <c r="D826" s="16" t="s">
        <v>692</v>
      </c>
      <c r="E826" s="16" t="s">
        <v>694</v>
      </c>
      <c r="F826" s="15" t="s">
        <v>686</v>
      </c>
      <c r="G826" s="15" t="s">
        <v>687</v>
      </c>
      <c r="H826" s="15" t="s">
        <v>203</v>
      </c>
      <c r="I826" s="17" t="n">
        <v>20</v>
      </c>
      <c r="J826" s="16" t="s">
        <v>655</v>
      </c>
      <c r="K826" s="15" t="s">
        <v>646</v>
      </c>
      <c r="L826" s="15" t="n">
        <f aca="false">IF(AND(OR(Search!$C$4="",Search!$C$4="All",B826=Search!$C$4),OR(Search!$C$5="",Search!$C$5="All",C826=Search!$C$5),OR(Search!$C$6="",Search!$C$6="All",D826=Search!$C$6),OR(Search!$C$7="",ISNUMBER(SEARCH(Search!$C$7,D826&amp;" "&amp;E826&amp;" "&amp;F826&amp;" "&amp;G826&amp;" "&amp;H826&amp;" "&amp;J826))),OR(Search!$C$8="",ISNUMBER(SEARCH(Search!$C$8,G826)))),1,0)</f>
        <v>1</v>
      </c>
      <c r="M826" s="15" t="n">
        <f aca="false">M825+L826</f>
        <v>825</v>
      </c>
    </row>
    <row r="827" customFormat="false" ht="15" hidden="false" customHeight="false" outlineLevel="0" collapsed="false">
      <c r="A827" s="14" t="n">
        <v>826</v>
      </c>
      <c r="B827" s="15" t="s">
        <v>639</v>
      </c>
      <c r="C827" s="15" t="s">
        <v>640</v>
      </c>
      <c r="D827" s="16" t="s">
        <v>692</v>
      </c>
      <c r="E827" s="16" t="s">
        <v>695</v>
      </c>
      <c r="F827" s="15" t="s">
        <v>187</v>
      </c>
      <c r="G827" s="15" t="s">
        <v>687</v>
      </c>
      <c r="H827" s="15" t="s">
        <v>203</v>
      </c>
      <c r="I827" s="17" t="n">
        <v>24</v>
      </c>
      <c r="J827" s="16" t="s">
        <v>655</v>
      </c>
      <c r="K827" s="15" t="s">
        <v>646</v>
      </c>
      <c r="L827" s="15" t="n">
        <f aca="false">IF(AND(OR(Search!$C$4="",Search!$C$4="All",B827=Search!$C$4),OR(Search!$C$5="",Search!$C$5="All",C827=Search!$C$5),OR(Search!$C$6="",Search!$C$6="All",D827=Search!$C$6),OR(Search!$C$7="",ISNUMBER(SEARCH(Search!$C$7,D827&amp;" "&amp;E827&amp;" "&amp;F827&amp;" "&amp;G827&amp;" "&amp;H827&amp;" "&amp;J827))),OR(Search!$C$8="",ISNUMBER(SEARCH(Search!$C$8,G827)))),1,0)</f>
        <v>1</v>
      </c>
      <c r="M827" s="15" t="n">
        <f aca="false">M826+L827</f>
        <v>826</v>
      </c>
    </row>
    <row r="828" customFormat="false" ht="23.85" hidden="false" customHeight="false" outlineLevel="0" collapsed="false">
      <c r="A828" s="14" t="n">
        <v>827</v>
      </c>
      <c r="B828" s="15" t="s">
        <v>639</v>
      </c>
      <c r="C828" s="15" t="s">
        <v>640</v>
      </c>
      <c r="D828" s="16" t="s">
        <v>692</v>
      </c>
      <c r="E828" s="16" t="s">
        <v>696</v>
      </c>
      <c r="F828" s="15" t="s">
        <v>192</v>
      </c>
      <c r="G828" s="15" t="s">
        <v>687</v>
      </c>
      <c r="H828" s="15" t="s">
        <v>203</v>
      </c>
      <c r="I828" s="17" t="n">
        <v>30</v>
      </c>
      <c r="J828" s="16" t="s">
        <v>655</v>
      </c>
      <c r="K828" s="15" t="s">
        <v>646</v>
      </c>
      <c r="L828" s="15" t="n">
        <f aca="false">IF(AND(OR(Search!$C$4="",Search!$C$4="All",B828=Search!$C$4),OR(Search!$C$5="",Search!$C$5="All",C828=Search!$C$5),OR(Search!$C$6="",Search!$C$6="All",D828=Search!$C$6),OR(Search!$C$7="",ISNUMBER(SEARCH(Search!$C$7,D828&amp;" "&amp;E828&amp;" "&amp;F828&amp;" "&amp;G828&amp;" "&amp;H828&amp;" "&amp;J828))),OR(Search!$C$8="",ISNUMBER(SEARCH(Search!$C$8,G828)))),1,0)</f>
        <v>1</v>
      </c>
      <c r="M828" s="15" t="n">
        <f aca="false">M827+L828</f>
        <v>827</v>
      </c>
    </row>
    <row r="829" customFormat="false" ht="15" hidden="false" customHeight="false" outlineLevel="0" collapsed="false">
      <c r="A829" s="14" t="n">
        <v>828</v>
      </c>
      <c r="B829" s="15" t="s">
        <v>639</v>
      </c>
      <c r="C829" s="15" t="s">
        <v>640</v>
      </c>
      <c r="D829" s="16" t="s">
        <v>692</v>
      </c>
      <c r="E829" s="16" t="s">
        <v>695</v>
      </c>
      <c r="F829" s="15" t="s">
        <v>192</v>
      </c>
      <c r="G829" s="15" t="s">
        <v>697</v>
      </c>
      <c r="H829" s="15" t="s">
        <v>203</v>
      </c>
      <c r="I829" s="17" t="n">
        <v>25.5</v>
      </c>
      <c r="J829" s="16" t="s">
        <v>655</v>
      </c>
      <c r="K829" s="15" t="s">
        <v>646</v>
      </c>
      <c r="L829" s="15" t="n">
        <f aca="false">IF(AND(OR(Search!$C$4="",Search!$C$4="All",B829=Search!$C$4),OR(Search!$C$5="",Search!$C$5="All",C829=Search!$C$5),OR(Search!$C$6="",Search!$C$6="All",D829=Search!$C$6),OR(Search!$C$7="",ISNUMBER(SEARCH(Search!$C$7,D829&amp;" "&amp;E829&amp;" "&amp;F829&amp;" "&amp;G829&amp;" "&amp;H829&amp;" "&amp;J829))),OR(Search!$C$8="",ISNUMBER(SEARCH(Search!$C$8,G829)))),1,0)</f>
        <v>1</v>
      </c>
      <c r="M829" s="15" t="n">
        <f aca="false">M828+L829</f>
        <v>828</v>
      </c>
    </row>
    <row r="830" customFormat="false" ht="15" hidden="false" customHeight="false" outlineLevel="0" collapsed="false">
      <c r="A830" s="14" t="n">
        <v>829</v>
      </c>
      <c r="B830" s="15" t="s">
        <v>639</v>
      </c>
      <c r="C830" s="15" t="s">
        <v>640</v>
      </c>
      <c r="D830" s="16" t="s">
        <v>692</v>
      </c>
      <c r="E830" s="16" t="s">
        <v>698</v>
      </c>
      <c r="F830" s="15" t="s">
        <v>192</v>
      </c>
      <c r="G830" s="15" t="s">
        <v>699</v>
      </c>
      <c r="H830" s="15" t="s">
        <v>203</v>
      </c>
      <c r="I830" s="17" t="n">
        <v>64</v>
      </c>
      <c r="J830" s="16" t="s">
        <v>655</v>
      </c>
      <c r="K830" s="15" t="s">
        <v>646</v>
      </c>
      <c r="L830" s="15" t="n">
        <f aca="false">IF(AND(OR(Search!$C$4="",Search!$C$4="All",B830=Search!$C$4),OR(Search!$C$5="",Search!$C$5="All",C830=Search!$C$5),OR(Search!$C$6="",Search!$C$6="All",D830=Search!$C$6),OR(Search!$C$7="",ISNUMBER(SEARCH(Search!$C$7,D830&amp;" "&amp;E830&amp;" "&amp;F830&amp;" "&amp;G830&amp;" "&amp;H830&amp;" "&amp;J830))),OR(Search!$C$8="",ISNUMBER(SEARCH(Search!$C$8,G830)))),1,0)</f>
        <v>1</v>
      </c>
      <c r="M830" s="15" t="n">
        <f aca="false">M829+L830</f>
        <v>829</v>
      </c>
    </row>
    <row r="831" customFormat="false" ht="15" hidden="false" customHeight="false" outlineLevel="0" collapsed="false">
      <c r="A831" s="14" t="n">
        <v>830</v>
      </c>
      <c r="B831" s="15" t="s">
        <v>639</v>
      </c>
      <c r="C831" s="15" t="s">
        <v>640</v>
      </c>
      <c r="D831" s="16" t="s">
        <v>692</v>
      </c>
      <c r="E831" s="16" t="s">
        <v>685</v>
      </c>
      <c r="F831" s="15" t="s">
        <v>192</v>
      </c>
      <c r="G831" s="15" t="s">
        <v>654</v>
      </c>
      <c r="H831" s="15" t="s">
        <v>203</v>
      </c>
      <c r="I831" s="17" t="n">
        <v>66</v>
      </c>
      <c r="J831" s="16" t="s">
        <v>655</v>
      </c>
      <c r="K831" s="15" t="s">
        <v>646</v>
      </c>
      <c r="L831" s="15" t="n">
        <f aca="false">IF(AND(OR(Search!$C$4="",Search!$C$4="All",B831=Search!$C$4),OR(Search!$C$5="",Search!$C$5="All",C831=Search!$C$5),OR(Search!$C$6="",Search!$C$6="All",D831=Search!$C$6),OR(Search!$C$7="",ISNUMBER(SEARCH(Search!$C$7,D831&amp;" "&amp;E831&amp;" "&amp;F831&amp;" "&amp;G831&amp;" "&amp;H831&amp;" "&amp;J831))),OR(Search!$C$8="",ISNUMBER(SEARCH(Search!$C$8,G831)))),1,0)</f>
        <v>1</v>
      </c>
      <c r="M831" s="15" t="n">
        <f aca="false">M830+L831</f>
        <v>830</v>
      </c>
    </row>
    <row r="832" customFormat="false" ht="15" hidden="false" customHeight="false" outlineLevel="0" collapsed="false">
      <c r="A832" s="14" t="n">
        <v>831</v>
      </c>
      <c r="B832" s="15" t="s">
        <v>639</v>
      </c>
      <c r="C832" s="15" t="s">
        <v>640</v>
      </c>
      <c r="D832" s="16" t="s">
        <v>692</v>
      </c>
      <c r="E832" s="16" t="s">
        <v>700</v>
      </c>
      <c r="F832" s="15" t="s">
        <v>701</v>
      </c>
      <c r="G832" s="15" t="s">
        <v>699</v>
      </c>
      <c r="H832" s="15" t="s">
        <v>203</v>
      </c>
      <c r="I832" s="17" t="n">
        <v>88</v>
      </c>
      <c r="J832" s="16" t="s">
        <v>655</v>
      </c>
      <c r="K832" s="15" t="s">
        <v>646</v>
      </c>
      <c r="L832" s="15" t="n">
        <f aca="false">IF(AND(OR(Search!$C$4="",Search!$C$4="All",B832=Search!$C$4),OR(Search!$C$5="",Search!$C$5="All",C832=Search!$C$5),OR(Search!$C$6="",Search!$C$6="All",D832=Search!$C$6),OR(Search!$C$7="",ISNUMBER(SEARCH(Search!$C$7,D832&amp;" "&amp;E832&amp;" "&amp;F832&amp;" "&amp;G832&amp;" "&amp;H832&amp;" "&amp;J832))),OR(Search!$C$8="",ISNUMBER(SEARCH(Search!$C$8,G832)))),1,0)</f>
        <v>1</v>
      </c>
      <c r="M832" s="15" t="n">
        <f aca="false">M831+L832</f>
        <v>831</v>
      </c>
    </row>
    <row r="833" customFormat="false" ht="15" hidden="false" customHeight="false" outlineLevel="0" collapsed="false">
      <c r="A833" s="14" t="n">
        <v>832</v>
      </c>
      <c r="B833" s="15" t="s">
        <v>639</v>
      </c>
      <c r="C833" s="15" t="s">
        <v>640</v>
      </c>
      <c r="D833" s="16" t="s">
        <v>692</v>
      </c>
      <c r="E833" s="16" t="s">
        <v>702</v>
      </c>
      <c r="F833" s="15" t="s">
        <v>703</v>
      </c>
      <c r="G833" s="15" t="s">
        <v>699</v>
      </c>
      <c r="H833" s="15" t="s">
        <v>203</v>
      </c>
      <c r="I833" s="17" t="n">
        <v>105.75</v>
      </c>
      <c r="J833" s="16" t="s">
        <v>655</v>
      </c>
      <c r="K833" s="15" t="s">
        <v>646</v>
      </c>
      <c r="L833" s="15" t="n">
        <f aca="false">IF(AND(OR(Search!$C$4="",Search!$C$4="All",B833=Search!$C$4),OR(Search!$C$5="",Search!$C$5="All",C833=Search!$C$5),OR(Search!$C$6="",Search!$C$6="All",D833=Search!$C$6),OR(Search!$C$7="",ISNUMBER(SEARCH(Search!$C$7,D833&amp;" "&amp;E833&amp;" "&amp;F833&amp;" "&amp;G833&amp;" "&amp;H833&amp;" "&amp;J833))),OR(Search!$C$8="",ISNUMBER(SEARCH(Search!$C$8,G833)))),1,0)</f>
        <v>1</v>
      </c>
      <c r="M833" s="15" t="n">
        <f aca="false">M832+L833</f>
        <v>832</v>
      </c>
    </row>
    <row r="834" customFormat="false" ht="15" hidden="false" customHeight="false" outlineLevel="0" collapsed="false">
      <c r="A834" s="14" t="n">
        <v>833</v>
      </c>
      <c r="B834" s="15" t="s">
        <v>639</v>
      </c>
      <c r="C834" s="15" t="s">
        <v>640</v>
      </c>
      <c r="D834" s="16" t="s">
        <v>692</v>
      </c>
      <c r="E834" s="16" t="s">
        <v>704</v>
      </c>
      <c r="F834" s="15" t="s">
        <v>703</v>
      </c>
      <c r="G834" s="15" t="s">
        <v>654</v>
      </c>
      <c r="H834" s="15" t="s">
        <v>203</v>
      </c>
      <c r="I834" s="17" t="n">
        <v>125</v>
      </c>
      <c r="J834" s="16" t="s">
        <v>655</v>
      </c>
      <c r="K834" s="15" t="s">
        <v>646</v>
      </c>
      <c r="L834" s="15" t="n">
        <f aca="false">IF(AND(OR(Search!$C$4="",Search!$C$4="All",B834=Search!$C$4),OR(Search!$C$5="",Search!$C$5="All",C834=Search!$C$5),OR(Search!$C$6="",Search!$C$6="All",D834=Search!$C$6),OR(Search!$C$7="",ISNUMBER(SEARCH(Search!$C$7,D834&amp;" "&amp;E834&amp;" "&amp;F834&amp;" "&amp;G834&amp;" "&amp;H834&amp;" "&amp;J834))),OR(Search!$C$8="",ISNUMBER(SEARCH(Search!$C$8,G834)))),1,0)</f>
        <v>1</v>
      </c>
      <c r="M834" s="15" t="n">
        <f aca="false">M833+L834</f>
        <v>833</v>
      </c>
    </row>
    <row r="835" customFormat="false" ht="15" hidden="false" customHeight="false" outlineLevel="0" collapsed="false">
      <c r="A835" s="14" t="n">
        <v>834</v>
      </c>
      <c r="B835" s="15" t="s">
        <v>639</v>
      </c>
      <c r="C835" s="15" t="s">
        <v>640</v>
      </c>
      <c r="D835" s="16" t="s">
        <v>692</v>
      </c>
      <c r="E835" s="16" t="s">
        <v>705</v>
      </c>
      <c r="F835" s="15" t="s">
        <v>651</v>
      </c>
      <c r="G835" s="15" t="s">
        <v>654</v>
      </c>
      <c r="H835" s="15" t="s">
        <v>203</v>
      </c>
      <c r="I835" s="17" t="n">
        <v>131</v>
      </c>
      <c r="J835" s="16" t="s">
        <v>655</v>
      </c>
      <c r="K835" s="15" t="s">
        <v>646</v>
      </c>
      <c r="L835" s="15" t="n">
        <f aca="false">IF(AND(OR(Search!$C$4="",Search!$C$4="All",B835=Search!$C$4),OR(Search!$C$5="",Search!$C$5="All",C835=Search!$C$5),OR(Search!$C$6="",Search!$C$6="All",D835=Search!$C$6),OR(Search!$C$7="",ISNUMBER(SEARCH(Search!$C$7,D835&amp;" "&amp;E835&amp;" "&amp;F835&amp;" "&amp;G835&amp;" "&amp;H835&amp;" "&amp;J835))),OR(Search!$C$8="",ISNUMBER(SEARCH(Search!$C$8,G835)))),1,0)</f>
        <v>1</v>
      </c>
      <c r="M835" s="15" t="n">
        <f aca="false">M834+L835</f>
        <v>834</v>
      </c>
    </row>
    <row r="836" customFormat="false" ht="15" hidden="false" customHeight="false" outlineLevel="0" collapsed="false">
      <c r="A836" s="14" t="n">
        <v>835</v>
      </c>
      <c r="B836" s="15" t="s">
        <v>639</v>
      </c>
      <c r="C836" s="15" t="s">
        <v>640</v>
      </c>
      <c r="D836" s="16" t="s">
        <v>692</v>
      </c>
      <c r="E836" s="16" t="s">
        <v>706</v>
      </c>
      <c r="F836" s="15" t="s">
        <v>651</v>
      </c>
      <c r="G836" s="15" t="s">
        <v>654</v>
      </c>
      <c r="H836" s="15" t="s">
        <v>203</v>
      </c>
      <c r="I836" s="17" t="n">
        <v>165</v>
      </c>
      <c r="J836" s="16" t="s">
        <v>655</v>
      </c>
      <c r="K836" s="15" t="s">
        <v>646</v>
      </c>
      <c r="L836" s="15" t="n">
        <f aca="false">IF(AND(OR(Search!$C$4="",Search!$C$4="All",B836=Search!$C$4),OR(Search!$C$5="",Search!$C$5="All",C836=Search!$C$5),OR(Search!$C$6="",Search!$C$6="All",D836=Search!$C$6),OR(Search!$C$7="",ISNUMBER(SEARCH(Search!$C$7,D836&amp;" "&amp;E836&amp;" "&amp;F836&amp;" "&amp;G836&amp;" "&amp;H836&amp;" "&amp;J836))),OR(Search!$C$8="",ISNUMBER(SEARCH(Search!$C$8,G836)))),1,0)</f>
        <v>1</v>
      </c>
      <c r="M836" s="15" t="n">
        <f aca="false">M835+L836</f>
        <v>835</v>
      </c>
    </row>
    <row r="837" customFormat="false" ht="23.85" hidden="false" customHeight="false" outlineLevel="0" collapsed="false">
      <c r="A837" s="14" t="n">
        <v>836</v>
      </c>
      <c r="B837" s="15" t="s">
        <v>639</v>
      </c>
      <c r="C837" s="15" t="s">
        <v>640</v>
      </c>
      <c r="D837" s="16" t="s">
        <v>707</v>
      </c>
      <c r="E837" s="16" t="s">
        <v>708</v>
      </c>
      <c r="F837" s="15" t="s">
        <v>686</v>
      </c>
      <c r="G837" s="15" t="s">
        <v>687</v>
      </c>
      <c r="H837" s="15" t="s">
        <v>203</v>
      </c>
      <c r="I837" s="17" t="n">
        <v>20</v>
      </c>
      <c r="J837" s="16" t="s">
        <v>655</v>
      </c>
      <c r="K837" s="15" t="s">
        <v>646</v>
      </c>
      <c r="L837" s="15" t="n">
        <f aca="false">IF(AND(OR(Search!$C$4="",Search!$C$4="All",B837=Search!$C$4),OR(Search!$C$5="",Search!$C$5="All",C837=Search!$C$5),OR(Search!$C$6="",Search!$C$6="All",D837=Search!$C$6),OR(Search!$C$7="",ISNUMBER(SEARCH(Search!$C$7,D837&amp;" "&amp;E837&amp;" "&amp;F837&amp;" "&amp;G837&amp;" "&amp;H837&amp;" "&amp;J837))),OR(Search!$C$8="",ISNUMBER(SEARCH(Search!$C$8,G837)))),1,0)</f>
        <v>1</v>
      </c>
      <c r="M837" s="15" t="n">
        <f aca="false">M836+L837</f>
        <v>836</v>
      </c>
    </row>
    <row r="838" customFormat="false" ht="15" hidden="false" customHeight="false" outlineLevel="0" collapsed="false">
      <c r="A838" s="14" t="n">
        <v>837</v>
      </c>
      <c r="B838" s="15" t="s">
        <v>639</v>
      </c>
      <c r="C838" s="15" t="s">
        <v>640</v>
      </c>
      <c r="D838" s="16" t="s">
        <v>707</v>
      </c>
      <c r="E838" s="16" t="s">
        <v>700</v>
      </c>
      <c r="F838" s="15" t="s">
        <v>187</v>
      </c>
      <c r="G838" s="15" t="s">
        <v>687</v>
      </c>
      <c r="H838" s="15" t="s">
        <v>203</v>
      </c>
      <c r="I838" s="17" t="n">
        <v>24</v>
      </c>
      <c r="J838" s="16" t="s">
        <v>655</v>
      </c>
      <c r="K838" s="15" t="s">
        <v>646</v>
      </c>
      <c r="L838" s="15" t="n">
        <f aca="false">IF(AND(OR(Search!$C$4="",Search!$C$4="All",B838=Search!$C$4),OR(Search!$C$5="",Search!$C$5="All",C838=Search!$C$5),OR(Search!$C$6="",Search!$C$6="All",D838=Search!$C$6),OR(Search!$C$7="",ISNUMBER(SEARCH(Search!$C$7,D838&amp;" "&amp;E838&amp;" "&amp;F838&amp;" "&amp;G838&amp;" "&amp;H838&amp;" "&amp;J838))),OR(Search!$C$8="",ISNUMBER(SEARCH(Search!$C$8,G838)))),1,0)</f>
        <v>1</v>
      </c>
      <c r="M838" s="15" t="n">
        <f aca="false">M837+L838</f>
        <v>837</v>
      </c>
    </row>
    <row r="839" customFormat="false" ht="15" hidden="false" customHeight="false" outlineLevel="0" collapsed="false">
      <c r="A839" s="14" t="n">
        <v>838</v>
      </c>
      <c r="B839" s="15" t="s">
        <v>639</v>
      </c>
      <c r="C839" s="15" t="s">
        <v>640</v>
      </c>
      <c r="D839" s="16" t="s">
        <v>707</v>
      </c>
      <c r="E839" s="16" t="s">
        <v>709</v>
      </c>
      <c r="F839" s="15" t="s">
        <v>192</v>
      </c>
      <c r="G839" s="15" t="s">
        <v>699</v>
      </c>
      <c r="H839" s="15" t="s">
        <v>203</v>
      </c>
      <c r="I839" s="17" t="n">
        <v>64</v>
      </c>
      <c r="J839" s="16" t="s">
        <v>655</v>
      </c>
      <c r="K839" s="15" t="s">
        <v>646</v>
      </c>
      <c r="L839" s="15" t="n">
        <f aca="false">IF(AND(OR(Search!$C$4="",Search!$C$4="All",B839=Search!$C$4),OR(Search!$C$5="",Search!$C$5="All",C839=Search!$C$5),OR(Search!$C$6="",Search!$C$6="All",D839=Search!$C$6),OR(Search!$C$7="",ISNUMBER(SEARCH(Search!$C$7,D839&amp;" "&amp;E839&amp;" "&amp;F839&amp;" "&amp;G839&amp;" "&amp;H839&amp;" "&amp;J839))),OR(Search!$C$8="",ISNUMBER(SEARCH(Search!$C$8,G839)))),1,0)</f>
        <v>1</v>
      </c>
      <c r="M839" s="15" t="n">
        <f aca="false">M838+L839</f>
        <v>838</v>
      </c>
    </row>
    <row r="840" customFormat="false" ht="15" hidden="false" customHeight="false" outlineLevel="0" collapsed="false">
      <c r="A840" s="14" t="n">
        <v>839</v>
      </c>
      <c r="B840" s="15" t="s">
        <v>639</v>
      </c>
      <c r="C840" s="15" t="s">
        <v>640</v>
      </c>
      <c r="D840" s="16" t="s">
        <v>707</v>
      </c>
      <c r="E840" s="16" t="s">
        <v>700</v>
      </c>
      <c r="F840" s="15" t="s">
        <v>701</v>
      </c>
      <c r="G840" s="15" t="s">
        <v>654</v>
      </c>
      <c r="H840" s="15" t="s">
        <v>203</v>
      </c>
      <c r="I840" s="17" t="n">
        <v>88</v>
      </c>
      <c r="J840" s="16" t="s">
        <v>655</v>
      </c>
      <c r="K840" s="15" t="s">
        <v>646</v>
      </c>
      <c r="L840" s="15" t="n">
        <f aca="false">IF(AND(OR(Search!$C$4="",Search!$C$4="All",B840=Search!$C$4),OR(Search!$C$5="",Search!$C$5="All",C840=Search!$C$5),OR(Search!$C$6="",Search!$C$6="All",D840=Search!$C$6),OR(Search!$C$7="",ISNUMBER(SEARCH(Search!$C$7,D840&amp;" "&amp;E840&amp;" "&amp;F840&amp;" "&amp;G840&amp;" "&amp;H840&amp;" "&amp;J840))),OR(Search!$C$8="",ISNUMBER(SEARCH(Search!$C$8,G840)))),1,0)</f>
        <v>1</v>
      </c>
      <c r="M840" s="15" t="n">
        <f aca="false">M839+L840</f>
        <v>839</v>
      </c>
    </row>
    <row r="841" customFormat="false" ht="15" hidden="false" customHeight="false" outlineLevel="0" collapsed="false">
      <c r="A841" s="14" t="n">
        <v>840</v>
      </c>
      <c r="B841" s="15" t="s">
        <v>639</v>
      </c>
      <c r="C841" s="15" t="s">
        <v>640</v>
      </c>
      <c r="D841" s="16" t="s">
        <v>707</v>
      </c>
      <c r="E841" s="16" t="s">
        <v>710</v>
      </c>
      <c r="F841" s="15" t="s">
        <v>703</v>
      </c>
      <c r="G841" s="15" t="s">
        <v>699</v>
      </c>
      <c r="H841" s="15" t="s">
        <v>203</v>
      </c>
      <c r="I841" s="17" t="n">
        <v>80</v>
      </c>
      <c r="J841" s="16" t="s">
        <v>655</v>
      </c>
      <c r="K841" s="15" t="s">
        <v>646</v>
      </c>
      <c r="L841" s="15" t="n">
        <f aca="false">IF(AND(OR(Search!$C$4="",Search!$C$4="All",B841=Search!$C$4),OR(Search!$C$5="",Search!$C$5="All",C841=Search!$C$5),OR(Search!$C$6="",Search!$C$6="All",D841=Search!$C$6),OR(Search!$C$7="",ISNUMBER(SEARCH(Search!$C$7,D841&amp;" "&amp;E841&amp;" "&amp;F841&amp;" "&amp;G841&amp;" "&amp;H841&amp;" "&amp;J841))),OR(Search!$C$8="",ISNUMBER(SEARCH(Search!$C$8,G841)))),1,0)</f>
        <v>1</v>
      </c>
      <c r="M841" s="15" t="n">
        <f aca="false">M840+L841</f>
        <v>840</v>
      </c>
    </row>
    <row r="842" customFormat="false" ht="23.85" hidden="false" customHeight="false" outlineLevel="0" collapsed="false">
      <c r="A842" s="14" t="n">
        <v>841</v>
      </c>
      <c r="B842" s="15" t="s">
        <v>639</v>
      </c>
      <c r="C842" s="15" t="s">
        <v>640</v>
      </c>
      <c r="D842" s="16" t="s">
        <v>707</v>
      </c>
      <c r="E842" s="16" t="s">
        <v>711</v>
      </c>
      <c r="F842" s="15" t="s">
        <v>703</v>
      </c>
      <c r="G842" s="15" t="s">
        <v>654</v>
      </c>
      <c r="H842" s="15" t="s">
        <v>203</v>
      </c>
      <c r="I842" s="17" t="n">
        <v>125</v>
      </c>
      <c r="J842" s="16" t="s">
        <v>655</v>
      </c>
      <c r="K842" s="15" t="s">
        <v>646</v>
      </c>
      <c r="L842" s="15" t="n">
        <f aca="false">IF(AND(OR(Search!$C$4="",Search!$C$4="All",B842=Search!$C$4),OR(Search!$C$5="",Search!$C$5="All",C842=Search!$C$5),OR(Search!$C$6="",Search!$C$6="All",D842=Search!$C$6),OR(Search!$C$7="",ISNUMBER(SEARCH(Search!$C$7,D842&amp;" "&amp;E842&amp;" "&amp;F842&amp;" "&amp;G842&amp;" "&amp;H842&amp;" "&amp;J842))),OR(Search!$C$8="",ISNUMBER(SEARCH(Search!$C$8,G842)))),1,0)</f>
        <v>1</v>
      </c>
      <c r="M842" s="15" t="n">
        <f aca="false">M841+L842</f>
        <v>841</v>
      </c>
    </row>
    <row r="843" customFormat="false" ht="15" hidden="false" customHeight="false" outlineLevel="0" collapsed="false">
      <c r="A843" s="14" t="n">
        <v>842</v>
      </c>
      <c r="B843" s="15" t="s">
        <v>639</v>
      </c>
      <c r="C843" s="15" t="s">
        <v>640</v>
      </c>
      <c r="D843" s="16" t="s">
        <v>707</v>
      </c>
      <c r="E843" s="16" t="s">
        <v>700</v>
      </c>
      <c r="F843" s="15" t="s">
        <v>651</v>
      </c>
      <c r="G843" s="15" t="s">
        <v>654</v>
      </c>
      <c r="H843" s="15" t="s">
        <v>203</v>
      </c>
      <c r="I843" s="17" t="n">
        <v>165</v>
      </c>
      <c r="J843" s="16" t="s">
        <v>655</v>
      </c>
      <c r="K843" s="15" t="s">
        <v>646</v>
      </c>
      <c r="L843" s="15" t="n">
        <f aca="false">IF(AND(OR(Search!$C$4="",Search!$C$4="All",B843=Search!$C$4),OR(Search!$C$5="",Search!$C$5="All",C843=Search!$C$5),OR(Search!$C$6="",Search!$C$6="All",D843=Search!$C$6),OR(Search!$C$7="",ISNUMBER(SEARCH(Search!$C$7,D843&amp;" "&amp;E843&amp;" "&amp;F843&amp;" "&amp;G843&amp;" "&amp;H843&amp;" "&amp;J843))),OR(Search!$C$8="",ISNUMBER(SEARCH(Search!$C$8,G843)))),1,0)</f>
        <v>1</v>
      </c>
      <c r="M843" s="15" t="n">
        <f aca="false">M842+L843</f>
        <v>842</v>
      </c>
    </row>
    <row r="844" customFormat="false" ht="23.85" hidden="false" customHeight="false" outlineLevel="0" collapsed="false">
      <c r="A844" s="14" t="n">
        <v>843</v>
      </c>
      <c r="B844" s="15" t="s">
        <v>639</v>
      </c>
      <c r="C844" s="15" t="s">
        <v>640</v>
      </c>
      <c r="D844" s="16" t="s">
        <v>712</v>
      </c>
      <c r="E844" s="16" t="s">
        <v>713</v>
      </c>
      <c r="F844" s="15" t="s">
        <v>714</v>
      </c>
      <c r="G844" s="15" t="s">
        <v>699</v>
      </c>
      <c r="H844" s="15" t="s">
        <v>203</v>
      </c>
      <c r="I844" s="17" t="n">
        <v>60</v>
      </c>
      <c r="J844" s="16" t="s">
        <v>655</v>
      </c>
      <c r="K844" s="15" t="s">
        <v>646</v>
      </c>
      <c r="L844" s="15" t="n">
        <f aca="false">IF(AND(OR(Search!$C$4="",Search!$C$4="All",B844=Search!$C$4),OR(Search!$C$5="",Search!$C$5="All",C844=Search!$C$5),OR(Search!$C$6="",Search!$C$6="All",D844=Search!$C$6),OR(Search!$C$7="",ISNUMBER(SEARCH(Search!$C$7,D844&amp;" "&amp;E844&amp;" "&amp;F844&amp;" "&amp;G844&amp;" "&amp;H844&amp;" "&amp;J844))),OR(Search!$C$8="",ISNUMBER(SEARCH(Search!$C$8,G844)))),1,0)</f>
        <v>1</v>
      </c>
      <c r="M844" s="15" t="n">
        <f aca="false">M843+L844</f>
        <v>843</v>
      </c>
    </row>
    <row r="845" customFormat="false" ht="15" hidden="false" customHeight="false" outlineLevel="0" collapsed="false">
      <c r="A845" s="14" t="n">
        <v>844</v>
      </c>
      <c r="B845" s="15" t="s">
        <v>639</v>
      </c>
      <c r="C845" s="15" t="s">
        <v>640</v>
      </c>
      <c r="D845" s="16" t="s">
        <v>712</v>
      </c>
      <c r="E845" s="16" t="s">
        <v>715</v>
      </c>
      <c r="F845" s="15" t="s">
        <v>716</v>
      </c>
      <c r="G845" s="15" t="s">
        <v>699</v>
      </c>
      <c r="H845" s="15" t="s">
        <v>203</v>
      </c>
      <c r="I845" s="17" t="n">
        <v>120</v>
      </c>
      <c r="J845" s="16" t="s">
        <v>655</v>
      </c>
      <c r="K845" s="15" t="s">
        <v>646</v>
      </c>
      <c r="L845" s="15" t="n">
        <f aca="false">IF(AND(OR(Search!$C$4="",Search!$C$4="All",B845=Search!$C$4),OR(Search!$C$5="",Search!$C$5="All",C845=Search!$C$5),OR(Search!$C$6="",Search!$C$6="All",D845=Search!$C$6),OR(Search!$C$7="",ISNUMBER(SEARCH(Search!$C$7,D845&amp;" "&amp;E845&amp;" "&amp;F845&amp;" "&amp;G845&amp;" "&amp;H845&amp;" "&amp;J845))),OR(Search!$C$8="",ISNUMBER(SEARCH(Search!$C$8,G845)))),1,0)</f>
        <v>1</v>
      </c>
      <c r="M845" s="15" t="n">
        <f aca="false">M844+L845</f>
        <v>844</v>
      </c>
    </row>
    <row r="846" customFormat="false" ht="35.05" hidden="false" customHeight="false" outlineLevel="0" collapsed="false">
      <c r="A846" s="14" t="n">
        <v>845</v>
      </c>
      <c r="B846" s="15" t="s">
        <v>639</v>
      </c>
      <c r="C846" s="15" t="s">
        <v>640</v>
      </c>
      <c r="D846" s="16" t="s">
        <v>717</v>
      </c>
      <c r="E846" s="16" t="s">
        <v>718</v>
      </c>
      <c r="F846" s="15" t="s">
        <v>192</v>
      </c>
      <c r="G846" s="15" t="s">
        <v>699</v>
      </c>
      <c r="H846" s="15" t="s">
        <v>203</v>
      </c>
      <c r="I846" s="17" t="n">
        <v>65</v>
      </c>
      <c r="J846" s="16" t="s">
        <v>655</v>
      </c>
      <c r="K846" s="15" t="s">
        <v>646</v>
      </c>
      <c r="L846" s="15" t="n">
        <f aca="false">IF(AND(OR(Search!$C$4="",Search!$C$4="All",B846=Search!$C$4),OR(Search!$C$5="",Search!$C$5="All",C846=Search!$C$5),OR(Search!$C$6="",Search!$C$6="All",D846=Search!$C$6),OR(Search!$C$7="",ISNUMBER(SEARCH(Search!$C$7,D846&amp;" "&amp;E846&amp;" "&amp;F846&amp;" "&amp;G846&amp;" "&amp;H846&amp;" "&amp;J846))),OR(Search!$C$8="",ISNUMBER(SEARCH(Search!$C$8,G846)))),1,0)</f>
        <v>1</v>
      </c>
      <c r="M846" s="15" t="n">
        <f aca="false">M845+L846</f>
        <v>845</v>
      </c>
    </row>
    <row r="847" customFormat="false" ht="15" hidden="false" customHeight="false" outlineLevel="0" collapsed="false">
      <c r="A847" s="14" t="n">
        <v>846</v>
      </c>
      <c r="B847" s="15" t="s">
        <v>639</v>
      </c>
      <c r="C847" s="15" t="s">
        <v>640</v>
      </c>
      <c r="D847" s="16" t="s">
        <v>717</v>
      </c>
      <c r="E847" s="16" t="s">
        <v>719</v>
      </c>
      <c r="F847" s="15" t="s">
        <v>192</v>
      </c>
      <c r="G847" s="15" t="s">
        <v>654</v>
      </c>
      <c r="H847" s="15" t="s">
        <v>203</v>
      </c>
      <c r="I847" s="17" t="n">
        <v>82.5</v>
      </c>
      <c r="J847" s="16" t="s">
        <v>655</v>
      </c>
      <c r="K847" s="15" t="s">
        <v>646</v>
      </c>
      <c r="L847" s="15" t="n">
        <f aca="false">IF(AND(OR(Search!$C$4="",Search!$C$4="All",B847=Search!$C$4),OR(Search!$C$5="",Search!$C$5="All",C847=Search!$C$5),OR(Search!$C$6="",Search!$C$6="All",D847=Search!$C$6),OR(Search!$C$7="",ISNUMBER(SEARCH(Search!$C$7,D847&amp;" "&amp;E847&amp;" "&amp;F847&amp;" "&amp;G847&amp;" "&amp;H847&amp;" "&amp;J847))),OR(Search!$C$8="",ISNUMBER(SEARCH(Search!$C$8,G847)))),1,0)</f>
        <v>1</v>
      </c>
      <c r="M847" s="15" t="n">
        <f aca="false">M846+L847</f>
        <v>846</v>
      </c>
    </row>
    <row r="848" customFormat="false" ht="15" hidden="false" customHeight="false" outlineLevel="0" collapsed="false">
      <c r="A848" s="14" t="n">
        <v>847</v>
      </c>
      <c r="B848" s="15" t="s">
        <v>639</v>
      </c>
      <c r="C848" s="15" t="s">
        <v>640</v>
      </c>
      <c r="D848" s="16" t="s">
        <v>717</v>
      </c>
      <c r="E848" s="16" t="s">
        <v>720</v>
      </c>
      <c r="F848" s="15" t="s">
        <v>650</v>
      </c>
      <c r="G848" s="15" t="s">
        <v>699</v>
      </c>
      <c r="H848" s="15" t="s">
        <v>203</v>
      </c>
      <c r="I848" s="17" t="n">
        <v>87</v>
      </c>
      <c r="J848" s="16" t="s">
        <v>655</v>
      </c>
      <c r="K848" s="15" t="s">
        <v>646</v>
      </c>
      <c r="L848" s="15" t="n">
        <f aca="false">IF(AND(OR(Search!$C$4="",Search!$C$4="All",B848=Search!$C$4),OR(Search!$C$5="",Search!$C$5="All",C848=Search!$C$5),OR(Search!$C$6="",Search!$C$6="All",D848=Search!$C$6),OR(Search!$C$7="",ISNUMBER(SEARCH(Search!$C$7,D848&amp;" "&amp;E848&amp;" "&amp;F848&amp;" "&amp;G848&amp;" "&amp;H848&amp;" "&amp;J848))),OR(Search!$C$8="",ISNUMBER(SEARCH(Search!$C$8,G848)))),1,0)</f>
        <v>1</v>
      </c>
      <c r="M848" s="15" t="n">
        <f aca="false">M847+L848</f>
        <v>847</v>
      </c>
    </row>
    <row r="849" customFormat="false" ht="15" hidden="false" customHeight="false" outlineLevel="0" collapsed="false">
      <c r="A849" s="14" t="n">
        <v>848</v>
      </c>
      <c r="B849" s="15" t="s">
        <v>639</v>
      </c>
      <c r="C849" s="15" t="s">
        <v>640</v>
      </c>
      <c r="D849" s="16" t="s">
        <v>717</v>
      </c>
      <c r="E849" s="16" t="s">
        <v>721</v>
      </c>
      <c r="F849" s="15" t="s">
        <v>650</v>
      </c>
      <c r="G849" s="15" t="s">
        <v>654</v>
      </c>
      <c r="H849" s="15" t="s">
        <v>203</v>
      </c>
      <c r="I849" s="17" t="n">
        <v>87</v>
      </c>
      <c r="J849" s="16" t="s">
        <v>655</v>
      </c>
      <c r="K849" s="15" t="s">
        <v>646</v>
      </c>
      <c r="L849" s="15" t="n">
        <f aca="false">IF(AND(OR(Search!$C$4="",Search!$C$4="All",B849=Search!$C$4),OR(Search!$C$5="",Search!$C$5="All",C849=Search!$C$5),OR(Search!$C$6="",Search!$C$6="All",D849=Search!$C$6),OR(Search!$C$7="",ISNUMBER(SEARCH(Search!$C$7,D849&amp;" "&amp;E849&amp;" "&amp;F849&amp;" "&amp;G849&amp;" "&amp;H849&amp;" "&amp;J849))),OR(Search!$C$8="",ISNUMBER(SEARCH(Search!$C$8,G849)))),1,0)</f>
        <v>1</v>
      </c>
      <c r="M849" s="15" t="n">
        <f aca="false">M848+L849</f>
        <v>848</v>
      </c>
    </row>
    <row r="850" customFormat="false" ht="15" hidden="false" customHeight="false" outlineLevel="0" collapsed="false">
      <c r="A850" s="14" t="n">
        <v>849</v>
      </c>
      <c r="B850" s="15" t="s">
        <v>639</v>
      </c>
      <c r="C850" s="15" t="s">
        <v>640</v>
      </c>
      <c r="D850" s="16" t="s">
        <v>717</v>
      </c>
      <c r="E850" s="16" t="s">
        <v>722</v>
      </c>
      <c r="F850" s="15" t="s">
        <v>650</v>
      </c>
      <c r="G850" s="15" t="s">
        <v>723</v>
      </c>
      <c r="H850" s="15" t="s">
        <v>203</v>
      </c>
      <c r="I850" s="17" t="n">
        <v>88</v>
      </c>
      <c r="J850" s="16" t="s">
        <v>655</v>
      </c>
      <c r="K850" s="15" t="s">
        <v>646</v>
      </c>
      <c r="L850" s="15" t="n">
        <f aca="false">IF(AND(OR(Search!$C$4="",Search!$C$4="All",B850=Search!$C$4),OR(Search!$C$5="",Search!$C$5="All",C850=Search!$C$5),OR(Search!$C$6="",Search!$C$6="All",D850=Search!$C$6),OR(Search!$C$7="",ISNUMBER(SEARCH(Search!$C$7,D850&amp;" "&amp;E850&amp;" "&amp;F850&amp;" "&amp;G850&amp;" "&amp;H850&amp;" "&amp;J850))),OR(Search!$C$8="",ISNUMBER(SEARCH(Search!$C$8,G850)))),1,0)</f>
        <v>1</v>
      </c>
      <c r="M850" s="15" t="n">
        <f aca="false">M849+L850</f>
        <v>849</v>
      </c>
    </row>
    <row r="851" customFormat="false" ht="15" hidden="false" customHeight="false" outlineLevel="0" collapsed="false">
      <c r="A851" s="14" t="n">
        <v>850</v>
      </c>
      <c r="B851" s="15" t="s">
        <v>639</v>
      </c>
      <c r="C851" s="15" t="s">
        <v>640</v>
      </c>
      <c r="D851" s="16" t="s">
        <v>717</v>
      </c>
      <c r="E851" s="16" t="s">
        <v>724</v>
      </c>
      <c r="F851" s="15" t="s">
        <v>650</v>
      </c>
      <c r="G851" s="15" t="s">
        <v>723</v>
      </c>
      <c r="H851" s="15" t="s">
        <v>203</v>
      </c>
      <c r="I851" s="17" t="n">
        <v>115.5</v>
      </c>
      <c r="J851" s="16" t="s">
        <v>655</v>
      </c>
      <c r="K851" s="15" t="s">
        <v>646</v>
      </c>
      <c r="L851" s="15" t="n">
        <f aca="false">IF(AND(OR(Search!$C$4="",Search!$C$4="All",B851=Search!$C$4),OR(Search!$C$5="",Search!$C$5="All",C851=Search!$C$5),OR(Search!$C$6="",Search!$C$6="All",D851=Search!$C$6),OR(Search!$C$7="",ISNUMBER(SEARCH(Search!$C$7,D851&amp;" "&amp;E851&amp;" "&amp;F851&amp;" "&amp;G851&amp;" "&amp;H851&amp;" "&amp;J851))),OR(Search!$C$8="",ISNUMBER(SEARCH(Search!$C$8,G851)))),1,0)</f>
        <v>1</v>
      </c>
      <c r="M851" s="15" t="n">
        <f aca="false">M850+L851</f>
        <v>850</v>
      </c>
    </row>
    <row r="852" customFormat="false" ht="15" hidden="false" customHeight="false" outlineLevel="0" collapsed="false">
      <c r="A852" s="14" t="n">
        <v>851</v>
      </c>
      <c r="B852" s="15" t="s">
        <v>639</v>
      </c>
      <c r="C852" s="15" t="s">
        <v>640</v>
      </c>
      <c r="D852" s="16" t="s">
        <v>717</v>
      </c>
      <c r="E852" s="16" t="s">
        <v>725</v>
      </c>
      <c r="F852" s="15" t="s">
        <v>650</v>
      </c>
      <c r="G852" s="15" t="s">
        <v>726</v>
      </c>
      <c r="H852" s="15" t="s">
        <v>203</v>
      </c>
      <c r="I852" s="17" t="n">
        <v>115.5</v>
      </c>
      <c r="J852" s="16" t="s">
        <v>655</v>
      </c>
      <c r="K852" s="15" t="s">
        <v>646</v>
      </c>
      <c r="L852" s="15" t="n">
        <f aca="false">IF(AND(OR(Search!$C$4="",Search!$C$4="All",B852=Search!$C$4),OR(Search!$C$5="",Search!$C$5="All",C852=Search!$C$5),OR(Search!$C$6="",Search!$C$6="All",D852=Search!$C$6),OR(Search!$C$7="",ISNUMBER(SEARCH(Search!$C$7,D852&amp;" "&amp;E852&amp;" "&amp;F852&amp;" "&amp;G852&amp;" "&amp;H852&amp;" "&amp;J852))),OR(Search!$C$8="",ISNUMBER(SEARCH(Search!$C$8,G852)))),1,0)</f>
        <v>1</v>
      </c>
      <c r="M852" s="15" t="n">
        <f aca="false">M851+L852</f>
        <v>851</v>
      </c>
    </row>
    <row r="853" customFormat="false" ht="15" hidden="false" customHeight="false" outlineLevel="0" collapsed="false">
      <c r="A853" s="14" t="n">
        <v>852</v>
      </c>
      <c r="B853" s="15" t="s">
        <v>639</v>
      </c>
      <c r="C853" s="15" t="s">
        <v>640</v>
      </c>
      <c r="D853" s="16" t="s">
        <v>717</v>
      </c>
      <c r="E853" s="16" t="s">
        <v>727</v>
      </c>
      <c r="F853" s="15" t="s">
        <v>651</v>
      </c>
      <c r="G853" s="15" t="s">
        <v>654</v>
      </c>
      <c r="H853" s="15" t="s">
        <v>203</v>
      </c>
      <c r="I853" s="17" t="n">
        <v>205.75</v>
      </c>
      <c r="J853" s="16" t="s">
        <v>655</v>
      </c>
      <c r="K853" s="15" t="s">
        <v>646</v>
      </c>
      <c r="L853" s="15" t="n">
        <f aca="false">IF(AND(OR(Search!$C$4="",Search!$C$4="All",B853=Search!$C$4),OR(Search!$C$5="",Search!$C$5="All",C853=Search!$C$5),OR(Search!$C$6="",Search!$C$6="All",D853=Search!$C$6),OR(Search!$C$7="",ISNUMBER(SEARCH(Search!$C$7,D853&amp;" "&amp;E853&amp;" "&amp;F853&amp;" "&amp;G853&amp;" "&amp;H853&amp;" "&amp;J853))),OR(Search!$C$8="",ISNUMBER(SEARCH(Search!$C$8,G853)))),1,0)</f>
        <v>1</v>
      </c>
      <c r="M853" s="15" t="n">
        <f aca="false">M852+L853</f>
        <v>852</v>
      </c>
    </row>
    <row r="854" customFormat="false" ht="23.85" hidden="false" customHeight="false" outlineLevel="0" collapsed="false">
      <c r="A854" s="14" t="n">
        <v>853</v>
      </c>
      <c r="B854" s="15" t="s">
        <v>639</v>
      </c>
      <c r="C854" s="15" t="s">
        <v>640</v>
      </c>
      <c r="D854" s="16" t="s">
        <v>717</v>
      </c>
      <c r="E854" s="16" t="s">
        <v>728</v>
      </c>
      <c r="F854" s="15" t="s">
        <v>651</v>
      </c>
      <c r="G854" s="15" t="s">
        <v>699</v>
      </c>
      <c r="H854" s="15" t="s">
        <v>203</v>
      </c>
      <c r="I854" s="17" t="n">
        <v>134.25</v>
      </c>
      <c r="J854" s="16" t="s">
        <v>655</v>
      </c>
      <c r="K854" s="15" t="s">
        <v>646</v>
      </c>
      <c r="L854" s="15" t="n">
        <f aca="false">IF(AND(OR(Search!$C$4="",Search!$C$4="All",B854=Search!$C$4),OR(Search!$C$5="",Search!$C$5="All",C854=Search!$C$5),OR(Search!$C$6="",Search!$C$6="All",D854=Search!$C$6),OR(Search!$C$7="",ISNUMBER(SEARCH(Search!$C$7,D854&amp;" "&amp;E854&amp;" "&amp;F854&amp;" "&amp;G854&amp;" "&amp;H854&amp;" "&amp;J854))),OR(Search!$C$8="",ISNUMBER(SEARCH(Search!$C$8,G854)))),1,0)</f>
        <v>1</v>
      </c>
      <c r="M854" s="15" t="n">
        <f aca="false">M853+L854</f>
        <v>853</v>
      </c>
    </row>
    <row r="855" customFormat="false" ht="15" hidden="false" customHeight="false" outlineLevel="0" collapsed="false">
      <c r="A855" s="14" t="n">
        <v>854</v>
      </c>
      <c r="B855" s="15" t="s">
        <v>639</v>
      </c>
      <c r="C855" s="15" t="s">
        <v>640</v>
      </c>
      <c r="D855" s="16" t="s">
        <v>717</v>
      </c>
      <c r="E855" s="16" t="s">
        <v>729</v>
      </c>
      <c r="F855" s="15" t="s">
        <v>651</v>
      </c>
      <c r="G855" s="15" t="s">
        <v>654</v>
      </c>
      <c r="H855" s="15" t="s">
        <v>203</v>
      </c>
      <c r="I855" s="17" t="n">
        <v>214.5</v>
      </c>
      <c r="J855" s="16" t="s">
        <v>655</v>
      </c>
      <c r="K855" s="15" t="s">
        <v>646</v>
      </c>
      <c r="L855" s="15" t="n">
        <f aca="false">IF(AND(OR(Search!$C$4="",Search!$C$4="All",B855=Search!$C$4),OR(Search!$C$5="",Search!$C$5="All",C855=Search!$C$5),OR(Search!$C$6="",Search!$C$6="All",D855=Search!$C$6),OR(Search!$C$7="",ISNUMBER(SEARCH(Search!$C$7,D855&amp;" "&amp;E855&amp;" "&amp;F855&amp;" "&amp;G855&amp;" "&amp;H855&amp;" "&amp;J855))),OR(Search!$C$8="",ISNUMBER(SEARCH(Search!$C$8,G855)))),1,0)</f>
        <v>1</v>
      </c>
      <c r="M855" s="15" t="n">
        <f aca="false">M854+L855</f>
        <v>854</v>
      </c>
    </row>
    <row r="856" customFormat="false" ht="15" hidden="false" customHeight="false" outlineLevel="0" collapsed="false">
      <c r="A856" s="14" t="n">
        <v>855</v>
      </c>
      <c r="B856" s="15" t="s">
        <v>639</v>
      </c>
      <c r="C856" s="15" t="s">
        <v>640</v>
      </c>
      <c r="D856" s="16" t="s">
        <v>730</v>
      </c>
      <c r="E856" s="16" t="s">
        <v>731</v>
      </c>
      <c r="F856" s="15" t="s">
        <v>714</v>
      </c>
      <c r="G856" s="15" t="s">
        <v>699</v>
      </c>
      <c r="H856" s="15" t="s">
        <v>203</v>
      </c>
      <c r="I856" s="17" t="n">
        <v>140</v>
      </c>
      <c r="J856" s="16" t="s">
        <v>655</v>
      </c>
      <c r="K856" s="15" t="s">
        <v>646</v>
      </c>
      <c r="L856" s="15" t="n">
        <f aca="false">IF(AND(OR(Search!$C$4="",Search!$C$4="All",B856=Search!$C$4),OR(Search!$C$5="",Search!$C$5="All",C856=Search!$C$5),OR(Search!$C$6="",Search!$C$6="All",D856=Search!$C$6),OR(Search!$C$7="",ISNUMBER(SEARCH(Search!$C$7,D856&amp;" "&amp;E856&amp;" "&amp;F856&amp;" "&amp;G856&amp;" "&amp;H856&amp;" "&amp;J856))),OR(Search!$C$8="",ISNUMBER(SEARCH(Search!$C$8,G856)))),1,0)</f>
        <v>1</v>
      </c>
      <c r="M856" s="15" t="n">
        <f aca="false">M855+L856</f>
        <v>855</v>
      </c>
    </row>
    <row r="857" customFormat="false" ht="23.85" hidden="false" customHeight="false" outlineLevel="0" collapsed="false">
      <c r="A857" s="14" t="n">
        <v>856</v>
      </c>
      <c r="B857" s="15" t="s">
        <v>639</v>
      </c>
      <c r="C857" s="15" t="s">
        <v>640</v>
      </c>
      <c r="D857" s="16" t="s">
        <v>730</v>
      </c>
      <c r="E857" s="16" t="s">
        <v>732</v>
      </c>
      <c r="F857" s="15" t="s">
        <v>716</v>
      </c>
      <c r="G857" s="15" t="s">
        <v>699</v>
      </c>
      <c r="H857" s="15" t="s">
        <v>203</v>
      </c>
      <c r="I857" s="17" t="n">
        <v>190</v>
      </c>
      <c r="J857" s="16" t="s">
        <v>655</v>
      </c>
      <c r="K857" s="15" t="s">
        <v>646</v>
      </c>
      <c r="L857" s="15" t="n">
        <f aca="false">IF(AND(OR(Search!$C$4="",Search!$C$4="All",B857=Search!$C$4),OR(Search!$C$5="",Search!$C$5="All",C857=Search!$C$5),OR(Search!$C$6="",Search!$C$6="All",D857=Search!$C$6),OR(Search!$C$7="",ISNUMBER(SEARCH(Search!$C$7,D857&amp;" "&amp;E857&amp;" "&amp;F857&amp;" "&amp;G857&amp;" "&amp;H857&amp;" "&amp;J857))),OR(Search!$C$8="",ISNUMBER(SEARCH(Search!$C$8,G857)))),1,0)</f>
        <v>1</v>
      </c>
      <c r="M857" s="15" t="n">
        <f aca="false">M856+L857</f>
        <v>856</v>
      </c>
    </row>
    <row r="858" customFormat="false" ht="15" hidden="false" customHeight="false" outlineLevel="0" collapsed="false">
      <c r="A858" s="14" t="n">
        <v>857</v>
      </c>
      <c r="B858" s="15" t="s">
        <v>639</v>
      </c>
      <c r="C858" s="15" t="s">
        <v>640</v>
      </c>
      <c r="D858" s="16" t="s">
        <v>730</v>
      </c>
      <c r="E858" s="16" t="s">
        <v>666</v>
      </c>
      <c r="F858" s="15" t="s">
        <v>716</v>
      </c>
      <c r="G858" s="15" t="s">
        <v>699</v>
      </c>
      <c r="H858" s="15" t="s">
        <v>203</v>
      </c>
      <c r="I858" s="17" t="n">
        <v>320</v>
      </c>
      <c r="J858" s="16" t="s">
        <v>655</v>
      </c>
      <c r="K858" s="15" t="s">
        <v>646</v>
      </c>
      <c r="L858" s="15" t="n">
        <f aca="false">IF(AND(OR(Search!$C$4="",Search!$C$4="All",B858=Search!$C$4),OR(Search!$C$5="",Search!$C$5="All",C858=Search!$C$5),OR(Search!$C$6="",Search!$C$6="All",D858=Search!$C$6),OR(Search!$C$7="",ISNUMBER(SEARCH(Search!$C$7,D858&amp;" "&amp;E858&amp;" "&amp;F858&amp;" "&amp;G858&amp;" "&amp;H858&amp;" "&amp;J858))),OR(Search!$C$8="",ISNUMBER(SEARCH(Search!$C$8,G858)))),1,0)</f>
        <v>1</v>
      </c>
      <c r="M858" s="15" t="n">
        <f aca="false">M857+L858</f>
        <v>857</v>
      </c>
    </row>
    <row r="859" customFormat="false" ht="15" hidden="false" customHeight="false" outlineLevel="0" collapsed="false">
      <c r="A859" s="14" t="n">
        <v>858</v>
      </c>
      <c r="B859" s="15" t="s">
        <v>639</v>
      </c>
      <c r="C859" s="15" t="s">
        <v>640</v>
      </c>
      <c r="D859" s="16" t="s">
        <v>730</v>
      </c>
      <c r="E859" s="16" t="s">
        <v>733</v>
      </c>
      <c r="F859" s="15" t="s">
        <v>734</v>
      </c>
      <c r="G859" s="15" t="s">
        <v>699</v>
      </c>
      <c r="H859" s="15" t="s">
        <v>203</v>
      </c>
      <c r="I859" s="17" t="n">
        <v>450</v>
      </c>
      <c r="J859" s="16" t="s">
        <v>655</v>
      </c>
      <c r="K859" s="15" t="s">
        <v>646</v>
      </c>
      <c r="L859" s="15" t="n">
        <f aca="false">IF(AND(OR(Search!$C$4="",Search!$C$4="All",B859=Search!$C$4),OR(Search!$C$5="",Search!$C$5="All",C859=Search!$C$5),OR(Search!$C$6="",Search!$C$6="All",D859=Search!$C$6),OR(Search!$C$7="",ISNUMBER(SEARCH(Search!$C$7,D859&amp;" "&amp;E859&amp;" "&amp;F859&amp;" "&amp;G859&amp;" "&amp;H859&amp;" "&amp;J859))),OR(Search!$C$8="",ISNUMBER(SEARCH(Search!$C$8,G859)))),1,0)</f>
        <v>1</v>
      </c>
      <c r="M859" s="15" t="n">
        <f aca="false">M858+L859</f>
        <v>858</v>
      </c>
    </row>
    <row r="860" customFormat="false" ht="15" hidden="false" customHeight="false" outlineLevel="0" collapsed="false">
      <c r="A860" s="14" t="n">
        <v>859</v>
      </c>
      <c r="B860" s="15" t="s">
        <v>639</v>
      </c>
      <c r="C860" s="15" t="s">
        <v>640</v>
      </c>
      <c r="D860" s="16" t="s">
        <v>735</v>
      </c>
      <c r="E860" s="16" t="s">
        <v>736</v>
      </c>
      <c r="F860" s="15" t="s">
        <v>686</v>
      </c>
      <c r="G860" s="15" t="s">
        <v>737</v>
      </c>
      <c r="H860" s="15" t="s">
        <v>203</v>
      </c>
      <c r="I860" s="17" t="n">
        <v>17</v>
      </c>
      <c r="J860" s="16" t="s">
        <v>655</v>
      </c>
      <c r="K860" s="15" t="s">
        <v>646</v>
      </c>
      <c r="L860" s="15" t="n">
        <f aca="false">IF(AND(OR(Search!$C$4="",Search!$C$4="All",B860=Search!$C$4),OR(Search!$C$5="",Search!$C$5="All",C860=Search!$C$5),OR(Search!$C$6="",Search!$C$6="All",D860=Search!$C$6),OR(Search!$C$7="",ISNUMBER(SEARCH(Search!$C$7,D860&amp;" "&amp;E860&amp;" "&amp;F860&amp;" "&amp;G860&amp;" "&amp;H860&amp;" "&amp;J860))),OR(Search!$C$8="",ISNUMBER(SEARCH(Search!$C$8,G860)))),1,0)</f>
        <v>1</v>
      </c>
      <c r="M860" s="15" t="n">
        <f aca="false">M859+L860</f>
        <v>859</v>
      </c>
    </row>
    <row r="861" customFormat="false" ht="15" hidden="false" customHeight="false" outlineLevel="0" collapsed="false">
      <c r="A861" s="14" t="n">
        <v>860</v>
      </c>
      <c r="B861" s="15" t="s">
        <v>639</v>
      </c>
      <c r="C861" s="15" t="s">
        <v>640</v>
      </c>
      <c r="D861" s="16" t="s">
        <v>735</v>
      </c>
      <c r="E861" s="16" t="s">
        <v>736</v>
      </c>
      <c r="F861" s="15" t="s">
        <v>686</v>
      </c>
      <c r="G861" s="15" t="s">
        <v>163</v>
      </c>
      <c r="H861" s="15" t="s">
        <v>203</v>
      </c>
      <c r="I861" s="17" t="n">
        <v>35</v>
      </c>
      <c r="J861" s="16" t="s">
        <v>655</v>
      </c>
      <c r="K861" s="15" t="s">
        <v>646</v>
      </c>
      <c r="L861" s="15" t="n">
        <f aca="false">IF(AND(OR(Search!$C$4="",Search!$C$4="All",B861=Search!$C$4),OR(Search!$C$5="",Search!$C$5="All",C861=Search!$C$5),OR(Search!$C$6="",Search!$C$6="All",D861=Search!$C$6),OR(Search!$C$7="",ISNUMBER(SEARCH(Search!$C$7,D861&amp;" "&amp;E861&amp;" "&amp;F861&amp;" "&amp;G861&amp;" "&amp;H861&amp;" "&amp;J861))),OR(Search!$C$8="",ISNUMBER(SEARCH(Search!$C$8,G861)))),1,0)</f>
        <v>1</v>
      </c>
      <c r="M861" s="15" t="n">
        <f aca="false">M860+L861</f>
        <v>860</v>
      </c>
    </row>
    <row r="862" customFormat="false" ht="15" hidden="false" customHeight="false" outlineLevel="0" collapsed="false">
      <c r="A862" s="14" t="n">
        <v>861</v>
      </c>
      <c r="B862" s="15" t="s">
        <v>639</v>
      </c>
      <c r="C862" s="15" t="s">
        <v>640</v>
      </c>
      <c r="D862" s="16" t="s">
        <v>738</v>
      </c>
      <c r="E862" s="16" t="s">
        <v>739</v>
      </c>
      <c r="F862" s="15" t="s">
        <v>657</v>
      </c>
      <c r="G862" s="15" t="s">
        <v>660</v>
      </c>
      <c r="H862" s="15" t="s">
        <v>203</v>
      </c>
      <c r="I862" s="17" t="n">
        <v>37</v>
      </c>
      <c r="J862" s="16" t="s">
        <v>655</v>
      </c>
      <c r="K862" s="15" t="s">
        <v>646</v>
      </c>
      <c r="L862" s="15" t="n">
        <f aca="false">IF(AND(OR(Search!$C$4="",Search!$C$4="All",B862=Search!$C$4),OR(Search!$C$5="",Search!$C$5="All",C862=Search!$C$5),OR(Search!$C$6="",Search!$C$6="All",D862=Search!$C$6),OR(Search!$C$7="",ISNUMBER(SEARCH(Search!$C$7,D862&amp;" "&amp;E862&amp;" "&amp;F862&amp;" "&amp;G862&amp;" "&amp;H862&amp;" "&amp;J862))),OR(Search!$C$8="",ISNUMBER(SEARCH(Search!$C$8,G862)))),1,0)</f>
        <v>1</v>
      </c>
      <c r="M862" s="15" t="n">
        <f aca="false">M861+L862</f>
        <v>861</v>
      </c>
    </row>
    <row r="863" customFormat="false" ht="15" hidden="false" customHeight="false" outlineLevel="0" collapsed="false">
      <c r="A863" s="14" t="n">
        <v>862</v>
      </c>
      <c r="B863" s="15" t="s">
        <v>639</v>
      </c>
      <c r="C863" s="15" t="s">
        <v>640</v>
      </c>
      <c r="D863" s="16" t="s">
        <v>738</v>
      </c>
      <c r="E863" s="16" t="s">
        <v>739</v>
      </c>
      <c r="F863" s="15" t="s">
        <v>661</v>
      </c>
      <c r="G863" s="15" t="s">
        <v>660</v>
      </c>
      <c r="H863" s="15" t="s">
        <v>203</v>
      </c>
      <c r="I863" s="17" t="n">
        <v>75</v>
      </c>
      <c r="J863" s="16" t="s">
        <v>655</v>
      </c>
      <c r="K863" s="15" t="s">
        <v>646</v>
      </c>
      <c r="L863" s="15" t="n">
        <f aca="false">IF(AND(OR(Search!$C$4="",Search!$C$4="All",B863=Search!$C$4),OR(Search!$C$5="",Search!$C$5="All",C863=Search!$C$5),OR(Search!$C$6="",Search!$C$6="All",D863=Search!$C$6),OR(Search!$C$7="",ISNUMBER(SEARCH(Search!$C$7,D863&amp;" "&amp;E863&amp;" "&amp;F863&amp;" "&amp;G863&amp;" "&amp;H863&amp;" "&amp;J863))),OR(Search!$C$8="",ISNUMBER(SEARCH(Search!$C$8,G863)))),1,0)</f>
        <v>1</v>
      </c>
      <c r="M863" s="15" t="n">
        <f aca="false">M862+L863</f>
        <v>862</v>
      </c>
    </row>
    <row r="864" customFormat="false" ht="46.25" hidden="false" customHeight="false" outlineLevel="0" collapsed="false">
      <c r="A864" s="14" t="n">
        <v>863</v>
      </c>
      <c r="B864" s="15" t="s">
        <v>639</v>
      </c>
      <c r="C864" s="15" t="s">
        <v>640</v>
      </c>
      <c r="D864" s="16" t="s">
        <v>740</v>
      </c>
      <c r="E864" s="16" t="s">
        <v>741</v>
      </c>
      <c r="F864" s="15" t="s">
        <v>192</v>
      </c>
      <c r="G864" s="15" t="s">
        <v>406</v>
      </c>
      <c r="H864" s="15" t="s">
        <v>203</v>
      </c>
      <c r="I864" s="17" t="n">
        <v>49</v>
      </c>
      <c r="J864" s="16" t="s">
        <v>645</v>
      </c>
      <c r="K864" s="15" t="s">
        <v>646</v>
      </c>
      <c r="L864" s="15" t="n">
        <f aca="false">IF(AND(OR(Search!$C$4="",Search!$C$4="All",B864=Search!$C$4),OR(Search!$C$5="",Search!$C$5="All",C864=Search!$C$5),OR(Search!$C$6="",Search!$C$6="All",D864=Search!$C$6),OR(Search!$C$7="",ISNUMBER(SEARCH(Search!$C$7,D864&amp;" "&amp;E864&amp;" "&amp;F864&amp;" "&amp;G864&amp;" "&amp;H864&amp;" "&amp;J864))),OR(Search!$C$8="",ISNUMBER(SEARCH(Search!$C$8,G864)))),1,0)</f>
        <v>1</v>
      </c>
      <c r="M864" s="15" t="n">
        <f aca="false">M863+L864</f>
        <v>863</v>
      </c>
    </row>
    <row r="865" customFormat="false" ht="46.25" hidden="false" customHeight="false" outlineLevel="0" collapsed="false">
      <c r="A865" s="14" t="n">
        <v>864</v>
      </c>
      <c r="B865" s="15" t="s">
        <v>639</v>
      </c>
      <c r="C865" s="15" t="s">
        <v>640</v>
      </c>
      <c r="D865" s="16" t="s">
        <v>740</v>
      </c>
      <c r="E865" s="16" t="s">
        <v>741</v>
      </c>
      <c r="F865" s="15" t="s">
        <v>650</v>
      </c>
      <c r="G865" s="15" t="s">
        <v>406</v>
      </c>
      <c r="H865" s="15" t="s">
        <v>203</v>
      </c>
      <c r="I865" s="17" t="n">
        <v>86</v>
      </c>
      <c r="J865" s="16" t="s">
        <v>645</v>
      </c>
      <c r="K865" s="15" t="s">
        <v>646</v>
      </c>
      <c r="L865" s="15" t="n">
        <f aca="false">IF(AND(OR(Search!$C$4="",Search!$C$4="All",B865=Search!$C$4),OR(Search!$C$5="",Search!$C$5="All",C865=Search!$C$5),OR(Search!$C$6="",Search!$C$6="All",D865=Search!$C$6),OR(Search!$C$7="",ISNUMBER(SEARCH(Search!$C$7,D865&amp;" "&amp;E865&amp;" "&amp;F865&amp;" "&amp;G865&amp;" "&amp;H865&amp;" "&amp;J865))),OR(Search!$C$8="",ISNUMBER(SEARCH(Search!$C$8,G865)))),1,0)</f>
        <v>1</v>
      </c>
      <c r="M865" s="15" t="n">
        <f aca="false">M864+L865</f>
        <v>864</v>
      </c>
    </row>
    <row r="866" customFormat="false" ht="15" hidden="false" customHeight="false" outlineLevel="0" collapsed="false">
      <c r="A866" s="14" t="n">
        <v>865</v>
      </c>
      <c r="B866" s="15" t="s">
        <v>639</v>
      </c>
      <c r="C866" s="15" t="s">
        <v>640</v>
      </c>
      <c r="D866" s="16" t="s">
        <v>742</v>
      </c>
      <c r="E866" s="16" t="s">
        <v>743</v>
      </c>
      <c r="F866" s="15" t="s">
        <v>744</v>
      </c>
      <c r="G866" s="15" t="s">
        <v>406</v>
      </c>
      <c r="H866" s="15" t="s">
        <v>203</v>
      </c>
      <c r="I866" s="17" t="n">
        <v>24</v>
      </c>
      <c r="J866" s="16" t="s">
        <v>645</v>
      </c>
      <c r="K866" s="15" t="s">
        <v>646</v>
      </c>
      <c r="L866" s="15" t="n">
        <f aca="false">IF(AND(OR(Search!$C$4="",Search!$C$4="All",B866=Search!$C$4),OR(Search!$C$5="",Search!$C$5="All",C866=Search!$C$5),OR(Search!$C$6="",Search!$C$6="All",D866=Search!$C$6),OR(Search!$C$7="",ISNUMBER(SEARCH(Search!$C$7,D866&amp;" "&amp;E866&amp;" "&amp;F866&amp;" "&amp;G866&amp;" "&amp;H866&amp;" "&amp;J866))),OR(Search!$C$8="",ISNUMBER(SEARCH(Search!$C$8,G866)))),1,0)</f>
        <v>1</v>
      </c>
      <c r="M866" s="15" t="n">
        <f aca="false">M865+L866</f>
        <v>865</v>
      </c>
    </row>
    <row r="867" customFormat="false" ht="15" hidden="false" customHeight="false" outlineLevel="0" collapsed="false">
      <c r="A867" s="14" t="n">
        <v>866</v>
      </c>
      <c r="B867" s="15" t="s">
        <v>639</v>
      </c>
      <c r="C867" s="15" t="s">
        <v>640</v>
      </c>
      <c r="D867" s="16" t="s">
        <v>742</v>
      </c>
      <c r="E867" s="16" t="s">
        <v>743</v>
      </c>
      <c r="F867" s="15" t="s">
        <v>745</v>
      </c>
      <c r="G867" s="15" t="s">
        <v>406</v>
      </c>
      <c r="H867" s="15" t="s">
        <v>203</v>
      </c>
      <c r="I867" s="17" t="n">
        <v>28</v>
      </c>
      <c r="J867" s="16" t="s">
        <v>645</v>
      </c>
      <c r="K867" s="15" t="s">
        <v>646</v>
      </c>
      <c r="L867" s="15" t="n">
        <f aca="false">IF(AND(OR(Search!$C$4="",Search!$C$4="All",B867=Search!$C$4),OR(Search!$C$5="",Search!$C$5="All",C867=Search!$C$5),OR(Search!$C$6="",Search!$C$6="All",D867=Search!$C$6),OR(Search!$C$7="",ISNUMBER(SEARCH(Search!$C$7,D867&amp;" "&amp;E867&amp;" "&amp;F867&amp;" "&amp;G867&amp;" "&amp;H867&amp;" "&amp;J867))),OR(Search!$C$8="",ISNUMBER(SEARCH(Search!$C$8,G867)))),1,0)</f>
        <v>1</v>
      </c>
      <c r="M867" s="15" t="n">
        <f aca="false">M866+L867</f>
        <v>866</v>
      </c>
    </row>
    <row r="868" customFormat="false" ht="15" hidden="false" customHeight="false" outlineLevel="0" collapsed="false">
      <c r="A868" s="14" t="n">
        <v>867</v>
      </c>
      <c r="B868" s="15" t="s">
        <v>639</v>
      </c>
      <c r="C868" s="15" t="s">
        <v>640</v>
      </c>
      <c r="D868" s="16" t="s">
        <v>742</v>
      </c>
      <c r="E868" s="16" t="s">
        <v>743</v>
      </c>
      <c r="F868" s="15" t="s">
        <v>746</v>
      </c>
      <c r="G868" s="15" t="s">
        <v>406</v>
      </c>
      <c r="H868" s="15" t="s">
        <v>203</v>
      </c>
      <c r="I868" s="17" t="n">
        <v>34</v>
      </c>
      <c r="J868" s="16" t="s">
        <v>645</v>
      </c>
      <c r="K868" s="15" t="s">
        <v>646</v>
      </c>
      <c r="L868" s="15" t="n">
        <f aca="false">IF(AND(OR(Search!$C$4="",Search!$C$4="All",B868=Search!$C$4),OR(Search!$C$5="",Search!$C$5="All",C868=Search!$C$5),OR(Search!$C$6="",Search!$C$6="All",D868=Search!$C$6),OR(Search!$C$7="",ISNUMBER(SEARCH(Search!$C$7,D868&amp;" "&amp;E868&amp;" "&amp;F868&amp;" "&amp;G868&amp;" "&amp;H868&amp;" "&amp;J868))),OR(Search!$C$8="",ISNUMBER(SEARCH(Search!$C$8,G868)))),1,0)</f>
        <v>1</v>
      </c>
      <c r="M868" s="15" t="n">
        <f aca="false">M867+L868</f>
        <v>867</v>
      </c>
    </row>
    <row r="869" customFormat="false" ht="15" hidden="false" customHeight="false" outlineLevel="0" collapsed="false">
      <c r="A869" s="14" t="n">
        <v>868</v>
      </c>
      <c r="B869" s="15" t="s">
        <v>639</v>
      </c>
      <c r="C869" s="15" t="s">
        <v>640</v>
      </c>
      <c r="D869" s="16" t="s">
        <v>742</v>
      </c>
      <c r="E869" s="16" t="s">
        <v>743</v>
      </c>
      <c r="F869" s="15" t="s">
        <v>747</v>
      </c>
      <c r="G869" s="15" t="s">
        <v>406</v>
      </c>
      <c r="H869" s="15" t="s">
        <v>203</v>
      </c>
      <c r="I869" s="17" t="n">
        <v>49</v>
      </c>
      <c r="J869" s="16" t="s">
        <v>645</v>
      </c>
      <c r="K869" s="15" t="s">
        <v>646</v>
      </c>
      <c r="L869" s="15" t="n">
        <f aca="false">IF(AND(OR(Search!$C$4="",Search!$C$4="All",B869=Search!$C$4),OR(Search!$C$5="",Search!$C$5="All",C869=Search!$C$5),OR(Search!$C$6="",Search!$C$6="All",D869=Search!$C$6),OR(Search!$C$7="",ISNUMBER(SEARCH(Search!$C$7,D869&amp;" "&amp;E869&amp;" "&amp;F869&amp;" "&amp;G869&amp;" "&amp;H869&amp;" "&amp;J869))),OR(Search!$C$8="",ISNUMBER(SEARCH(Search!$C$8,G869)))),1,0)</f>
        <v>1</v>
      </c>
      <c r="M869" s="15" t="n">
        <f aca="false">M868+L869</f>
        <v>868</v>
      </c>
    </row>
    <row r="870" customFormat="false" ht="23.85" hidden="false" customHeight="false" outlineLevel="0" collapsed="false">
      <c r="A870" s="14" t="n">
        <v>869</v>
      </c>
      <c r="B870" s="15" t="s">
        <v>639</v>
      </c>
      <c r="C870" s="15" t="s">
        <v>640</v>
      </c>
      <c r="D870" s="16" t="s">
        <v>748</v>
      </c>
      <c r="E870" s="16" t="s">
        <v>749</v>
      </c>
      <c r="F870" s="15" t="s">
        <v>750</v>
      </c>
      <c r="G870" s="15" t="s">
        <v>406</v>
      </c>
      <c r="H870" s="15" t="s">
        <v>203</v>
      </c>
      <c r="I870" s="17" t="n">
        <v>88</v>
      </c>
      <c r="J870" s="16" t="s">
        <v>645</v>
      </c>
      <c r="K870" s="15" t="s">
        <v>646</v>
      </c>
      <c r="L870" s="15" t="n">
        <f aca="false">IF(AND(OR(Search!$C$4="",Search!$C$4="All",B870=Search!$C$4),OR(Search!$C$5="",Search!$C$5="All",C870=Search!$C$5),OR(Search!$C$6="",Search!$C$6="All",D870=Search!$C$6),OR(Search!$C$7="",ISNUMBER(SEARCH(Search!$C$7,D870&amp;" "&amp;E870&amp;" "&amp;F870&amp;" "&amp;G870&amp;" "&amp;H870&amp;" "&amp;J870))),OR(Search!$C$8="",ISNUMBER(SEARCH(Search!$C$8,G870)))),1,0)</f>
        <v>1</v>
      </c>
      <c r="M870" s="15" t="n">
        <f aca="false">M869+L870</f>
        <v>869</v>
      </c>
    </row>
    <row r="871" customFormat="false" ht="15" hidden="false" customHeight="false" outlineLevel="0" collapsed="false">
      <c r="A871" s="14" t="n">
        <v>870</v>
      </c>
      <c r="B871" s="15" t="s">
        <v>639</v>
      </c>
      <c r="C871" s="15" t="s">
        <v>640</v>
      </c>
      <c r="D871" s="16" t="s">
        <v>748</v>
      </c>
      <c r="E871" s="16" t="s">
        <v>751</v>
      </c>
      <c r="F871" s="15" t="s">
        <v>750</v>
      </c>
      <c r="G871" s="15" t="s">
        <v>406</v>
      </c>
      <c r="H871" s="15" t="s">
        <v>203</v>
      </c>
      <c r="I871" s="17" t="n">
        <v>100</v>
      </c>
      <c r="J871" s="16" t="s">
        <v>645</v>
      </c>
      <c r="K871" s="15" t="s">
        <v>646</v>
      </c>
      <c r="L871" s="15" t="n">
        <f aca="false">IF(AND(OR(Search!$C$4="",Search!$C$4="All",B871=Search!$C$4),OR(Search!$C$5="",Search!$C$5="All",C871=Search!$C$5),OR(Search!$C$6="",Search!$C$6="All",D871=Search!$C$6),OR(Search!$C$7="",ISNUMBER(SEARCH(Search!$C$7,D871&amp;" "&amp;E871&amp;" "&amp;F871&amp;" "&amp;G871&amp;" "&amp;H871&amp;" "&amp;J871))),OR(Search!$C$8="",ISNUMBER(SEARCH(Search!$C$8,G871)))),1,0)</f>
        <v>1</v>
      </c>
      <c r="M871" s="15" t="n">
        <f aca="false">M870+L871</f>
        <v>870</v>
      </c>
    </row>
    <row r="872" customFormat="false" ht="23.85" hidden="false" customHeight="false" outlineLevel="0" collapsed="false">
      <c r="A872" s="14" t="n">
        <v>871</v>
      </c>
      <c r="B872" s="15" t="s">
        <v>639</v>
      </c>
      <c r="C872" s="15" t="s">
        <v>640</v>
      </c>
      <c r="D872" s="16" t="s">
        <v>748</v>
      </c>
      <c r="E872" s="16" t="s">
        <v>752</v>
      </c>
      <c r="F872" s="15" t="s">
        <v>750</v>
      </c>
      <c r="G872" s="15" t="s">
        <v>406</v>
      </c>
      <c r="H872" s="15" t="s">
        <v>203</v>
      </c>
      <c r="I872" s="17" t="n">
        <v>111</v>
      </c>
      <c r="J872" s="16" t="s">
        <v>753</v>
      </c>
      <c r="K872" s="15" t="s">
        <v>646</v>
      </c>
      <c r="L872" s="15" t="n">
        <f aca="false">IF(AND(OR(Search!$C$4="",Search!$C$4="All",B872=Search!$C$4),OR(Search!$C$5="",Search!$C$5="All",C872=Search!$C$5),OR(Search!$C$6="",Search!$C$6="All",D872=Search!$C$6),OR(Search!$C$7="",ISNUMBER(SEARCH(Search!$C$7,D872&amp;" "&amp;E872&amp;" "&amp;F872&amp;" "&amp;G872&amp;" "&amp;H872&amp;" "&amp;J872))),OR(Search!$C$8="",ISNUMBER(SEARCH(Search!$C$8,G872)))),1,0)</f>
        <v>1</v>
      </c>
      <c r="M872" s="15" t="n">
        <f aca="false">M871+L872</f>
        <v>871</v>
      </c>
    </row>
    <row r="873" customFormat="false" ht="35.05" hidden="false" customHeight="false" outlineLevel="0" collapsed="false">
      <c r="A873" s="14" t="n">
        <v>872</v>
      </c>
      <c r="B873" s="15" t="s">
        <v>639</v>
      </c>
      <c r="C873" s="15" t="s">
        <v>640</v>
      </c>
      <c r="D873" s="16" t="s">
        <v>754</v>
      </c>
      <c r="E873" s="16" t="s">
        <v>755</v>
      </c>
      <c r="F873" s="15" t="s">
        <v>192</v>
      </c>
      <c r="G873" s="15" t="s">
        <v>699</v>
      </c>
      <c r="H873" s="15" t="s">
        <v>203</v>
      </c>
      <c r="I873" s="17" t="n">
        <v>60</v>
      </c>
      <c r="J873" s="16" t="s">
        <v>655</v>
      </c>
      <c r="K873" s="15" t="s">
        <v>646</v>
      </c>
      <c r="L873" s="15" t="n">
        <f aca="false">IF(AND(OR(Search!$C$4="",Search!$C$4="All",B873=Search!$C$4),OR(Search!$C$5="",Search!$C$5="All",C873=Search!$C$5),OR(Search!$C$6="",Search!$C$6="All",D873=Search!$C$6),OR(Search!$C$7="",ISNUMBER(SEARCH(Search!$C$7,D873&amp;" "&amp;E873&amp;" "&amp;F873&amp;" "&amp;G873&amp;" "&amp;H873&amp;" "&amp;J873))),OR(Search!$C$8="",ISNUMBER(SEARCH(Search!$C$8,G873)))),1,0)</f>
        <v>1</v>
      </c>
      <c r="M873" s="15" t="n">
        <f aca="false">M872+L873</f>
        <v>872</v>
      </c>
    </row>
    <row r="874" customFormat="false" ht="23.85" hidden="false" customHeight="false" outlineLevel="0" collapsed="false">
      <c r="A874" s="14" t="n">
        <v>873</v>
      </c>
      <c r="B874" s="15" t="s">
        <v>639</v>
      </c>
      <c r="C874" s="15" t="s">
        <v>640</v>
      </c>
      <c r="D874" s="16" t="s">
        <v>754</v>
      </c>
      <c r="E874" s="16" t="s">
        <v>756</v>
      </c>
      <c r="F874" s="15" t="s">
        <v>192</v>
      </c>
      <c r="G874" s="15" t="s">
        <v>699</v>
      </c>
      <c r="H874" s="15" t="s">
        <v>203</v>
      </c>
      <c r="I874" s="17" t="n">
        <v>80</v>
      </c>
      <c r="J874" s="16" t="s">
        <v>655</v>
      </c>
      <c r="K874" s="15" t="s">
        <v>646</v>
      </c>
      <c r="L874" s="15" t="n">
        <f aca="false">IF(AND(OR(Search!$C$4="",Search!$C$4="All",B874=Search!$C$4),OR(Search!$C$5="",Search!$C$5="All",C874=Search!$C$5),OR(Search!$C$6="",Search!$C$6="All",D874=Search!$C$6),OR(Search!$C$7="",ISNUMBER(SEARCH(Search!$C$7,D874&amp;" "&amp;E874&amp;" "&amp;F874&amp;" "&amp;G874&amp;" "&amp;H874&amp;" "&amp;J874))),OR(Search!$C$8="",ISNUMBER(SEARCH(Search!$C$8,G874)))),1,0)</f>
        <v>1</v>
      </c>
      <c r="M874" s="15" t="n">
        <f aca="false">M873+L874</f>
        <v>873</v>
      </c>
    </row>
    <row r="875" customFormat="false" ht="35.05" hidden="false" customHeight="false" outlineLevel="0" collapsed="false">
      <c r="A875" s="14" t="n">
        <v>874</v>
      </c>
      <c r="B875" s="15" t="s">
        <v>639</v>
      </c>
      <c r="C875" s="15" t="s">
        <v>640</v>
      </c>
      <c r="D875" s="16" t="s">
        <v>754</v>
      </c>
      <c r="E875" s="16" t="s">
        <v>755</v>
      </c>
      <c r="F875" s="15" t="s">
        <v>651</v>
      </c>
      <c r="G875" s="15" t="s">
        <v>699</v>
      </c>
      <c r="H875" s="15" t="s">
        <v>203</v>
      </c>
      <c r="I875" s="17" t="n">
        <v>155</v>
      </c>
      <c r="J875" s="16" t="s">
        <v>655</v>
      </c>
      <c r="K875" s="15" t="s">
        <v>646</v>
      </c>
      <c r="L875" s="15" t="n">
        <f aca="false">IF(AND(OR(Search!$C$4="",Search!$C$4="All",B875=Search!$C$4),OR(Search!$C$5="",Search!$C$5="All",C875=Search!$C$5),OR(Search!$C$6="",Search!$C$6="All",D875=Search!$C$6),OR(Search!$C$7="",ISNUMBER(SEARCH(Search!$C$7,D875&amp;" "&amp;E875&amp;" "&amp;F875&amp;" "&amp;G875&amp;" "&amp;H875&amp;" "&amp;J875))),OR(Search!$C$8="",ISNUMBER(SEARCH(Search!$C$8,G875)))),1,0)</f>
        <v>1</v>
      </c>
      <c r="M875" s="15" t="n">
        <f aca="false">M874+L875</f>
        <v>874</v>
      </c>
    </row>
    <row r="876" customFormat="false" ht="23.85" hidden="false" customHeight="false" outlineLevel="0" collapsed="false">
      <c r="A876" s="14" t="n">
        <v>875</v>
      </c>
      <c r="B876" s="15" t="s">
        <v>639</v>
      </c>
      <c r="C876" s="15" t="s">
        <v>640</v>
      </c>
      <c r="D876" s="16" t="s">
        <v>754</v>
      </c>
      <c r="E876" s="16" t="s">
        <v>756</v>
      </c>
      <c r="F876" s="15" t="s">
        <v>651</v>
      </c>
      <c r="G876" s="15" t="s">
        <v>699</v>
      </c>
      <c r="H876" s="15" t="s">
        <v>203</v>
      </c>
      <c r="I876" s="17" t="n">
        <v>175</v>
      </c>
      <c r="J876" s="16" t="s">
        <v>655</v>
      </c>
      <c r="K876" s="15" t="s">
        <v>646</v>
      </c>
      <c r="L876" s="15" t="n">
        <f aca="false">IF(AND(OR(Search!$C$4="",Search!$C$4="All",B876=Search!$C$4),OR(Search!$C$5="",Search!$C$5="All",C876=Search!$C$5),OR(Search!$C$6="",Search!$C$6="All",D876=Search!$C$6),OR(Search!$C$7="",ISNUMBER(SEARCH(Search!$C$7,D876&amp;" "&amp;E876&amp;" "&amp;F876&amp;" "&amp;G876&amp;" "&amp;H876&amp;" "&amp;J876))),OR(Search!$C$8="",ISNUMBER(SEARCH(Search!$C$8,G876)))),1,0)</f>
        <v>1</v>
      </c>
      <c r="M876" s="15" t="n">
        <f aca="false">M875+L876</f>
        <v>875</v>
      </c>
    </row>
    <row r="877" customFormat="false" ht="15" hidden="false" customHeight="false" outlineLevel="0" collapsed="false">
      <c r="A877" s="14" t="n">
        <v>876</v>
      </c>
      <c r="B877" s="15" t="s">
        <v>639</v>
      </c>
      <c r="C877" s="15" t="s">
        <v>640</v>
      </c>
      <c r="D877" s="16" t="s">
        <v>757</v>
      </c>
      <c r="E877" s="16" t="s">
        <v>758</v>
      </c>
      <c r="F877" s="15" t="s">
        <v>759</v>
      </c>
      <c r="G877" s="15" t="s">
        <v>673</v>
      </c>
      <c r="H877" s="15" t="s">
        <v>203</v>
      </c>
      <c r="I877" s="17" t="n">
        <v>60</v>
      </c>
      <c r="J877" s="16" t="s">
        <v>645</v>
      </c>
      <c r="K877" s="15" t="s">
        <v>646</v>
      </c>
      <c r="L877" s="15" t="n">
        <f aca="false">IF(AND(OR(Search!$C$4="",Search!$C$4="All",B877=Search!$C$4),OR(Search!$C$5="",Search!$C$5="All",C877=Search!$C$5),OR(Search!$C$6="",Search!$C$6="All",D877=Search!$C$6),OR(Search!$C$7="",ISNUMBER(SEARCH(Search!$C$7,D877&amp;" "&amp;E877&amp;" "&amp;F877&amp;" "&amp;G877&amp;" "&amp;H877&amp;" "&amp;J877))),OR(Search!$C$8="",ISNUMBER(SEARCH(Search!$C$8,G877)))),1,0)</f>
        <v>1</v>
      </c>
      <c r="M877" s="15" t="n">
        <f aca="false">M876+L877</f>
        <v>876</v>
      </c>
    </row>
    <row r="878" customFormat="false" ht="15" hidden="false" customHeight="false" outlineLevel="0" collapsed="false">
      <c r="A878" s="14" t="n">
        <v>877</v>
      </c>
      <c r="B878" s="15" t="s">
        <v>639</v>
      </c>
      <c r="C878" s="15" t="s">
        <v>640</v>
      </c>
      <c r="D878" s="16" t="s">
        <v>757</v>
      </c>
      <c r="E878" s="16" t="s">
        <v>758</v>
      </c>
      <c r="F878" s="15" t="s">
        <v>760</v>
      </c>
      <c r="G878" s="15" t="s">
        <v>673</v>
      </c>
      <c r="H878" s="15" t="s">
        <v>203</v>
      </c>
      <c r="I878" s="17" t="n">
        <v>82</v>
      </c>
      <c r="J878" s="16" t="s">
        <v>645</v>
      </c>
      <c r="K878" s="15" t="s">
        <v>646</v>
      </c>
      <c r="L878" s="15" t="n">
        <f aca="false">IF(AND(OR(Search!$C$4="",Search!$C$4="All",B878=Search!$C$4),OR(Search!$C$5="",Search!$C$5="All",C878=Search!$C$5),OR(Search!$C$6="",Search!$C$6="All",D878=Search!$C$6),OR(Search!$C$7="",ISNUMBER(SEARCH(Search!$C$7,D878&amp;" "&amp;E878&amp;" "&amp;F878&amp;" "&amp;G878&amp;" "&amp;H878&amp;" "&amp;J878))),OR(Search!$C$8="",ISNUMBER(SEARCH(Search!$C$8,G878)))),1,0)</f>
        <v>1</v>
      </c>
      <c r="M878" s="15" t="n">
        <f aca="false">M877+L878</f>
        <v>877</v>
      </c>
    </row>
    <row r="879" customFormat="false" ht="15" hidden="false" customHeight="false" outlineLevel="0" collapsed="false">
      <c r="A879" s="14" t="n">
        <v>878</v>
      </c>
      <c r="B879" s="15" t="s">
        <v>639</v>
      </c>
      <c r="C879" s="15" t="s">
        <v>640</v>
      </c>
      <c r="D879" s="16" t="s">
        <v>757</v>
      </c>
      <c r="E879" s="16" t="s">
        <v>758</v>
      </c>
      <c r="F879" s="15" t="s">
        <v>745</v>
      </c>
      <c r="G879" s="15" t="s">
        <v>673</v>
      </c>
      <c r="H879" s="15" t="s">
        <v>203</v>
      </c>
      <c r="I879" s="17" t="n">
        <v>115</v>
      </c>
      <c r="J879" s="16" t="s">
        <v>645</v>
      </c>
      <c r="K879" s="15" t="s">
        <v>646</v>
      </c>
      <c r="L879" s="15" t="n">
        <f aca="false">IF(AND(OR(Search!$C$4="",Search!$C$4="All",B879=Search!$C$4),OR(Search!$C$5="",Search!$C$5="All",C879=Search!$C$5),OR(Search!$C$6="",Search!$C$6="All",D879=Search!$C$6),OR(Search!$C$7="",ISNUMBER(SEARCH(Search!$C$7,D879&amp;" "&amp;E879&amp;" "&amp;F879&amp;" "&amp;G879&amp;" "&amp;H879&amp;" "&amp;J879))),OR(Search!$C$8="",ISNUMBER(SEARCH(Search!$C$8,G879)))),1,0)</f>
        <v>1</v>
      </c>
      <c r="M879" s="15" t="n">
        <f aca="false">M878+L879</f>
        <v>878</v>
      </c>
    </row>
    <row r="880" customFormat="false" ht="15" hidden="false" customHeight="false" outlineLevel="0" collapsed="false">
      <c r="A880" s="14" t="n">
        <v>879</v>
      </c>
      <c r="B880" s="15" t="s">
        <v>639</v>
      </c>
      <c r="C880" s="15" t="s">
        <v>640</v>
      </c>
      <c r="D880" s="16" t="s">
        <v>757</v>
      </c>
      <c r="E880" s="16" t="s">
        <v>758</v>
      </c>
      <c r="F880" s="15" t="s">
        <v>288</v>
      </c>
      <c r="G880" s="15" t="s">
        <v>673</v>
      </c>
      <c r="H880" s="15" t="s">
        <v>203</v>
      </c>
      <c r="I880" s="17" t="n">
        <v>143</v>
      </c>
      <c r="J880" s="16" t="s">
        <v>645</v>
      </c>
      <c r="K880" s="15" t="s">
        <v>646</v>
      </c>
      <c r="L880" s="15" t="n">
        <f aca="false">IF(AND(OR(Search!$C$4="",Search!$C$4="All",B880=Search!$C$4),OR(Search!$C$5="",Search!$C$5="All",C880=Search!$C$5),OR(Search!$C$6="",Search!$C$6="All",D880=Search!$C$6),OR(Search!$C$7="",ISNUMBER(SEARCH(Search!$C$7,D880&amp;" "&amp;E880&amp;" "&amp;F880&amp;" "&amp;G880&amp;" "&amp;H880&amp;" "&amp;J880))),OR(Search!$C$8="",ISNUMBER(SEARCH(Search!$C$8,G880)))),1,0)</f>
        <v>1</v>
      </c>
      <c r="M880" s="15" t="n">
        <f aca="false">M879+L880</f>
        <v>879</v>
      </c>
    </row>
    <row r="881" customFormat="false" ht="15" hidden="false" customHeight="false" outlineLevel="0" collapsed="false">
      <c r="A881" s="14" t="n">
        <v>880</v>
      </c>
      <c r="B881" s="15" t="s">
        <v>639</v>
      </c>
      <c r="C881" s="15" t="s">
        <v>640</v>
      </c>
      <c r="D881" s="16" t="s">
        <v>761</v>
      </c>
      <c r="E881" s="16" t="s">
        <v>762</v>
      </c>
      <c r="F881" s="15" t="s">
        <v>192</v>
      </c>
      <c r="G881" s="15" t="s">
        <v>658</v>
      </c>
      <c r="H881" s="15" t="s">
        <v>203</v>
      </c>
      <c r="I881" s="17" t="n">
        <v>90</v>
      </c>
      <c r="J881" s="16" t="s">
        <v>655</v>
      </c>
      <c r="K881" s="15" t="s">
        <v>646</v>
      </c>
      <c r="L881" s="15" t="n">
        <f aca="false">IF(AND(OR(Search!$C$4="",Search!$C$4="All",B881=Search!$C$4),OR(Search!$C$5="",Search!$C$5="All",C881=Search!$C$5),OR(Search!$C$6="",Search!$C$6="All",D881=Search!$C$6),OR(Search!$C$7="",ISNUMBER(SEARCH(Search!$C$7,D881&amp;" "&amp;E881&amp;" "&amp;F881&amp;" "&amp;G881&amp;" "&amp;H881&amp;" "&amp;J881))),OR(Search!$C$8="",ISNUMBER(SEARCH(Search!$C$8,G881)))),1,0)</f>
        <v>1</v>
      </c>
      <c r="M881" s="15" t="n">
        <f aca="false">M880+L881</f>
        <v>880</v>
      </c>
    </row>
    <row r="882" customFormat="false" ht="15" hidden="false" customHeight="false" outlineLevel="0" collapsed="false">
      <c r="A882" s="14" t="n">
        <v>881</v>
      </c>
      <c r="B882" s="15" t="s">
        <v>639</v>
      </c>
      <c r="C882" s="15" t="s">
        <v>640</v>
      </c>
      <c r="D882" s="16" t="s">
        <v>761</v>
      </c>
      <c r="E882" s="16" t="s">
        <v>762</v>
      </c>
      <c r="F882" s="15" t="s">
        <v>289</v>
      </c>
      <c r="G882" s="15" t="s">
        <v>658</v>
      </c>
      <c r="H882" s="15" t="s">
        <v>203</v>
      </c>
      <c r="I882" s="17" t="n">
        <v>150</v>
      </c>
      <c r="J882" s="16" t="s">
        <v>655</v>
      </c>
      <c r="K882" s="15" t="s">
        <v>646</v>
      </c>
      <c r="L882" s="15" t="n">
        <f aca="false">IF(AND(OR(Search!$C$4="",Search!$C$4="All",B882=Search!$C$4),OR(Search!$C$5="",Search!$C$5="All",C882=Search!$C$5),OR(Search!$C$6="",Search!$C$6="All",D882=Search!$C$6),OR(Search!$C$7="",ISNUMBER(SEARCH(Search!$C$7,D882&amp;" "&amp;E882&amp;" "&amp;F882&amp;" "&amp;G882&amp;" "&amp;H882&amp;" "&amp;J882))),OR(Search!$C$8="",ISNUMBER(SEARCH(Search!$C$8,G882)))),1,0)</f>
        <v>1</v>
      </c>
      <c r="M882" s="15" t="n">
        <f aca="false">M881+L882</f>
        <v>881</v>
      </c>
    </row>
    <row r="883" customFormat="false" ht="15" hidden="false" customHeight="false" outlineLevel="0" collapsed="false">
      <c r="A883" s="14" t="n">
        <v>882</v>
      </c>
      <c r="B883" s="15" t="s">
        <v>639</v>
      </c>
      <c r="C883" s="15" t="s">
        <v>640</v>
      </c>
      <c r="D883" s="16" t="s">
        <v>761</v>
      </c>
      <c r="E883" s="16" t="s">
        <v>762</v>
      </c>
      <c r="F883" s="15" t="s">
        <v>763</v>
      </c>
      <c r="G883" s="15" t="s">
        <v>658</v>
      </c>
      <c r="H883" s="15" t="s">
        <v>203</v>
      </c>
      <c r="I883" s="17" t="n">
        <v>250</v>
      </c>
      <c r="J883" s="16" t="s">
        <v>655</v>
      </c>
      <c r="K883" s="15" t="s">
        <v>646</v>
      </c>
      <c r="L883" s="15" t="n">
        <f aca="false">IF(AND(OR(Search!$C$4="",Search!$C$4="All",B883=Search!$C$4),OR(Search!$C$5="",Search!$C$5="All",C883=Search!$C$5),OR(Search!$C$6="",Search!$C$6="All",D883=Search!$C$6),OR(Search!$C$7="",ISNUMBER(SEARCH(Search!$C$7,D883&amp;" "&amp;E883&amp;" "&amp;F883&amp;" "&amp;G883&amp;" "&amp;H883&amp;" "&amp;J883))),OR(Search!$C$8="",ISNUMBER(SEARCH(Search!$C$8,G883)))),1,0)</f>
        <v>1</v>
      </c>
      <c r="M883" s="15" t="n">
        <f aca="false">M882+L883</f>
        <v>882</v>
      </c>
    </row>
    <row r="884" customFormat="false" ht="15" hidden="false" customHeight="false" outlineLevel="0" collapsed="false">
      <c r="A884" s="14" t="n">
        <v>883</v>
      </c>
      <c r="B884" s="15" t="s">
        <v>639</v>
      </c>
      <c r="C884" s="15" t="s">
        <v>640</v>
      </c>
      <c r="D884" s="16" t="s">
        <v>764</v>
      </c>
      <c r="E884" s="16" t="s">
        <v>765</v>
      </c>
      <c r="F884" s="15" t="s">
        <v>192</v>
      </c>
      <c r="G884" s="15" t="s">
        <v>766</v>
      </c>
      <c r="H884" s="15" t="s">
        <v>203</v>
      </c>
      <c r="I884" s="17" t="n">
        <v>33</v>
      </c>
      <c r="J884" s="16" t="s">
        <v>655</v>
      </c>
      <c r="K884" s="15" t="s">
        <v>646</v>
      </c>
      <c r="L884" s="15" t="n">
        <f aca="false">IF(AND(OR(Search!$C$4="",Search!$C$4="All",B884=Search!$C$4),OR(Search!$C$5="",Search!$C$5="All",C884=Search!$C$5),OR(Search!$C$6="",Search!$C$6="All",D884=Search!$C$6),OR(Search!$C$7="",ISNUMBER(SEARCH(Search!$C$7,D884&amp;" "&amp;E884&amp;" "&amp;F884&amp;" "&amp;G884&amp;" "&amp;H884&amp;" "&amp;J884))),OR(Search!$C$8="",ISNUMBER(SEARCH(Search!$C$8,G884)))),1,0)</f>
        <v>1</v>
      </c>
      <c r="M884" s="15" t="n">
        <f aca="false">M883+L884</f>
        <v>883</v>
      </c>
    </row>
    <row r="885" customFormat="false" ht="15" hidden="false" customHeight="false" outlineLevel="0" collapsed="false">
      <c r="A885" s="14" t="n">
        <v>884</v>
      </c>
      <c r="B885" s="15" t="s">
        <v>639</v>
      </c>
      <c r="C885" s="15" t="s">
        <v>640</v>
      </c>
      <c r="D885" s="16" t="s">
        <v>764</v>
      </c>
      <c r="E885" s="16" t="s">
        <v>458</v>
      </c>
      <c r="F885" s="15" t="s">
        <v>745</v>
      </c>
      <c r="G885" s="15" t="s">
        <v>766</v>
      </c>
      <c r="H885" s="15" t="s">
        <v>203</v>
      </c>
      <c r="I885" s="17" t="n">
        <v>59</v>
      </c>
      <c r="J885" s="16" t="s">
        <v>655</v>
      </c>
      <c r="K885" s="15" t="s">
        <v>646</v>
      </c>
      <c r="L885" s="15" t="n">
        <f aca="false">IF(AND(OR(Search!$C$4="",Search!$C$4="All",B885=Search!$C$4),OR(Search!$C$5="",Search!$C$5="All",C885=Search!$C$5),OR(Search!$C$6="",Search!$C$6="All",D885=Search!$C$6),OR(Search!$C$7="",ISNUMBER(SEARCH(Search!$C$7,D885&amp;" "&amp;E885&amp;" "&amp;F885&amp;" "&amp;G885&amp;" "&amp;H885&amp;" "&amp;J885))),OR(Search!$C$8="",ISNUMBER(SEARCH(Search!$C$8,G885)))),1,0)</f>
        <v>1</v>
      </c>
      <c r="M885" s="15" t="n">
        <f aca="false">M884+L885</f>
        <v>884</v>
      </c>
    </row>
    <row r="886" customFormat="false" ht="15" hidden="false" customHeight="false" outlineLevel="0" collapsed="false">
      <c r="A886" s="14" t="n">
        <v>885</v>
      </c>
      <c r="B886" s="15" t="s">
        <v>639</v>
      </c>
      <c r="C886" s="15" t="s">
        <v>640</v>
      </c>
      <c r="D886" s="16" t="s">
        <v>764</v>
      </c>
      <c r="E886" s="16" t="s">
        <v>458</v>
      </c>
      <c r="F886" s="15" t="s">
        <v>649</v>
      </c>
      <c r="G886" s="15" t="s">
        <v>766</v>
      </c>
      <c r="H886" s="15" t="s">
        <v>203</v>
      </c>
      <c r="I886" s="17" t="n">
        <v>80</v>
      </c>
      <c r="J886" s="16" t="s">
        <v>655</v>
      </c>
      <c r="K886" s="15" t="s">
        <v>646</v>
      </c>
      <c r="L886" s="15" t="n">
        <f aca="false">IF(AND(OR(Search!$C$4="",Search!$C$4="All",B886=Search!$C$4),OR(Search!$C$5="",Search!$C$5="All",C886=Search!$C$5),OR(Search!$C$6="",Search!$C$6="All",D886=Search!$C$6),OR(Search!$C$7="",ISNUMBER(SEARCH(Search!$C$7,D886&amp;" "&amp;E886&amp;" "&amp;F886&amp;" "&amp;G886&amp;" "&amp;H886&amp;" "&amp;J886))),OR(Search!$C$8="",ISNUMBER(SEARCH(Search!$C$8,G886)))),1,0)</f>
        <v>1</v>
      </c>
      <c r="M886" s="15" t="n">
        <f aca="false">M885+L886</f>
        <v>885</v>
      </c>
    </row>
    <row r="887" customFormat="false" ht="15" hidden="false" customHeight="false" outlineLevel="0" collapsed="false">
      <c r="A887" s="14" t="n">
        <v>886</v>
      </c>
      <c r="B887" s="15" t="s">
        <v>639</v>
      </c>
      <c r="C887" s="15" t="s">
        <v>640</v>
      </c>
      <c r="D887" s="16" t="s">
        <v>764</v>
      </c>
      <c r="E887" s="16" t="s">
        <v>458</v>
      </c>
      <c r="F887" s="15" t="s">
        <v>767</v>
      </c>
      <c r="G887" s="15" t="s">
        <v>766</v>
      </c>
      <c r="H887" s="15" t="s">
        <v>203</v>
      </c>
      <c r="I887" s="17" t="n">
        <v>99</v>
      </c>
      <c r="J887" s="16" t="s">
        <v>655</v>
      </c>
      <c r="K887" s="15" t="s">
        <v>646</v>
      </c>
      <c r="L887" s="15" t="n">
        <f aca="false">IF(AND(OR(Search!$C$4="",Search!$C$4="All",B887=Search!$C$4),OR(Search!$C$5="",Search!$C$5="All",C887=Search!$C$5),OR(Search!$C$6="",Search!$C$6="All",D887=Search!$C$6),OR(Search!$C$7="",ISNUMBER(SEARCH(Search!$C$7,D887&amp;" "&amp;E887&amp;" "&amp;F887&amp;" "&amp;G887&amp;" "&amp;H887&amp;" "&amp;J887))),OR(Search!$C$8="",ISNUMBER(SEARCH(Search!$C$8,G887)))),1,0)</f>
        <v>1</v>
      </c>
      <c r="M887" s="15" t="n">
        <f aca="false">M886+L887</f>
        <v>886</v>
      </c>
    </row>
    <row r="888" customFormat="false" ht="15" hidden="false" customHeight="false" outlineLevel="0" collapsed="false">
      <c r="A888" s="14" t="n">
        <v>887</v>
      </c>
      <c r="B888" s="15" t="s">
        <v>639</v>
      </c>
      <c r="C888" s="15" t="s">
        <v>640</v>
      </c>
      <c r="D888" s="16" t="s">
        <v>768</v>
      </c>
      <c r="E888" s="16" t="s">
        <v>389</v>
      </c>
      <c r="F888" s="15" t="s">
        <v>187</v>
      </c>
      <c r="G888" s="15" t="s">
        <v>173</v>
      </c>
      <c r="H888" s="15" t="s">
        <v>203</v>
      </c>
      <c r="I888" s="17" t="n">
        <v>9.5</v>
      </c>
      <c r="J888" s="16" t="s">
        <v>655</v>
      </c>
      <c r="K888" s="15" t="s">
        <v>646</v>
      </c>
      <c r="L888" s="15" t="n">
        <f aca="false">IF(AND(OR(Search!$C$4="",Search!$C$4="All",B888=Search!$C$4),OR(Search!$C$5="",Search!$C$5="All",C888=Search!$C$5),OR(Search!$C$6="",Search!$C$6="All",D888=Search!$C$6),OR(Search!$C$7="",ISNUMBER(SEARCH(Search!$C$7,D888&amp;" "&amp;E888&amp;" "&amp;F888&amp;" "&amp;G888&amp;" "&amp;H888&amp;" "&amp;J888))),OR(Search!$C$8="",ISNUMBER(SEARCH(Search!$C$8,G888)))),1,0)</f>
        <v>1</v>
      </c>
      <c r="M888" s="15" t="n">
        <f aca="false">M887+L888</f>
        <v>887</v>
      </c>
    </row>
    <row r="889" customFormat="false" ht="15" hidden="false" customHeight="false" outlineLevel="0" collapsed="false">
      <c r="A889" s="14" t="n">
        <v>888</v>
      </c>
      <c r="B889" s="15" t="s">
        <v>639</v>
      </c>
      <c r="C889" s="15" t="s">
        <v>640</v>
      </c>
      <c r="D889" s="16" t="s">
        <v>768</v>
      </c>
      <c r="E889" s="16" t="s">
        <v>389</v>
      </c>
      <c r="F889" s="15" t="s">
        <v>648</v>
      </c>
      <c r="G889" s="15" t="s">
        <v>173</v>
      </c>
      <c r="H889" s="15" t="s">
        <v>203</v>
      </c>
      <c r="I889" s="17" t="n">
        <v>15</v>
      </c>
      <c r="J889" s="16" t="s">
        <v>655</v>
      </c>
      <c r="K889" s="15" t="s">
        <v>646</v>
      </c>
      <c r="L889" s="15" t="n">
        <f aca="false">IF(AND(OR(Search!$C$4="",Search!$C$4="All",B889=Search!$C$4),OR(Search!$C$5="",Search!$C$5="All",C889=Search!$C$5),OR(Search!$C$6="",Search!$C$6="All",D889=Search!$C$6),OR(Search!$C$7="",ISNUMBER(SEARCH(Search!$C$7,D889&amp;" "&amp;E889&amp;" "&amp;F889&amp;" "&amp;G889&amp;" "&amp;H889&amp;" "&amp;J889))),OR(Search!$C$8="",ISNUMBER(SEARCH(Search!$C$8,G889)))),1,0)</f>
        <v>1</v>
      </c>
      <c r="M889" s="15" t="n">
        <f aca="false">M888+L889</f>
        <v>888</v>
      </c>
    </row>
    <row r="890" customFormat="false" ht="15" hidden="false" customHeight="false" outlineLevel="0" collapsed="false">
      <c r="A890" s="14" t="n">
        <v>889</v>
      </c>
      <c r="B890" s="15" t="s">
        <v>639</v>
      </c>
      <c r="C890" s="15" t="s">
        <v>640</v>
      </c>
      <c r="D890" s="16" t="s">
        <v>768</v>
      </c>
      <c r="E890" s="16" t="s">
        <v>389</v>
      </c>
      <c r="F890" s="15" t="s">
        <v>649</v>
      </c>
      <c r="G890" s="15" t="s">
        <v>173</v>
      </c>
      <c r="H890" s="15" t="s">
        <v>203</v>
      </c>
      <c r="I890" s="17" t="n">
        <v>18</v>
      </c>
      <c r="J890" s="16" t="s">
        <v>655</v>
      </c>
      <c r="K890" s="15" t="s">
        <v>646</v>
      </c>
      <c r="L890" s="15" t="n">
        <f aca="false">IF(AND(OR(Search!$C$4="",Search!$C$4="All",B890=Search!$C$4),OR(Search!$C$5="",Search!$C$5="All",C890=Search!$C$5),OR(Search!$C$6="",Search!$C$6="All",D890=Search!$C$6),OR(Search!$C$7="",ISNUMBER(SEARCH(Search!$C$7,D890&amp;" "&amp;E890&amp;" "&amp;F890&amp;" "&amp;G890&amp;" "&amp;H890&amp;" "&amp;J890))),OR(Search!$C$8="",ISNUMBER(SEARCH(Search!$C$8,G890)))),1,0)</f>
        <v>1</v>
      </c>
      <c r="M890" s="15" t="n">
        <f aca="false">M889+L890</f>
        <v>889</v>
      </c>
    </row>
    <row r="891" customFormat="false" ht="15" hidden="false" customHeight="false" outlineLevel="0" collapsed="false">
      <c r="A891" s="14" t="n">
        <v>890</v>
      </c>
      <c r="B891" s="15" t="s">
        <v>639</v>
      </c>
      <c r="C891" s="15" t="s">
        <v>640</v>
      </c>
      <c r="D891" s="16" t="s">
        <v>768</v>
      </c>
      <c r="E891" s="16" t="s">
        <v>389</v>
      </c>
      <c r="F891" s="15" t="s">
        <v>651</v>
      </c>
      <c r="G891" s="15" t="s">
        <v>173</v>
      </c>
      <c r="H891" s="15" t="s">
        <v>203</v>
      </c>
      <c r="I891" s="17" t="n">
        <v>31.5</v>
      </c>
      <c r="J891" s="16" t="s">
        <v>655</v>
      </c>
      <c r="K891" s="15" t="s">
        <v>646</v>
      </c>
      <c r="L891" s="15" t="n">
        <f aca="false">IF(AND(OR(Search!$C$4="",Search!$C$4="All",B891=Search!$C$4),OR(Search!$C$5="",Search!$C$5="All",C891=Search!$C$5),OR(Search!$C$6="",Search!$C$6="All",D891=Search!$C$6),OR(Search!$C$7="",ISNUMBER(SEARCH(Search!$C$7,D891&amp;" "&amp;E891&amp;" "&amp;F891&amp;" "&amp;G891&amp;" "&amp;H891&amp;" "&amp;J891))),OR(Search!$C$8="",ISNUMBER(SEARCH(Search!$C$8,G891)))),1,0)</f>
        <v>1</v>
      </c>
      <c r="M891" s="15" t="n">
        <f aca="false">M890+L891</f>
        <v>890</v>
      </c>
    </row>
    <row r="892" customFormat="false" ht="15" hidden="false" customHeight="false" outlineLevel="0" collapsed="false">
      <c r="A892" s="14" t="n">
        <v>891</v>
      </c>
      <c r="B892" s="15" t="s">
        <v>639</v>
      </c>
      <c r="C892" s="15" t="s">
        <v>640</v>
      </c>
      <c r="D892" s="16" t="s">
        <v>769</v>
      </c>
      <c r="E892" s="16" t="s">
        <v>770</v>
      </c>
      <c r="F892" s="15" t="s">
        <v>187</v>
      </c>
      <c r="G892" s="15" t="s">
        <v>173</v>
      </c>
      <c r="H892" s="15" t="s">
        <v>203</v>
      </c>
      <c r="I892" s="17" t="n">
        <v>9.5</v>
      </c>
      <c r="J892" s="16" t="s">
        <v>655</v>
      </c>
      <c r="K892" s="15" t="s">
        <v>646</v>
      </c>
      <c r="L892" s="15" t="n">
        <f aca="false">IF(AND(OR(Search!$C$4="",Search!$C$4="All",B892=Search!$C$4),OR(Search!$C$5="",Search!$C$5="All",C892=Search!$C$5),OR(Search!$C$6="",Search!$C$6="All",D892=Search!$C$6),OR(Search!$C$7="",ISNUMBER(SEARCH(Search!$C$7,D892&amp;" "&amp;E892&amp;" "&amp;F892&amp;" "&amp;G892&amp;" "&amp;H892&amp;" "&amp;J892))),OR(Search!$C$8="",ISNUMBER(SEARCH(Search!$C$8,G892)))),1,0)</f>
        <v>1</v>
      </c>
      <c r="M892" s="15" t="n">
        <f aca="false">M891+L892</f>
        <v>891</v>
      </c>
    </row>
    <row r="893" customFormat="false" ht="15" hidden="false" customHeight="false" outlineLevel="0" collapsed="false">
      <c r="A893" s="14" t="n">
        <v>892</v>
      </c>
      <c r="B893" s="15" t="s">
        <v>639</v>
      </c>
      <c r="C893" s="15" t="s">
        <v>640</v>
      </c>
      <c r="D893" s="16" t="s">
        <v>769</v>
      </c>
      <c r="E893" s="16" t="s">
        <v>770</v>
      </c>
      <c r="F893" s="15" t="s">
        <v>648</v>
      </c>
      <c r="G893" s="15" t="s">
        <v>173</v>
      </c>
      <c r="H893" s="15" t="s">
        <v>203</v>
      </c>
      <c r="I893" s="17" t="n">
        <v>15</v>
      </c>
      <c r="J893" s="16" t="s">
        <v>655</v>
      </c>
      <c r="K893" s="15" t="s">
        <v>646</v>
      </c>
      <c r="L893" s="15" t="n">
        <f aca="false">IF(AND(OR(Search!$C$4="",Search!$C$4="All",B893=Search!$C$4),OR(Search!$C$5="",Search!$C$5="All",C893=Search!$C$5),OR(Search!$C$6="",Search!$C$6="All",D893=Search!$C$6),OR(Search!$C$7="",ISNUMBER(SEARCH(Search!$C$7,D893&amp;" "&amp;E893&amp;" "&amp;F893&amp;" "&amp;G893&amp;" "&amp;H893&amp;" "&amp;J893))),OR(Search!$C$8="",ISNUMBER(SEARCH(Search!$C$8,G893)))),1,0)</f>
        <v>1</v>
      </c>
      <c r="M893" s="15" t="n">
        <f aca="false">M892+L893</f>
        <v>892</v>
      </c>
    </row>
    <row r="894" customFormat="false" ht="15" hidden="false" customHeight="false" outlineLevel="0" collapsed="false">
      <c r="A894" s="14" t="n">
        <v>893</v>
      </c>
      <c r="B894" s="15" t="s">
        <v>639</v>
      </c>
      <c r="C894" s="15" t="s">
        <v>640</v>
      </c>
      <c r="D894" s="16" t="s">
        <v>769</v>
      </c>
      <c r="E894" s="16" t="s">
        <v>770</v>
      </c>
      <c r="F894" s="15" t="s">
        <v>649</v>
      </c>
      <c r="G894" s="15" t="s">
        <v>173</v>
      </c>
      <c r="H894" s="15" t="s">
        <v>203</v>
      </c>
      <c r="I894" s="17" t="n">
        <v>18</v>
      </c>
      <c r="J894" s="16" t="s">
        <v>655</v>
      </c>
      <c r="K894" s="15" t="s">
        <v>646</v>
      </c>
      <c r="L894" s="15" t="n">
        <f aca="false">IF(AND(OR(Search!$C$4="",Search!$C$4="All",B894=Search!$C$4),OR(Search!$C$5="",Search!$C$5="All",C894=Search!$C$5),OR(Search!$C$6="",Search!$C$6="All",D894=Search!$C$6),OR(Search!$C$7="",ISNUMBER(SEARCH(Search!$C$7,D894&amp;" "&amp;E894&amp;" "&amp;F894&amp;" "&amp;G894&amp;" "&amp;H894&amp;" "&amp;J894))),OR(Search!$C$8="",ISNUMBER(SEARCH(Search!$C$8,G894)))),1,0)</f>
        <v>1</v>
      </c>
      <c r="M894" s="15" t="n">
        <f aca="false">M893+L894</f>
        <v>893</v>
      </c>
    </row>
    <row r="895" customFormat="false" ht="15" hidden="false" customHeight="false" outlineLevel="0" collapsed="false">
      <c r="A895" s="14" t="n">
        <v>894</v>
      </c>
      <c r="B895" s="15" t="s">
        <v>639</v>
      </c>
      <c r="C895" s="15" t="s">
        <v>640</v>
      </c>
      <c r="D895" s="16" t="s">
        <v>769</v>
      </c>
      <c r="E895" s="16" t="s">
        <v>770</v>
      </c>
      <c r="F895" s="15" t="s">
        <v>651</v>
      </c>
      <c r="G895" s="15" t="s">
        <v>173</v>
      </c>
      <c r="H895" s="15" t="s">
        <v>203</v>
      </c>
      <c r="I895" s="17" t="n">
        <v>31.5</v>
      </c>
      <c r="J895" s="16" t="s">
        <v>655</v>
      </c>
      <c r="K895" s="15" t="s">
        <v>646</v>
      </c>
      <c r="L895" s="15" t="n">
        <f aca="false">IF(AND(OR(Search!$C$4="",Search!$C$4="All",B895=Search!$C$4),OR(Search!$C$5="",Search!$C$5="All",C895=Search!$C$5),OR(Search!$C$6="",Search!$C$6="All",D895=Search!$C$6),OR(Search!$C$7="",ISNUMBER(SEARCH(Search!$C$7,D895&amp;" "&amp;E895&amp;" "&amp;F895&amp;" "&amp;G895&amp;" "&amp;H895&amp;" "&amp;J895))),OR(Search!$C$8="",ISNUMBER(SEARCH(Search!$C$8,G895)))),1,0)</f>
        <v>1</v>
      </c>
      <c r="M895" s="15" t="n">
        <f aca="false">M894+L895</f>
        <v>894</v>
      </c>
    </row>
    <row r="896" customFormat="false" ht="15" hidden="false" customHeight="false" outlineLevel="0" collapsed="false">
      <c r="A896" s="14" t="n">
        <v>895</v>
      </c>
      <c r="B896" s="15" t="s">
        <v>639</v>
      </c>
      <c r="C896" s="15" t="s">
        <v>640</v>
      </c>
      <c r="D896" s="16" t="s">
        <v>771</v>
      </c>
      <c r="E896" s="16" t="s">
        <v>765</v>
      </c>
      <c r="F896" s="15" t="s">
        <v>686</v>
      </c>
      <c r="G896" s="15" t="s">
        <v>173</v>
      </c>
      <c r="H896" s="15" t="s">
        <v>203</v>
      </c>
      <c r="I896" s="17" t="n">
        <v>15.5</v>
      </c>
      <c r="J896" s="16" t="s">
        <v>655</v>
      </c>
      <c r="K896" s="15" t="s">
        <v>646</v>
      </c>
      <c r="L896" s="15" t="n">
        <f aca="false">IF(AND(OR(Search!$C$4="",Search!$C$4="All",B896=Search!$C$4),OR(Search!$C$5="",Search!$C$5="All",C896=Search!$C$5),OR(Search!$C$6="",Search!$C$6="All",D896=Search!$C$6),OR(Search!$C$7="",ISNUMBER(SEARCH(Search!$C$7,D896&amp;" "&amp;E896&amp;" "&amp;F896&amp;" "&amp;G896&amp;" "&amp;H896&amp;" "&amp;J896))),OR(Search!$C$8="",ISNUMBER(SEARCH(Search!$C$8,G896)))),1,0)</f>
        <v>1</v>
      </c>
      <c r="M896" s="15" t="n">
        <f aca="false">M895+L896</f>
        <v>895</v>
      </c>
    </row>
    <row r="897" customFormat="false" ht="15" hidden="false" customHeight="false" outlineLevel="0" collapsed="false">
      <c r="A897" s="14" t="n">
        <v>896</v>
      </c>
      <c r="B897" s="15" t="s">
        <v>639</v>
      </c>
      <c r="C897" s="15" t="s">
        <v>640</v>
      </c>
      <c r="D897" s="16" t="s">
        <v>771</v>
      </c>
      <c r="E897" s="16" t="s">
        <v>765</v>
      </c>
      <c r="F897" s="15" t="s">
        <v>187</v>
      </c>
      <c r="G897" s="15" t="s">
        <v>173</v>
      </c>
      <c r="H897" s="15" t="s">
        <v>203</v>
      </c>
      <c r="I897" s="17" t="n">
        <v>17.5</v>
      </c>
      <c r="J897" s="16" t="s">
        <v>655</v>
      </c>
      <c r="K897" s="15" t="s">
        <v>646</v>
      </c>
      <c r="L897" s="15" t="n">
        <f aca="false">IF(AND(OR(Search!$C$4="",Search!$C$4="All",B897=Search!$C$4),OR(Search!$C$5="",Search!$C$5="All",C897=Search!$C$5),OR(Search!$C$6="",Search!$C$6="All",D897=Search!$C$6),OR(Search!$C$7="",ISNUMBER(SEARCH(Search!$C$7,D897&amp;" "&amp;E897&amp;" "&amp;F897&amp;" "&amp;G897&amp;" "&amp;H897&amp;" "&amp;J897))),OR(Search!$C$8="",ISNUMBER(SEARCH(Search!$C$8,G897)))),1,0)</f>
        <v>1</v>
      </c>
      <c r="M897" s="15" t="n">
        <f aca="false">M896+L897</f>
        <v>896</v>
      </c>
    </row>
    <row r="898" customFormat="false" ht="15" hidden="false" customHeight="false" outlineLevel="0" collapsed="false">
      <c r="A898" s="14" t="n">
        <v>897</v>
      </c>
      <c r="B898" s="15" t="s">
        <v>639</v>
      </c>
      <c r="C898" s="15" t="s">
        <v>640</v>
      </c>
      <c r="D898" s="16" t="s">
        <v>771</v>
      </c>
      <c r="E898" s="16" t="s">
        <v>765</v>
      </c>
      <c r="F898" s="15" t="s">
        <v>192</v>
      </c>
      <c r="G898" s="15" t="s">
        <v>173</v>
      </c>
      <c r="H898" s="15" t="s">
        <v>203</v>
      </c>
      <c r="I898" s="17" t="n">
        <v>20.75</v>
      </c>
      <c r="J898" s="16" t="s">
        <v>655</v>
      </c>
      <c r="K898" s="15" t="s">
        <v>646</v>
      </c>
      <c r="L898" s="15" t="n">
        <f aca="false">IF(AND(OR(Search!$C$4="",Search!$C$4="All",B898=Search!$C$4),OR(Search!$C$5="",Search!$C$5="All",C898=Search!$C$5),OR(Search!$C$6="",Search!$C$6="All",D898=Search!$C$6),OR(Search!$C$7="",ISNUMBER(SEARCH(Search!$C$7,D898&amp;" "&amp;E898&amp;" "&amp;F898&amp;" "&amp;G898&amp;" "&amp;H898&amp;" "&amp;J898))),OR(Search!$C$8="",ISNUMBER(SEARCH(Search!$C$8,G898)))),1,0)</f>
        <v>1</v>
      </c>
      <c r="M898" s="15" t="n">
        <f aca="false">M897+L898</f>
        <v>897</v>
      </c>
    </row>
    <row r="899" customFormat="false" ht="15" hidden="false" customHeight="false" outlineLevel="0" collapsed="false">
      <c r="A899" s="14" t="n">
        <v>898</v>
      </c>
      <c r="B899" s="15" t="s">
        <v>639</v>
      </c>
      <c r="C899" s="15" t="s">
        <v>640</v>
      </c>
      <c r="D899" s="16" t="s">
        <v>771</v>
      </c>
      <c r="E899" s="16" t="s">
        <v>765</v>
      </c>
      <c r="F899" s="15" t="s">
        <v>649</v>
      </c>
      <c r="G899" s="15" t="s">
        <v>497</v>
      </c>
      <c r="H899" s="15" t="s">
        <v>203</v>
      </c>
      <c r="I899" s="17" t="n">
        <v>37.75</v>
      </c>
      <c r="J899" s="16" t="s">
        <v>655</v>
      </c>
      <c r="K899" s="15" t="s">
        <v>646</v>
      </c>
      <c r="L899" s="15" t="n">
        <f aca="false">IF(AND(OR(Search!$C$4="",Search!$C$4="All",B899=Search!$C$4),OR(Search!$C$5="",Search!$C$5="All",C899=Search!$C$5),OR(Search!$C$6="",Search!$C$6="All",D899=Search!$C$6),OR(Search!$C$7="",ISNUMBER(SEARCH(Search!$C$7,D899&amp;" "&amp;E899&amp;" "&amp;F899&amp;" "&amp;G899&amp;" "&amp;H899&amp;" "&amp;J899))),OR(Search!$C$8="",ISNUMBER(SEARCH(Search!$C$8,G899)))),1,0)</f>
        <v>1</v>
      </c>
      <c r="M899" s="15" t="n">
        <f aca="false">M898+L899</f>
        <v>898</v>
      </c>
    </row>
    <row r="900" customFormat="false" ht="15" hidden="false" customHeight="false" outlineLevel="0" collapsed="false">
      <c r="A900" s="14" t="n">
        <v>899</v>
      </c>
      <c r="B900" s="15" t="s">
        <v>639</v>
      </c>
      <c r="C900" s="15" t="s">
        <v>640</v>
      </c>
      <c r="D900" s="16" t="s">
        <v>771</v>
      </c>
      <c r="E900" s="16" t="s">
        <v>765</v>
      </c>
      <c r="F900" s="15" t="s">
        <v>716</v>
      </c>
      <c r="G900" s="15" t="s">
        <v>497</v>
      </c>
      <c r="H900" s="15" t="s">
        <v>203</v>
      </c>
      <c r="I900" s="17" t="n">
        <v>51.5</v>
      </c>
      <c r="J900" s="16" t="s">
        <v>655</v>
      </c>
      <c r="K900" s="15" t="s">
        <v>646</v>
      </c>
      <c r="L900" s="15" t="n">
        <f aca="false">IF(AND(OR(Search!$C$4="",Search!$C$4="All",B900=Search!$C$4),OR(Search!$C$5="",Search!$C$5="All",C900=Search!$C$5),OR(Search!$C$6="",Search!$C$6="All",D900=Search!$C$6),OR(Search!$C$7="",ISNUMBER(SEARCH(Search!$C$7,D900&amp;" "&amp;E900&amp;" "&amp;F900&amp;" "&amp;G900&amp;" "&amp;H900&amp;" "&amp;J900))),OR(Search!$C$8="",ISNUMBER(SEARCH(Search!$C$8,G900)))),1,0)</f>
        <v>1</v>
      </c>
      <c r="M900" s="15" t="n">
        <f aca="false">M899+L900</f>
        <v>899</v>
      </c>
    </row>
    <row r="901" customFormat="false" ht="15" hidden="false" customHeight="false" outlineLevel="0" collapsed="false">
      <c r="A901" s="14" t="n">
        <v>900</v>
      </c>
      <c r="B901" s="15" t="s">
        <v>639</v>
      </c>
      <c r="C901" s="15" t="s">
        <v>640</v>
      </c>
      <c r="D901" s="16" t="s">
        <v>771</v>
      </c>
      <c r="E901" s="16" t="s">
        <v>458</v>
      </c>
      <c r="F901" s="15" t="s">
        <v>651</v>
      </c>
      <c r="G901" s="15" t="s">
        <v>497</v>
      </c>
      <c r="H901" s="15" t="s">
        <v>203</v>
      </c>
      <c r="I901" s="17" t="n">
        <v>57</v>
      </c>
      <c r="J901" s="16" t="s">
        <v>655</v>
      </c>
      <c r="K901" s="15" t="s">
        <v>646</v>
      </c>
      <c r="L901" s="15" t="n">
        <f aca="false">IF(AND(OR(Search!$C$4="",Search!$C$4="All",B901=Search!$C$4),OR(Search!$C$5="",Search!$C$5="All",C901=Search!$C$5),OR(Search!$C$6="",Search!$C$6="All",D901=Search!$C$6),OR(Search!$C$7="",ISNUMBER(SEARCH(Search!$C$7,D901&amp;" "&amp;E901&amp;" "&amp;F901&amp;" "&amp;G901&amp;" "&amp;H901&amp;" "&amp;J901))),OR(Search!$C$8="",ISNUMBER(SEARCH(Search!$C$8,G901)))),1,0)</f>
        <v>1</v>
      </c>
      <c r="M901" s="15" t="n">
        <f aca="false">M900+L901</f>
        <v>900</v>
      </c>
    </row>
    <row r="902" customFormat="false" ht="15" hidden="false" customHeight="false" outlineLevel="0" collapsed="false">
      <c r="A902" s="14" t="n">
        <v>901</v>
      </c>
      <c r="B902" s="15" t="s">
        <v>639</v>
      </c>
      <c r="C902" s="15" t="s">
        <v>640</v>
      </c>
      <c r="D902" s="16" t="s">
        <v>772</v>
      </c>
      <c r="E902" s="16" t="s">
        <v>773</v>
      </c>
      <c r="F902" s="15" t="s">
        <v>774</v>
      </c>
      <c r="G902" s="15" t="s">
        <v>775</v>
      </c>
      <c r="H902" s="15" t="s">
        <v>203</v>
      </c>
      <c r="I902" s="17" t="n">
        <v>30</v>
      </c>
      <c r="J902" s="16" t="s">
        <v>655</v>
      </c>
      <c r="K902" s="15" t="s">
        <v>646</v>
      </c>
      <c r="L902" s="15" t="n">
        <f aca="false">IF(AND(OR(Search!$C$4="",Search!$C$4="All",B902=Search!$C$4),OR(Search!$C$5="",Search!$C$5="All",C902=Search!$C$5),OR(Search!$C$6="",Search!$C$6="All",D902=Search!$C$6),OR(Search!$C$7="",ISNUMBER(SEARCH(Search!$C$7,D902&amp;" "&amp;E902&amp;" "&amp;F902&amp;" "&amp;G902&amp;" "&amp;H902&amp;" "&amp;J902))),OR(Search!$C$8="",ISNUMBER(SEARCH(Search!$C$8,G902)))),1,0)</f>
        <v>1</v>
      </c>
      <c r="M902" s="15" t="n">
        <f aca="false">M901+L902</f>
        <v>901</v>
      </c>
    </row>
    <row r="903" customFormat="false" ht="15" hidden="false" customHeight="false" outlineLevel="0" collapsed="false">
      <c r="A903" s="14" t="n">
        <v>902</v>
      </c>
      <c r="B903" s="15" t="s">
        <v>639</v>
      </c>
      <c r="C903" s="15" t="s">
        <v>640</v>
      </c>
      <c r="D903" s="16" t="s">
        <v>772</v>
      </c>
      <c r="E903" s="16" t="s">
        <v>773</v>
      </c>
      <c r="F903" s="15" t="s">
        <v>776</v>
      </c>
      <c r="G903" s="15" t="s">
        <v>775</v>
      </c>
      <c r="H903" s="15" t="s">
        <v>203</v>
      </c>
      <c r="I903" s="17" t="n">
        <v>53</v>
      </c>
      <c r="J903" s="16" t="s">
        <v>655</v>
      </c>
      <c r="K903" s="15" t="s">
        <v>646</v>
      </c>
      <c r="L903" s="15" t="n">
        <f aca="false">IF(AND(OR(Search!$C$4="",Search!$C$4="All",B903=Search!$C$4),OR(Search!$C$5="",Search!$C$5="All",C903=Search!$C$5),OR(Search!$C$6="",Search!$C$6="All",D903=Search!$C$6),OR(Search!$C$7="",ISNUMBER(SEARCH(Search!$C$7,D903&amp;" "&amp;E903&amp;" "&amp;F903&amp;" "&amp;G903&amp;" "&amp;H903&amp;" "&amp;J903))),OR(Search!$C$8="",ISNUMBER(SEARCH(Search!$C$8,G903)))),1,0)</f>
        <v>1</v>
      </c>
      <c r="M903" s="15" t="n">
        <f aca="false">M902+L903</f>
        <v>902</v>
      </c>
    </row>
    <row r="904" customFormat="false" ht="15" hidden="false" customHeight="false" outlineLevel="0" collapsed="false">
      <c r="A904" s="14" t="n">
        <v>903</v>
      </c>
      <c r="B904" s="15" t="s">
        <v>639</v>
      </c>
      <c r="C904" s="15" t="s">
        <v>640</v>
      </c>
      <c r="D904" s="16" t="s">
        <v>772</v>
      </c>
      <c r="E904" s="16" t="s">
        <v>777</v>
      </c>
      <c r="F904" s="15" t="s">
        <v>778</v>
      </c>
      <c r="G904" s="15" t="s">
        <v>497</v>
      </c>
      <c r="H904" s="15" t="s">
        <v>203</v>
      </c>
      <c r="I904" s="17" t="n">
        <v>80</v>
      </c>
      <c r="J904" s="16" t="s">
        <v>655</v>
      </c>
      <c r="K904" s="15" t="s">
        <v>646</v>
      </c>
      <c r="L904" s="15" t="n">
        <f aca="false">IF(AND(OR(Search!$C$4="",Search!$C$4="All",B904=Search!$C$4),OR(Search!$C$5="",Search!$C$5="All",C904=Search!$C$5),OR(Search!$C$6="",Search!$C$6="All",D904=Search!$C$6),OR(Search!$C$7="",ISNUMBER(SEARCH(Search!$C$7,D904&amp;" "&amp;E904&amp;" "&amp;F904&amp;" "&amp;G904&amp;" "&amp;H904&amp;" "&amp;J904))),OR(Search!$C$8="",ISNUMBER(SEARCH(Search!$C$8,G904)))),1,0)</f>
        <v>1</v>
      </c>
      <c r="M904" s="15" t="n">
        <f aca="false">M903+L904</f>
        <v>903</v>
      </c>
    </row>
    <row r="905" customFormat="false" ht="15" hidden="false" customHeight="false" outlineLevel="0" collapsed="false">
      <c r="A905" s="14" t="n">
        <v>904</v>
      </c>
      <c r="B905" s="15" t="s">
        <v>639</v>
      </c>
      <c r="C905" s="15" t="s">
        <v>640</v>
      </c>
      <c r="D905" s="16" t="s">
        <v>772</v>
      </c>
      <c r="E905" s="16" t="s">
        <v>773</v>
      </c>
      <c r="F905" s="15" t="s">
        <v>716</v>
      </c>
      <c r="G905" s="15" t="s">
        <v>497</v>
      </c>
      <c r="H905" s="15" t="s">
        <v>203</v>
      </c>
      <c r="I905" s="17" t="n">
        <v>100</v>
      </c>
      <c r="J905" s="16" t="s">
        <v>655</v>
      </c>
      <c r="K905" s="15" t="s">
        <v>646</v>
      </c>
      <c r="L905" s="15" t="n">
        <f aca="false">IF(AND(OR(Search!$C$4="",Search!$C$4="All",B905=Search!$C$4),OR(Search!$C$5="",Search!$C$5="All",C905=Search!$C$5),OR(Search!$C$6="",Search!$C$6="All",D905=Search!$C$6),OR(Search!$C$7="",ISNUMBER(SEARCH(Search!$C$7,D905&amp;" "&amp;E905&amp;" "&amp;F905&amp;" "&amp;G905&amp;" "&amp;H905&amp;" "&amp;J905))),OR(Search!$C$8="",ISNUMBER(SEARCH(Search!$C$8,G905)))),1,0)</f>
        <v>1</v>
      </c>
      <c r="M905" s="15" t="n">
        <f aca="false">M904+L905</f>
        <v>904</v>
      </c>
    </row>
    <row r="906" customFormat="false" ht="15" hidden="false" customHeight="false" outlineLevel="0" collapsed="false">
      <c r="A906" s="14" t="n">
        <v>905</v>
      </c>
      <c r="B906" s="15" t="s">
        <v>639</v>
      </c>
      <c r="C906" s="15" t="s">
        <v>640</v>
      </c>
      <c r="D906" s="16" t="s">
        <v>772</v>
      </c>
      <c r="E906" s="16" t="s">
        <v>773</v>
      </c>
      <c r="F906" s="15" t="s">
        <v>779</v>
      </c>
      <c r="G906" s="15" t="s">
        <v>497</v>
      </c>
      <c r="H906" s="15" t="s">
        <v>203</v>
      </c>
      <c r="I906" s="17" t="n">
        <v>110</v>
      </c>
      <c r="J906" s="16" t="s">
        <v>655</v>
      </c>
      <c r="K906" s="15" t="s">
        <v>646</v>
      </c>
      <c r="L906" s="15" t="n">
        <f aca="false">IF(AND(OR(Search!$C$4="",Search!$C$4="All",B906=Search!$C$4),OR(Search!$C$5="",Search!$C$5="All",C906=Search!$C$5),OR(Search!$C$6="",Search!$C$6="All",D906=Search!$C$6),OR(Search!$C$7="",ISNUMBER(SEARCH(Search!$C$7,D906&amp;" "&amp;E906&amp;" "&amp;F906&amp;" "&amp;G906&amp;" "&amp;H906&amp;" "&amp;J906))),OR(Search!$C$8="",ISNUMBER(SEARCH(Search!$C$8,G906)))),1,0)</f>
        <v>1</v>
      </c>
      <c r="M906" s="15" t="n">
        <f aca="false">M905+L906</f>
        <v>905</v>
      </c>
    </row>
    <row r="907" customFormat="false" ht="23.85" hidden="false" customHeight="false" outlineLevel="0" collapsed="false">
      <c r="A907" s="14" t="n">
        <v>906</v>
      </c>
      <c r="B907" s="15" t="s">
        <v>639</v>
      </c>
      <c r="C907" s="15" t="s">
        <v>640</v>
      </c>
      <c r="D907" s="16" t="s">
        <v>780</v>
      </c>
      <c r="E907" s="16" t="s">
        <v>781</v>
      </c>
      <c r="F907" s="15" t="s">
        <v>782</v>
      </c>
      <c r="G907" s="15" t="s">
        <v>783</v>
      </c>
      <c r="H907" s="15" t="s">
        <v>203</v>
      </c>
      <c r="I907" s="17" t="n">
        <v>24</v>
      </c>
      <c r="J907" s="16" t="s">
        <v>784</v>
      </c>
      <c r="K907" s="15" t="s">
        <v>646</v>
      </c>
      <c r="L907" s="15" t="n">
        <f aca="false">IF(AND(OR(Search!$C$4="",Search!$C$4="All",B907=Search!$C$4),OR(Search!$C$5="",Search!$C$5="All",C907=Search!$C$5),OR(Search!$C$6="",Search!$C$6="All",D907=Search!$C$6),OR(Search!$C$7="",ISNUMBER(SEARCH(Search!$C$7,D907&amp;" "&amp;E907&amp;" "&amp;F907&amp;" "&amp;G907&amp;" "&amp;H907&amp;" "&amp;J907))),OR(Search!$C$8="",ISNUMBER(SEARCH(Search!$C$8,G907)))),1,0)</f>
        <v>1</v>
      </c>
      <c r="M907" s="15" t="n">
        <f aca="false">M906+L907</f>
        <v>906</v>
      </c>
    </row>
    <row r="908" customFormat="false" ht="23.85" hidden="false" customHeight="false" outlineLevel="0" collapsed="false">
      <c r="A908" s="14" t="n">
        <v>907</v>
      </c>
      <c r="B908" s="15" t="s">
        <v>639</v>
      </c>
      <c r="C908" s="15" t="s">
        <v>640</v>
      </c>
      <c r="D908" s="16" t="s">
        <v>780</v>
      </c>
      <c r="E908" s="16" t="s">
        <v>781</v>
      </c>
      <c r="F908" s="15" t="s">
        <v>785</v>
      </c>
      <c r="G908" s="15" t="s">
        <v>783</v>
      </c>
      <c r="H908" s="15" t="s">
        <v>203</v>
      </c>
      <c r="I908" s="17" t="n">
        <v>44</v>
      </c>
      <c r="J908" s="16" t="s">
        <v>784</v>
      </c>
      <c r="K908" s="15" t="s">
        <v>646</v>
      </c>
      <c r="L908" s="15" t="n">
        <f aca="false">IF(AND(OR(Search!$C$4="",Search!$C$4="All",B908=Search!$C$4),OR(Search!$C$5="",Search!$C$5="All",C908=Search!$C$5),OR(Search!$C$6="",Search!$C$6="All",D908=Search!$C$6),OR(Search!$C$7="",ISNUMBER(SEARCH(Search!$C$7,D908&amp;" "&amp;E908&amp;" "&amp;F908&amp;" "&amp;G908&amp;" "&amp;H908&amp;" "&amp;J908))),OR(Search!$C$8="",ISNUMBER(SEARCH(Search!$C$8,G908)))),1,0)</f>
        <v>1</v>
      </c>
      <c r="M908" s="15" t="n">
        <f aca="false">M907+L908</f>
        <v>907</v>
      </c>
    </row>
    <row r="909" customFormat="false" ht="15" hidden="false" customHeight="false" outlineLevel="0" collapsed="false">
      <c r="A909" s="14" t="n">
        <v>908</v>
      </c>
      <c r="B909" s="15" t="s">
        <v>639</v>
      </c>
      <c r="C909" s="15" t="s">
        <v>640</v>
      </c>
      <c r="D909" s="16" t="s">
        <v>786</v>
      </c>
      <c r="E909" s="16" t="s">
        <v>700</v>
      </c>
      <c r="F909" s="15" t="s">
        <v>774</v>
      </c>
      <c r="G909" s="15" t="s">
        <v>173</v>
      </c>
      <c r="H909" s="15" t="s">
        <v>203</v>
      </c>
      <c r="I909" s="17" t="n">
        <v>38</v>
      </c>
      <c r="J909" s="16" t="s">
        <v>655</v>
      </c>
      <c r="K909" s="15" t="s">
        <v>646</v>
      </c>
      <c r="L909" s="15" t="n">
        <f aca="false">IF(AND(OR(Search!$C$4="",Search!$C$4="All",B909=Search!$C$4),OR(Search!$C$5="",Search!$C$5="All",C909=Search!$C$5),OR(Search!$C$6="",Search!$C$6="All",D909=Search!$C$6),OR(Search!$C$7="",ISNUMBER(SEARCH(Search!$C$7,D909&amp;" "&amp;E909&amp;" "&amp;F909&amp;" "&amp;G909&amp;" "&amp;H909&amp;" "&amp;J909))),OR(Search!$C$8="",ISNUMBER(SEARCH(Search!$C$8,G909)))),1,0)</f>
        <v>1</v>
      </c>
      <c r="M909" s="15" t="n">
        <f aca="false">M908+L909</f>
        <v>908</v>
      </c>
    </row>
    <row r="910" customFormat="false" ht="15" hidden="false" customHeight="false" outlineLevel="0" collapsed="false">
      <c r="A910" s="14" t="n">
        <v>909</v>
      </c>
      <c r="B910" s="15" t="s">
        <v>639</v>
      </c>
      <c r="C910" s="15" t="s">
        <v>640</v>
      </c>
      <c r="D910" s="16" t="s">
        <v>786</v>
      </c>
      <c r="E910" s="16" t="s">
        <v>787</v>
      </c>
      <c r="F910" s="15" t="s">
        <v>774</v>
      </c>
      <c r="G910" s="15" t="s">
        <v>173</v>
      </c>
      <c r="H910" s="15" t="s">
        <v>203</v>
      </c>
      <c r="I910" s="17" t="n">
        <v>17.25</v>
      </c>
      <c r="J910" s="16" t="s">
        <v>655</v>
      </c>
      <c r="K910" s="15" t="s">
        <v>646</v>
      </c>
      <c r="L910" s="15" t="n">
        <f aca="false">IF(AND(OR(Search!$C$4="",Search!$C$4="All",B910=Search!$C$4),OR(Search!$C$5="",Search!$C$5="All",C910=Search!$C$5),OR(Search!$C$6="",Search!$C$6="All",D910=Search!$C$6),OR(Search!$C$7="",ISNUMBER(SEARCH(Search!$C$7,D910&amp;" "&amp;E910&amp;" "&amp;F910&amp;" "&amp;G910&amp;" "&amp;H910&amp;" "&amp;J910))),OR(Search!$C$8="",ISNUMBER(SEARCH(Search!$C$8,G910)))),1,0)</f>
        <v>1</v>
      </c>
      <c r="M910" s="15" t="n">
        <f aca="false">M909+L910</f>
        <v>909</v>
      </c>
    </row>
    <row r="911" customFormat="false" ht="15" hidden="false" customHeight="false" outlineLevel="0" collapsed="false">
      <c r="A911" s="14" t="n">
        <v>910</v>
      </c>
      <c r="B911" s="15" t="s">
        <v>639</v>
      </c>
      <c r="C911" s="15" t="s">
        <v>640</v>
      </c>
      <c r="D911" s="16" t="s">
        <v>786</v>
      </c>
      <c r="E911" s="16" t="s">
        <v>700</v>
      </c>
      <c r="F911" s="15" t="s">
        <v>788</v>
      </c>
      <c r="G911" s="15" t="s">
        <v>173</v>
      </c>
      <c r="H911" s="15" t="s">
        <v>203</v>
      </c>
      <c r="I911" s="17" t="n">
        <v>44</v>
      </c>
      <c r="J911" s="16" t="s">
        <v>655</v>
      </c>
      <c r="K911" s="15" t="s">
        <v>646</v>
      </c>
      <c r="L911" s="15" t="n">
        <f aca="false">IF(AND(OR(Search!$C$4="",Search!$C$4="All",B911=Search!$C$4),OR(Search!$C$5="",Search!$C$5="All",C911=Search!$C$5),OR(Search!$C$6="",Search!$C$6="All",D911=Search!$C$6),OR(Search!$C$7="",ISNUMBER(SEARCH(Search!$C$7,D911&amp;" "&amp;E911&amp;" "&amp;F911&amp;" "&amp;G911&amp;" "&amp;H911&amp;" "&amp;J911))),OR(Search!$C$8="",ISNUMBER(SEARCH(Search!$C$8,G911)))),1,0)</f>
        <v>1</v>
      </c>
      <c r="M911" s="15" t="n">
        <f aca="false">M910+L911</f>
        <v>910</v>
      </c>
    </row>
    <row r="912" customFormat="false" ht="15" hidden="false" customHeight="false" outlineLevel="0" collapsed="false">
      <c r="A912" s="14" t="n">
        <v>911</v>
      </c>
      <c r="B912" s="15" t="s">
        <v>639</v>
      </c>
      <c r="C912" s="15" t="s">
        <v>640</v>
      </c>
      <c r="D912" s="16" t="s">
        <v>786</v>
      </c>
      <c r="E912" s="16" t="s">
        <v>458</v>
      </c>
      <c r="F912" s="15" t="s">
        <v>788</v>
      </c>
      <c r="G912" s="15" t="s">
        <v>173</v>
      </c>
      <c r="H912" s="15" t="s">
        <v>203</v>
      </c>
      <c r="I912" s="17" t="n">
        <v>31.5</v>
      </c>
      <c r="J912" s="16" t="s">
        <v>655</v>
      </c>
      <c r="K912" s="15" t="s">
        <v>646</v>
      </c>
      <c r="L912" s="15" t="n">
        <f aca="false">IF(AND(OR(Search!$C$4="",Search!$C$4="All",B912=Search!$C$4),OR(Search!$C$5="",Search!$C$5="All",C912=Search!$C$5),OR(Search!$C$6="",Search!$C$6="All",D912=Search!$C$6),OR(Search!$C$7="",ISNUMBER(SEARCH(Search!$C$7,D912&amp;" "&amp;E912&amp;" "&amp;F912&amp;" "&amp;G912&amp;" "&amp;H912&amp;" "&amp;J912))),OR(Search!$C$8="",ISNUMBER(SEARCH(Search!$C$8,G912)))),1,0)</f>
        <v>1</v>
      </c>
      <c r="M912" s="15" t="n">
        <f aca="false">M911+L912</f>
        <v>911</v>
      </c>
    </row>
    <row r="913" customFormat="false" ht="15" hidden="false" customHeight="false" outlineLevel="0" collapsed="false">
      <c r="A913" s="14" t="n">
        <v>912</v>
      </c>
      <c r="B913" s="15" t="s">
        <v>639</v>
      </c>
      <c r="C913" s="15" t="s">
        <v>640</v>
      </c>
      <c r="D913" s="16" t="s">
        <v>786</v>
      </c>
      <c r="E913" s="16" t="s">
        <v>700</v>
      </c>
      <c r="F913" s="15" t="s">
        <v>776</v>
      </c>
      <c r="G913" s="15" t="s">
        <v>173</v>
      </c>
      <c r="H913" s="15" t="s">
        <v>203</v>
      </c>
      <c r="I913" s="17" t="n">
        <v>50</v>
      </c>
      <c r="J913" s="16" t="s">
        <v>655</v>
      </c>
      <c r="K913" s="15" t="s">
        <v>646</v>
      </c>
      <c r="L913" s="15" t="n">
        <f aca="false">IF(AND(OR(Search!$C$4="",Search!$C$4="All",B913=Search!$C$4),OR(Search!$C$5="",Search!$C$5="All",C913=Search!$C$5),OR(Search!$C$6="",Search!$C$6="All",D913=Search!$C$6),OR(Search!$C$7="",ISNUMBER(SEARCH(Search!$C$7,D913&amp;" "&amp;E913&amp;" "&amp;F913&amp;" "&amp;G913&amp;" "&amp;H913&amp;" "&amp;J913))),OR(Search!$C$8="",ISNUMBER(SEARCH(Search!$C$8,G913)))),1,0)</f>
        <v>1</v>
      </c>
      <c r="M913" s="15" t="n">
        <f aca="false">M912+L913</f>
        <v>912</v>
      </c>
    </row>
    <row r="914" customFormat="false" ht="15" hidden="false" customHeight="false" outlineLevel="0" collapsed="false">
      <c r="A914" s="14" t="n">
        <v>913</v>
      </c>
      <c r="B914" s="15" t="s">
        <v>639</v>
      </c>
      <c r="C914" s="15" t="s">
        <v>640</v>
      </c>
      <c r="D914" s="16" t="s">
        <v>786</v>
      </c>
      <c r="E914" s="16" t="s">
        <v>700</v>
      </c>
      <c r="F914" s="15" t="s">
        <v>778</v>
      </c>
      <c r="G914" s="15" t="s">
        <v>497</v>
      </c>
      <c r="H914" s="15" t="s">
        <v>203</v>
      </c>
      <c r="I914" s="17" t="n">
        <v>80</v>
      </c>
      <c r="J914" s="16" t="s">
        <v>655</v>
      </c>
      <c r="K914" s="15" t="s">
        <v>646</v>
      </c>
      <c r="L914" s="15" t="n">
        <f aca="false">IF(AND(OR(Search!$C$4="",Search!$C$4="All",B914=Search!$C$4),OR(Search!$C$5="",Search!$C$5="All",C914=Search!$C$5),OR(Search!$C$6="",Search!$C$6="All",D914=Search!$C$6),OR(Search!$C$7="",ISNUMBER(SEARCH(Search!$C$7,D914&amp;" "&amp;E914&amp;" "&amp;F914&amp;" "&amp;G914&amp;" "&amp;H914&amp;" "&amp;J914))),OR(Search!$C$8="",ISNUMBER(SEARCH(Search!$C$8,G914)))),1,0)</f>
        <v>1</v>
      </c>
      <c r="M914" s="15" t="n">
        <f aca="false">M913+L914</f>
        <v>913</v>
      </c>
    </row>
    <row r="915" customFormat="false" ht="15" hidden="false" customHeight="false" outlineLevel="0" collapsed="false">
      <c r="A915" s="14" t="n">
        <v>914</v>
      </c>
      <c r="B915" s="15" t="s">
        <v>639</v>
      </c>
      <c r="C915" s="15" t="s">
        <v>640</v>
      </c>
      <c r="D915" s="16" t="s">
        <v>786</v>
      </c>
      <c r="E915" s="16" t="s">
        <v>789</v>
      </c>
      <c r="F915" s="15" t="s">
        <v>778</v>
      </c>
      <c r="G915" s="15" t="s">
        <v>497</v>
      </c>
      <c r="H915" s="15" t="s">
        <v>203</v>
      </c>
      <c r="I915" s="17" t="n">
        <v>61.5</v>
      </c>
      <c r="J915" s="16" t="s">
        <v>655</v>
      </c>
      <c r="K915" s="15" t="s">
        <v>646</v>
      </c>
      <c r="L915" s="15" t="n">
        <f aca="false">IF(AND(OR(Search!$C$4="",Search!$C$4="All",B915=Search!$C$4),OR(Search!$C$5="",Search!$C$5="All",C915=Search!$C$5),OR(Search!$C$6="",Search!$C$6="All",D915=Search!$C$6),OR(Search!$C$7="",ISNUMBER(SEARCH(Search!$C$7,D915&amp;" "&amp;E915&amp;" "&amp;F915&amp;" "&amp;G915&amp;" "&amp;H915&amp;" "&amp;J915))),OR(Search!$C$8="",ISNUMBER(SEARCH(Search!$C$8,G915)))),1,0)</f>
        <v>1</v>
      </c>
      <c r="M915" s="15" t="n">
        <f aca="false">M914+L915</f>
        <v>914</v>
      </c>
    </row>
    <row r="916" customFormat="false" ht="15" hidden="false" customHeight="false" outlineLevel="0" collapsed="false">
      <c r="A916" s="14" t="n">
        <v>915</v>
      </c>
      <c r="B916" s="15" t="s">
        <v>639</v>
      </c>
      <c r="C916" s="15" t="s">
        <v>640</v>
      </c>
      <c r="D916" s="16" t="s">
        <v>786</v>
      </c>
      <c r="E916" s="16" t="s">
        <v>789</v>
      </c>
      <c r="F916" s="15" t="s">
        <v>716</v>
      </c>
      <c r="G916" s="15" t="s">
        <v>497</v>
      </c>
      <c r="H916" s="15" t="s">
        <v>203</v>
      </c>
      <c r="I916" s="17" t="n">
        <v>76.5</v>
      </c>
      <c r="J916" s="16" t="s">
        <v>655</v>
      </c>
      <c r="K916" s="15" t="s">
        <v>646</v>
      </c>
      <c r="L916" s="15" t="n">
        <f aca="false">IF(AND(OR(Search!$C$4="",Search!$C$4="All",B916=Search!$C$4),OR(Search!$C$5="",Search!$C$5="All",C916=Search!$C$5),OR(Search!$C$6="",Search!$C$6="All",D916=Search!$C$6),OR(Search!$C$7="",ISNUMBER(SEARCH(Search!$C$7,D916&amp;" "&amp;E916&amp;" "&amp;F916&amp;" "&amp;G916&amp;" "&amp;H916&amp;" "&amp;J916))),OR(Search!$C$8="",ISNUMBER(SEARCH(Search!$C$8,G916)))),1,0)</f>
        <v>1</v>
      </c>
      <c r="M916" s="15" t="n">
        <f aca="false">M915+L916</f>
        <v>915</v>
      </c>
    </row>
    <row r="917" customFormat="false" ht="15" hidden="false" customHeight="false" outlineLevel="0" collapsed="false">
      <c r="A917" s="14" t="n">
        <v>916</v>
      </c>
      <c r="B917" s="15" t="s">
        <v>639</v>
      </c>
      <c r="C917" s="15" t="s">
        <v>640</v>
      </c>
      <c r="D917" s="16" t="s">
        <v>786</v>
      </c>
      <c r="E917" s="16" t="s">
        <v>700</v>
      </c>
      <c r="F917" s="15" t="s">
        <v>716</v>
      </c>
      <c r="G917" s="15" t="s">
        <v>497</v>
      </c>
      <c r="H917" s="15" t="s">
        <v>203</v>
      </c>
      <c r="I917" s="17" t="n">
        <v>100</v>
      </c>
      <c r="J917" s="16" t="s">
        <v>655</v>
      </c>
      <c r="K917" s="15" t="s">
        <v>646</v>
      </c>
      <c r="L917" s="15" t="n">
        <f aca="false">IF(AND(OR(Search!$C$4="",Search!$C$4="All",B917=Search!$C$4),OR(Search!$C$5="",Search!$C$5="All",C917=Search!$C$5),OR(Search!$C$6="",Search!$C$6="All",D917=Search!$C$6),OR(Search!$C$7="",ISNUMBER(SEARCH(Search!$C$7,D917&amp;" "&amp;E917&amp;" "&amp;F917&amp;" "&amp;G917&amp;" "&amp;H917&amp;" "&amp;J917))),OR(Search!$C$8="",ISNUMBER(SEARCH(Search!$C$8,G917)))),1,0)</f>
        <v>1</v>
      </c>
      <c r="M917" s="15" t="n">
        <f aca="false">M916+L917</f>
        <v>916</v>
      </c>
    </row>
    <row r="918" customFormat="false" ht="15" hidden="false" customHeight="false" outlineLevel="0" collapsed="false">
      <c r="A918" s="14" t="n">
        <v>917</v>
      </c>
      <c r="B918" s="15" t="s">
        <v>639</v>
      </c>
      <c r="C918" s="15" t="s">
        <v>640</v>
      </c>
      <c r="D918" s="16" t="s">
        <v>786</v>
      </c>
      <c r="E918" s="16" t="s">
        <v>700</v>
      </c>
      <c r="F918" s="15" t="s">
        <v>779</v>
      </c>
      <c r="G918" s="15" t="s">
        <v>497</v>
      </c>
      <c r="H918" s="15" t="s">
        <v>203</v>
      </c>
      <c r="I918" s="17" t="n">
        <v>132</v>
      </c>
      <c r="J918" s="16" t="s">
        <v>655</v>
      </c>
      <c r="K918" s="15" t="s">
        <v>646</v>
      </c>
      <c r="L918" s="15" t="n">
        <f aca="false">IF(AND(OR(Search!$C$4="",Search!$C$4="All",B918=Search!$C$4),OR(Search!$C$5="",Search!$C$5="All",C918=Search!$C$5),OR(Search!$C$6="",Search!$C$6="All",D918=Search!$C$6),OR(Search!$C$7="",ISNUMBER(SEARCH(Search!$C$7,D918&amp;" "&amp;E918&amp;" "&amp;F918&amp;" "&amp;G918&amp;" "&amp;H918&amp;" "&amp;J918))),OR(Search!$C$8="",ISNUMBER(SEARCH(Search!$C$8,G918)))),1,0)</f>
        <v>1</v>
      </c>
      <c r="M918" s="15" t="n">
        <f aca="false">M917+L918</f>
        <v>917</v>
      </c>
    </row>
    <row r="919" customFormat="false" ht="15" hidden="false" customHeight="false" outlineLevel="0" collapsed="false">
      <c r="A919" s="14" t="n">
        <v>918</v>
      </c>
      <c r="B919" s="15" t="s">
        <v>639</v>
      </c>
      <c r="C919" s="15" t="s">
        <v>640</v>
      </c>
      <c r="D919" s="16" t="s">
        <v>786</v>
      </c>
      <c r="E919" s="16" t="s">
        <v>789</v>
      </c>
      <c r="F919" s="15" t="s">
        <v>779</v>
      </c>
      <c r="G919" s="15" t="s">
        <v>497</v>
      </c>
      <c r="H919" s="15" t="s">
        <v>203</v>
      </c>
      <c r="I919" s="17" t="n">
        <v>108</v>
      </c>
      <c r="J919" s="16" t="s">
        <v>655</v>
      </c>
      <c r="K919" s="15" t="s">
        <v>646</v>
      </c>
      <c r="L919" s="15" t="n">
        <f aca="false">IF(AND(OR(Search!$C$4="",Search!$C$4="All",B919=Search!$C$4),OR(Search!$C$5="",Search!$C$5="All",C919=Search!$C$5),OR(Search!$C$6="",Search!$C$6="All",D919=Search!$C$6),OR(Search!$C$7="",ISNUMBER(SEARCH(Search!$C$7,D919&amp;" "&amp;E919&amp;" "&amp;F919&amp;" "&amp;G919&amp;" "&amp;H919&amp;" "&amp;J919))),OR(Search!$C$8="",ISNUMBER(SEARCH(Search!$C$8,G919)))),1,0)</f>
        <v>1</v>
      </c>
      <c r="M919" s="15" t="n">
        <f aca="false">M918+L919</f>
        <v>918</v>
      </c>
    </row>
    <row r="920" customFormat="false" ht="15" hidden="false" customHeight="false" outlineLevel="0" collapsed="false">
      <c r="A920" s="14" t="n">
        <v>919</v>
      </c>
      <c r="B920" s="15" t="s">
        <v>639</v>
      </c>
      <c r="C920" s="15" t="s">
        <v>640</v>
      </c>
      <c r="D920" s="16" t="s">
        <v>790</v>
      </c>
      <c r="E920" s="16" t="s">
        <v>791</v>
      </c>
      <c r="F920" s="15" t="s">
        <v>774</v>
      </c>
      <c r="G920" s="15" t="s">
        <v>173</v>
      </c>
      <c r="H920" s="15" t="s">
        <v>203</v>
      </c>
      <c r="I920" s="17" t="n">
        <v>38</v>
      </c>
      <c r="J920" s="16" t="s">
        <v>655</v>
      </c>
      <c r="K920" s="15" t="s">
        <v>646</v>
      </c>
      <c r="L920" s="15" t="n">
        <f aca="false">IF(AND(OR(Search!$C$4="",Search!$C$4="All",B920=Search!$C$4),OR(Search!$C$5="",Search!$C$5="All",C920=Search!$C$5),OR(Search!$C$6="",Search!$C$6="All",D920=Search!$C$6),OR(Search!$C$7="",ISNUMBER(SEARCH(Search!$C$7,D920&amp;" "&amp;E920&amp;" "&amp;F920&amp;" "&amp;G920&amp;" "&amp;H920&amp;" "&amp;J920))),OR(Search!$C$8="",ISNUMBER(SEARCH(Search!$C$8,G920)))),1,0)</f>
        <v>1</v>
      </c>
      <c r="M920" s="15" t="n">
        <f aca="false">M919+L920</f>
        <v>919</v>
      </c>
    </row>
    <row r="921" customFormat="false" ht="15" hidden="false" customHeight="false" outlineLevel="0" collapsed="false">
      <c r="A921" s="14" t="n">
        <v>920</v>
      </c>
      <c r="B921" s="15" t="s">
        <v>639</v>
      </c>
      <c r="C921" s="15" t="s">
        <v>640</v>
      </c>
      <c r="D921" s="16" t="s">
        <v>790</v>
      </c>
      <c r="E921" s="16" t="s">
        <v>791</v>
      </c>
      <c r="F921" s="15" t="s">
        <v>716</v>
      </c>
      <c r="G921" s="15" t="s">
        <v>497</v>
      </c>
      <c r="H921" s="15" t="s">
        <v>203</v>
      </c>
      <c r="I921" s="17" t="n">
        <v>99</v>
      </c>
      <c r="J921" s="16" t="s">
        <v>655</v>
      </c>
      <c r="K921" s="15" t="s">
        <v>646</v>
      </c>
      <c r="L921" s="15" t="n">
        <f aca="false">IF(AND(OR(Search!$C$4="",Search!$C$4="All",B921=Search!$C$4),OR(Search!$C$5="",Search!$C$5="All",C921=Search!$C$5),OR(Search!$C$6="",Search!$C$6="All",D921=Search!$C$6),OR(Search!$C$7="",ISNUMBER(SEARCH(Search!$C$7,D921&amp;" "&amp;E921&amp;" "&amp;F921&amp;" "&amp;G921&amp;" "&amp;H921&amp;" "&amp;J921))),OR(Search!$C$8="",ISNUMBER(SEARCH(Search!$C$8,G921)))),1,0)</f>
        <v>1</v>
      </c>
      <c r="M921" s="15" t="n">
        <f aca="false">M920+L921</f>
        <v>920</v>
      </c>
    </row>
    <row r="922" customFormat="false" ht="15" hidden="false" customHeight="false" outlineLevel="0" collapsed="false">
      <c r="A922" s="14" t="n">
        <v>921</v>
      </c>
      <c r="B922" s="15" t="s">
        <v>639</v>
      </c>
      <c r="C922" s="15" t="s">
        <v>640</v>
      </c>
      <c r="D922" s="16" t="s">
        <v>790</v>
      </c>
      <c r="E922" s="16" t="s">
        <v>700</v>
      </c>
      <c r="F922" s="15" t="s">
        <v>779</v>
      </c>
      <c r="G922" s="15" t="s">
        <v>497</v>
      </c>
      <c r="H922" s="15" t="s">
        <v>203</v>
      </c>
      <c r="I922" s="17" t="n">
        <v>125</v>
      </c>
      <c r="J922" s="16" t="s">
        <v>655</v>
      </c>
      <c r="K922" s="15" t="s">
        <v>646</v>
      </c>
      <c r="L922" s="15" t="n">
        <f aca="false">IF(AND(OR(Search!$C$4="",Search!$C$4="All",B922=Search!$C$4),OR(Search!$C$5="",Search!$C$5="All",C922=Search!$C$5),OR(Search!$C$6="",Search!$C$6="All",D922=Search!$C$6),OR(Search!$C$7="",ISNUMBER(SEARCH(Search!$C$7,D922&amp;" "&amp;E922&amp;" "&amp;F922&amp;" "&amp;G922&amp;" "&amp;H922&amp;" "&amp;J922))),OR(Search!$C$8="",ISNUMBER(SEARCH(Search!$C$8,G922)))),1,0)</f>
        <v>1</v>
      </c>
      <c r="M922" s="15" t="n">
        <f aca="false">M921+L922</f>
        <v>921</v>
      </c>
    </row>
    <row r="923" customFormat="false" ht="15" hidden="false" customHeight="false" outlineLevel="0" collapsed="false">
      <c r="A923" s="14" t="n">
        <v>922</v>
      </c>
      <c r="B923" s="15" t="s">
        <v>639</v>
      </c>
      <c r="C923" s="15" t="s">
        <v>640</v>
      </c>
      <c r="D923" s="16" t="s">
        <v>792</v>
      </c>
      <c r="E923" s="16" t="s">
        <v>793</v>
      </c>
      <c r="F923" s="15" t="s">
        <v>760</v>
      </c>
      <c r="G923" s="15" t="s">
        <v>660</v>
      </c>
      <c r="H923" s="15" t="s">
        <v>203</v>
      </c>
      <c r="I923" s="17" t="n">
        <v>27</v>
      </c>
      <c r="J923" s="16" t="s">
        <v>655</v>
      </c>
      <c r="K923" s="15" t="s">
        <v>646</v>
      </c>
      <c r="L923" s="15" t="n">
        <f aca="false">IF(AND(OR(Search!$C$4="",Search!$C$4="All",B923=Search!$C$4),OR(Search!$C$5="",Search!$C$5="All",C923=Search!$C$5),OR(Search!$C$6="",Search!$C$6="All",D923=Search!$C$6),OR(Search!$C$7="",ISNUMBER(SEARCH(Search!$C$7,D923&amp;" "&amp;E923&amp;" "&amp;F923&amp;" "&amp;G923&amp;" "&amp;H923&amp;" "&amp;J923))),OR(Search!$C$8="",ISNUMBER(SEARCH(Search!$C$8,G923)))),1,0)</f>
        <v>1</v>
      </c>
      <c r="M923" s="15" t="n">
        <f aca="false">M922+L923</f>
        <v>922</v>
      </c>
    </row>
    <row r="924" customFormat="false" ht="15" hidden="false" customHeight="false" outlineLevel="0" collapsed="false">
      <c r="A924" s="14" t="n">
        <v>923</v>
      </c>
      <c r="B924" s="15" t="s">
        <v>639</v>
      </c>
      <c r="C924" s="15" t="s">
        <v>640</v>
      </c>
      <c r="D924" s="16" t="s">
        <v>792</v>
      </c>
      <c r="E924" s="16" t="s">
        <v>793</v>
      </c>
      <c r="F924" s="15" t="s">
        <v>701</v>
      </c>
      <c r="G924" s="15" t="s">
        <v>660</v>
      </c>
      <c r="H924" s="15" t="s">
        <v>203</v>
      </c>
      <c r="I924" s="17" t="n">
        <v>38</v>
      </c>
      <c r="J924" s="16" t="s">
        <v>655</v>
      </c>
      <c r="K924" s="15" t="s">
        <v>646</v>
      </c>
      <c r="L924" s="15" t="n">
        <f aca="false">IF(AND(OR(Search!$C$4="",Search!$C$4="All",B924=Search!$C$4),OR(Search!$C$5="",Search!$C$5="All",C924=Search!$C$5),OR(Search!$C$6="",Search!$C$6="All",D924=Search!$C$6),OR(Search!$C$7="",ISNUMBER(SEARCH(Search!$C$7,D924&amp;" "&amp;E924&amp;" "&amp;F924&amp;" "&amp;G924&amp;" "&amp;H924&amp;" "&amp;J924))),OR(Search!$C$8="",ISNUMBER(SEARCH(Search!$C$8,G924)))),1,0)</f>
        <v>1</v>
      </c>
      <c r="M924" s="15" t="n">
        <f aca="false">M923+L924</f>
        <v>923</v>
      </c>
    </row>
    <row r="925" customFormat="false" ht="15" hidden="false" customHeight="false" outlineLevel="0" collapsed="false">
      <c r="A925" s="14" t="n">
        <v>924</v>
      </c>
      <c r="B925" s="15" t="s">
        <v>639</v>
      </c>
      <c r="C925" s="15" t="s">
        <v>640</v>
      </c>
      <c r="D925" s="16" t="s">
        <v>792</v>
      </c>
      <c r="E925" s="16" t="s">
        <v>793</v>
      </c>
      <c r="F925" s="15" t="s">
        <v>662</v>
      </c>
      <c r="G925" s="15" t="s">
        <v>660</v>
      </c>
      <c r="H925" s="15" t="s">
        <v>203</v>
      </c>
      <c r="I925" s="17" t="n">
        <v>80</v>
      </c>
      <c r="J925" s="16" t="s">
        <v>655</v>
      </c>
      <c r="K925" s="15" t="s">
        <v>646</v>
      </c>
      <c r="L925" s="15" t="n">
        <f aca="false">IF(AND(OR(Search!$C$4="",Search!$C$4="All",B925=Search!$C$4),OR(Search!$C$5="",Search!$C$5="All",C925=Search!$C$5),OR(Search!$C$6="",Search!$C$6="All",D925=Search!$C$6),OR(Search!$C$7="",ISNUMBER(SEARCH(Search!$C$7,D925&amp;" "&amp;E925&amp;" "&amp;F925&amp;" "&amp;G925&amp;" "&amp;H925&amp;" "&amp;J925))),OR(Search!$C$8="",ISNUMBER(SEARCH(Search!$C$8,G925)))),1,0)</f>
        <v>1</v>
      </c>
      <c r="M925" s="15" t="n">
        <f aca="false">M924+L925</f>
        <v>924</v>
      </c>
    </row>
    <row r="926" customFormat="false" ht="15" hidden="false" customHeight="false" outlineLevel="0" collapsed="false">
      <c r="A926" s="14" t="n">
        <v>925</v>
      </c>
      <c r="B926" s="15" t="s">
        <v>639</v>
      </c>
      <c r="C926" s="15" t="s">
        <v>640</v>
      </c>
      <c r="D926" s="16" t="s">
        <v>792</v>
      </c>
      <c r="E926" s="16" t="s">
        <v>793</v>
      </c>
      <c r="F926" s="15" t="s">
        <v>750</v>
      </c>
      <c r="G926" s="15" t="s">
        <v>660</v>
      </c>
      <c r="H926" s="15" t="s">
        <v>203</v>
      </c>
      <c r="I926" s="17" t="n">
        <v>99</v>
      </c>
      <c r="J926" s="16" t="s">
        <v>655</v>
      </c>
      <c r="K926" s="15" t="s">
        <v>646</v>
      </c>
      <c r="L926" s="15" t="n">
        <f aca="false">IF(AND(OR(Search!$C$4="",Search!$C$4="All",B926=Search!$C$4),OR(Search!$C$5="",Search!$C$5="All",C926=Search!$C$5),OR(Search!$C$6="",Search!$C$6="All",D926=Search!$C$6),OR(Search!$C$7="",ISNUMBER(SEARCH(Search!$C$7,D926&amp;" "&amp;E926&amp;" "&amp;F926&amp;" "&amp;G926&amp;" "&amp;H926&amp;" "&amp;J926))),OR(Search!$C$8="",ISNUMBER(SEARCH(Search!$C$8,G926)))),1,0)</f>
        <v>1</v>
      </c>
      <c r="M926" s="15" t="n">
        <f aca="false">M925+L926</f>
        <v>925</v>
      </c>
    </row>
    <row r="927" customFormat="false" ht="15" hidden="false" customHeight="false" outlineLevel="0" collapsed="false">
      <c r="A927" s="14" t="n">
        <v>926</v>
      </c>
      <c r="B927" s="15" t="s">
        <v>639</v>
      </c>
      <c r="C927" s="15" t="s">
        <v>640</v>
      </c>
      <c r="D927" s="16" t="s">
        <v>794</v>
      </c>
      <c r="E927" s="16" t="s">
        <v>765</v>
      </c>
      <c r="F927" s="15" t="s">
        <v>192</v>
      </c>
      <c r="G927" s="15" t="s">
        <v>660</v>
      </c>
      <c r="H927" s="15" t="s">
        <v>203</v>
      </c>
      <c r="I927" s="17" t="n">
        <v>26</v>
      </c>
      <c r="J927" s="16" t="s">
        <v>655</v>
      </c>
      <c r="K927" s="15" t="s">
        <v>646</v>
      </c>
      <c r="L927" s="15" t="n">
        <f aca="false">IF(AND(OR(Search!$C$4="",Search!$C$4="All",B927=Search!$C$4),OR(Search!$C$5="",Search!$C$5="All",C927=Search!$C$5),OR(Search!$C$6="",Search!$C$6="All",D927=Search!$C$6),OR(Search!$C$7="",ISNUMBER(SEARCH(Search!$C$7,D927&amp;" "&amp;E927&amp;" "&amp;F927&amp;" "&amp;G927&amp;" "&amp;H927&amp;" "&amp;J927))),OR(Search!$C$8="",ISNUMBER(SEARCH(Search!$C$8,G927)))),1,0)</f>
        <v>1</v>
      </c>
      <c r="M927" s="15" t="n">
        <f aca="false">M926+L927</f>
        <v>926</v>
      </c>
    </row>
    <row r="928" customFormat="false" ht="15" hidden="false" customHeight="false" outlineLevel="0" collapsed="false">
      <c r="A928" s="14" t="n">
        <v>927</v>
      </c>
      <c r="B928" s="15" t="s">
        <v>639</v>
      </c>
      <c r="C928" s="15" t="s">
        <v>640</v>
      </c>
      <c r="D928" s="16" t="s">
        <v>794</v>
      </c>
      <c r="E928" s="16" t="s">
        <v>765</v>
      </c>
      <c r="F928" s="15" t="s">
        <v>745</v>
      </c>
      <c r="G928" s="15" t="s">
        <v>660</v>
      </c>
      <c r="H928" s="15" t="s">
        <v>203</v>
      </c>
      <c r="I928" s="17" t="n">
        <v>42</v>
      </c>
      <c r="J928" s="16" t="s">
        <v>655</v>
      </c>
      <c r="K928" s="15" t="s">
        <v>646</v>
      </c>
      <c r="L928" s="15" t="n">
        <f aca="false">IF(AND(OR(Search!$C$4="",Search!$C$4="All",B928=Search!$C$4),OR(Search!$C$5="",Search!$C$5="All",C928=Search!$C$5),OR(Search!$C$6="",Search!$C$6="All",D928=Search!$C$6),OR(Search!$C$7="",ISNUMBER(SEARCH(Search!$C$7,D928&amp;" "&amp;E928&amp;" "&amp;F928&amp;" "&amp;G928&amp;" "&amp;H928&amp;" "&amp;J928))),OR(Search!$C$8="",ISNUMBER(SEARCH(Search!$C$8,G928)))),1,0)</f>
        <v>1</v>
      </c>
      <c r="M928" s="15" t="n">
        <f aca="false">M927+L928</f>
        <v>927</v>
      </c>
    </row>
    <row r="929" customFormat="false" ht="15" hidden="false" customHeight="false" outlineLevel="0" collapsed="false">
      <c r="A929" s="14" t="n">
        <v>928</v>
      </c>
      <c r="B929" s="15" t="s">
        <v>639</v>
      </c>
      <c r="C929" s="15" t="s">
        <v>640</v>
      </c>
      <c r="D929" s="16" t="s">
        <v>794</v>
      </c>
      <c r="E929" s="16" t="s">
        <v>458</v>
      </c>
      <c r="F929" s="15" t="s">
        <v>701</v>
      </c>
      <c r="G929" s="15" t="s">
        <v>660</v>
      </c>
      <c r="H929" s="15" t="s">
        <v>203</v>
      </c>
      <c r="I929" s="17" t="n">
        <v>45</v>
      </c>
      <c r="J929" s="16" t="s">
        <v>655</v>
      </c>
      <c r="K929" s="15" t="s">
        <v>646</v>
      </c>
      <c r="L929" s="15" t="n">
        <f aca="false">IF(AND(OR(Search!$C$4="",Search!$C$4="All",B929=Search!$C$4),OR(Search!$C$5="",Search!$C$5="All",C929=Search!$C$5),OR(Search!$C$6="",Search!$C$6="All",D929=Search!$C$6),OR(Search!$C$7="",ISNUMBER(SEARCH(Search!$C$7,D929&amp;" "&amp;E929&amp;" "&amp;F929&amp;" "&amp;G929&amp;" "&amp;H929&amp;" "&amp;J929))),OR(Search!$C$8="",ISNUMBER(SEARCH(Search!$C$8,G929)))),1,0)</f>
        <v>1</v>
      </c>
      <c r="M929" s="15" t="n">
        <f aca="false">M928+L929</f>
        <v>928</v>
      </c>
    </row>
    <row r="930" customFormat="false" ht="15" hidden="false" customHeight="false" outlineLevel="0" collapsed="false">
      <c r="A930" s="14" t="n">
        <v>929</v>
      </c>
      <c r="B930" s="15" t="s">
        <v>639</v>
      </c>
      <c r="C930" s="15" t="s">
        <v>640</v>
      </c>
      <c r="D930" s="16" t="s">
        <v>794</v>
      </c>
      <c r="E930" s="16" t="s">
        <v>765</v>
      </c>
      <c r="F930" s="15" t="s">
        <v>649</v>
      </c>
      <c r="G930" s="15" t="s">
        <v>660</v>
      </c>
      <c r="H930" s="15" t="s">
        <v>203</v>
      </c>
      <c r="I930" s="17" t="n">
        <v>60</v>
      </c>
      <c r="J930" s="16" t="s">
        <v>655</v>
      </c>
      <c r="K930" s="15" t="s">
        <v>646</v>
      </c>
      <c r="L930" s="15" t="n">
        <f aca="false">IF(AND(OR(Search!$C$4="",Search!$C$4="All",B930=Search!$C$4),OR(Search!$C$5="",Search!$C$5="All",C930=Search!$C$5),OR(Search!$C$6="",Search!$C$6="All",D930=Search!$C$6),OR(Search!$C$7="",ISNUMBER(SEARCH(Search!$C$7,D930&amp;" "&amp;E930&amp;" "&amp;F930&amp;" "&amp;G930&amp;" "&amp;H930&amp;" "&amp;J930))),OR(Search!$C$8="",ISNUMBER(SEARCH(Search!$C$8,G930)))),1,0)</f>
        <v>1</v>
      </c>
      <c r="M930" s="15" t="n">
        <f aca="false">M929+L930</f>
        <v>929</v>
      </c>
    </row>
    <row r="931" customFormat="false" ht="15" hidden="false" customHeight="false" outlineLevel="0" collapsed="false">
      <c r="A931" s="14" t="n">
        <v>930</v>
      </c>
      <c r="B931" s="15" t="s">
        <v>639</v>
      </c>
      <c r="C931" s="15" t="s">
        <v>640</v>
      </c>
      <c r="D931" s="16" t="s">
        <v>794</v>
      </c>
      <c r="E931" s="16" t="s">
        <v>765</v>
      </c>
      <c r="F931" s="15" t="s">
        <v>662</v>
      </c>
      <c r="G931" s="15" t="s">
        <v>660</v>
      </c>
      <c r="H931" s="15" t="s">
        <v>203</v>
      </c>
      <c r="I931" s="17" t="n">
        <v>79</v>
      </c>
      <c r="J931" s="16" t="s">
        <v>655</v>
      </c>
      <c r="K931" s="15" t="s">
        <v>646</v>
      </c>
      <c r="L931" s="15" t="n">
        <f aca="false">IF(AND(OR(Search!$C$4="",Search!$C$4="All",B931=Search!$C$4),OR(Search!$C$5="",Search!$C$5="All",C931=Search!$C$5),OR(Search!$C$6="",Search!$C$6="All",D931=Search!$C$6),OR(Search!$C$7="",ISNUMBER(SEARCH(Search!$C$7,D931&amp;" "&amp;E931&amp;" "&amp;F931&amp;" "&amp;G931&amp;" "&amp;H931&amp;" "&amp;J931))),OR(Search!$C$8="",ISNUMBER(SEARCH(Search!$C$8,G931)))),1,0)</f>
        <v>1</v>
      </c>
      <c r="M931" s="15" t="n">
        <f aca="false">M930+L931</f>
        <v>930</v>
      </c>
    </row>
    <row r="932" customFormat="false" ht="15" hidden="false" customHeight="false" outlineLevel="0" collapsed="false">
      <c r="A932" s="14" t="n">
        <v>931</v>
      </c>
      <c r="B932" s="15" t="s">
        <v>639</v>
      </c>
      <c r="C932" s="15" t="s">
        <v>640</v>
      </c>
      <c r="D932" s="16" t="s">
        <v>795</v>
      </c>
      <c r="E932" s="16" t="s">
        <v>458</v>
      </c>
      <c r="F932" s="15" t="s">
        <v>716</v>
      </c>
      <c r="G932" s="15" t="s">
        <v>497</v>
      </c>
      <c r="H932" s="15" t="s">
        <v>203</v>
      </c>
      <c r="I932" s="17" t="n">
        <v>120</v>
      </c>
      <c r="J932" s="16" t="s">
        <v>655</v>
      </c>
      <c r="K932" s="15" t="s">
        <v>646</v>
      </c>
      <c r="L932" s="15" t="n">
        <f aca="false">IF(AND(OR(Search!$C$4="",Search!$C$4="All",B932=Search!$C$4),OR(Search!$C$5="",Search!$C$5="All",C932=Search!$C$5),OR(Search!$C$6="",Search!$C$6="All",D932=Search!$C$6),OR(Search!$C$7="",ISNUMBER(SEARCH(Search!$C$7,D932&amp;" "&amp;E932&amp;" "&amp;F932&amp;" "&amp;G932&amp;" "&amp;H932&amp;" "&amp;J932))),OR(Search!$C$8="",ISNUMBER(SEARCH(Search!$C$8,G932)))),1,0)</f>
        <v>1</v>
      </c>
      <c r="M932" s="15" t="n">
        <f aca="false">M931+L932</f>
        <v>931</v>
      </c>
    </row>
    <row r="933" customFormat="false" ht="15" hidden="false" customHeight="false" outlineLevel="0" collapsed="false">
      <c r="A933" s="14" t="n">
        <v>932</v>
      </c>
      <c r="B933" s="15" t="s">
        <v>639</v>
      </c>
      <c r="C933" s="15" t="s">
        <v>640</v>
      </c>
      <c r="D933" s="16" t="s">
        <v>795</v>
      </c>
      <c r="E933" s="16" t="s">
        <v>458</v>
      </c>
      <c r="F933" s="15" t="s">
        <v>796</v>
      </c>
      <c r="G933" s="15" t="s">
        <v>497</v>
      </c>
      <c r="H933" s="15" t="s">
        <v>203</v>
      </c>
      <c r="I933" s="17" t="n">
        <v>190</v>
      </c>
      <c r="J933" s="16" t="s">
        <v>655</v>
      </c>
      <c r="K933" s="15" t="s">
        <v>646</v>
      </c>
      <c r="L933" s="15" t="n">
        <f aca="false">IF(AND(OR(Search!$C$4="",Search!$C$4="All",B933=Search!$C$4),OR(Search!$C$5="",Search!$C$5="All",C933=Search!$C$5),OR(Search!$C$6="",Search!$C$6="All",D933=Search!$C$6),OR(Search!$C$7="",ISNUMBER(SEARCH(Search!$C$7,D933&amp;" "&amp;E933&amp;" "&amp;F933&amp;" "&amp;G933&amp;" "&amp;H933&amp;" "&amp;J933))),OR(Search!$C$8="",ISNUMBER(SEARCH(Search!$C$8,G933)))),1,0)</f>
        <v>1</v>
      </c>
      <c r="M933" s="15" t="n">
        <f aca="false">M932+L933</f>
        <v>932</v>
      </c>
    </row>
    <row r="934" customFormat="false" ht="15" hidden="false" customHeight="false" outlineLevel="0" collapsed="false">
      <c r="A934" s="14" t="n">
        <v>933</v>
      </c>
      <c r="B934" s="15" t="s">
        <v>639</v>
      </c>
      <c r="C934" s="15" t="s">
        <v>640</v>
      </c>
      <c r="D934" s="16" t="s">
        <v>797</v>
      </c>
      <c r="E934" s="16" t="s">
        <v>798</v>
      </c>
      <c r="F934" s="15" t="s">
        <v>788</v>
      </c>
      <c r="G934" s="15" t="s">
        <v>173</v>
      </c>
      <c r="H934" s="15" t="s">
        <v>203</v>
      </c>
      <c r="I934" s="17" t="n">
        <v>49</v>
      </c>
      <c r="J934" s="16" t="s">
        <v>655</v>
      </c>
      <c r="K934" s="15" t="s">
        <v>646</v>
      </c>
      <c r="L934" s="15" t="n">
        <f aca="false">IF(AND(OR(Search!$C$4="",Search!$C$4="All",B934=Search!$C$4),OR(Search!$C$5="",Search!$C$5="All",C934=Search!$C$5),OR(Search!$C$6="",Search!$C$6="All",D934=Search!$C$6),OR(Search!$C$7="",ISNUMBER(SEARCH(Search!$C$7,D934&amp;" "&amp;E934&amp;" "&amp;F934&amp;" "&amp;G934&amp;" "&amp;H934&amp;" "&amp;J934))),OR(Search!$C$8="",ISNUMBER(SEARCH(Search!$C$8,G934)))),1,0)</f>
        <v>1</v>
      </c>
      <c r="M934" s="15" t="n">
        <f aca="false">M933+L934</f>
        <v>933</v>
      </c>
    </row>
    <row r="935" customFormat="false" ht="15" hidden="false" customHeight="false" outlineLevel="0" collapsed="false">
      <c r="A935" s="14" t="n">
        <v>934</v>
      </c>
      <c r="B935" s="15" t="s">
        <v>639</v>
      </c>
      <c r="C935" s="15" t="s">
        <v>640</v>
      </c>
      <c r="D935" s="16" t="s">
        <v>797</v>
      </c>
      <c r="E935" s="16" t="s">
        <v>798</v>
      </c>
      <c r="F935" s="15" t="s">
        <v>778</v>
      </c>
      <c r="G935" s="15" t="s">
        <v>497</v>
      </c>
      <c r="H935" s="15" t="s">
        <v>203</v>
      </c>
      <c r="I935" s="17" t="n">
        <v>99</v>
      </c>
      <c r="J935" s="16" t="s">
        <v>655</v>
      </c>
      <c r="K935" s="15" t="s">
        <v>646</v>
      </c>
      <c r="L935" s="15" t="n">
        <f aca="false">IF(AND(OR(Search!$C$4="",Search!$C$4="All",B935=Search!$C$4),OR(Search!$C$5="",Search!$C$5="All",C935=Search!$C$5),OR(Search!$C$6="",Search!$C$6="All",D935=Search!$C$6),OR(Search!$C$7="",ISNUMBER(SEARCH(Search!$C$7,D935&amp;" "&amp;E935&amp;" "&amp;F935&amp;" "&amp;G935&amp;" "&amp;H935&amp;" "&amp;J935))),OR(Search!$C$8="",ISNUMBER(SEARCH(Search!$C$8,G935)))),1,0)</f>
        <v>1</v>
      </c>
      <c r="M935" s="15" t="n">
        <f aca="false">M934+L935</f>
        <v>934</v>
      </c>
    </row>
    <row r="936" customFormat="false" ht="15" hidden="false" customHeight="false" outlineLevel="0" collapsed="false">
      <c r="A936" s="14" t="n">
        <v>935</v>
      </c>
      <c r="B936" s="15" t="s">
        <v>639</v>
      </c>
      <c r="C936" s="15" t="s">
        <v>640</v>
      </c>
      <c r="D936" s="16" t="s">
        <v>797</v>
      </c>
      <c r="E936" s="16" t="s">
        <v>799</v>
      </c>
      <c r="F936" s="15" t="s">
        <v>716</v>
      </c>
      <c r="G936" s="15" t="s">
        <v>497</v>
      </c>
      <c r="H936" s="15" t="s">
        <v>203</v>
      </c>
      <c r="I936" s="17" t="n">
        <v>125</v>
      </c>
      <c r="J936" s="16" t="s">
        <v>655</v>
      </c>
      <c r="K936" s="15" t="s">
        <v>646</v>
      </c>
      <c r="L936" s="15" t="n">
        <f aca="false">IF(AND(OR(Search!$C$4="",Search!$C$4="All",B936=Search!$C$4),OR(Search!$C$5="",Search!$C$5="All",C936=Search!$C$5),OR(Search!$C$6="",Search!$C$6="All",D936=Search!$C$6),OR(Search!$C$7="",ISNUMBER(SEARCH(Search!$C$7,D936&amp;" "&amp;E936&amp;" "&amp;F936&amp;" "&amp;G936&amp;" "&amp;H936&amp;" "&amp;J936))),OR(Search!$C$8="",ISNUMBER(SEARCH(Search!$C$8,G936)))),1,0)</f>
        <v>1</v>
      </c>
      <c r="M936" s="15" t="n">
        <f aca="false">M935+L936</f>
        <v>935</v>
      </c>
    </row>
    <row r="937" customFormat="false" ht="15" hidden="false" customHeight="false" outlineLevel="0" collapsed="false">
      <c r="A937" s="14" t="n">
        <v>936</v>
      </c>
      <c r="B937" s="15" t="s">
        <v>639</v>
      </c>
      <c r="C937" s="15" t="s">
        <v>640</v>
      </c>
      <c r="D937" s="16" t="s">
        <v>800</v>
      </c>
      <c r="E937" s="16" t="s">
        <v>801</v>
      </c>
      <c r="F937" s="15" t="s">
        <v>778</v>
      </c>
      <c r="G937" s="15" t="s">
        <v>497</v>
      </c>
      <c r="H937" s="15" t="s">
        <v>203</v>
      </c>
      <c r="I937" s="17" t="n">
        <v>87</v>
      </c>
      <c r="J937" s="16" t="s">
        <v>655</v>
      </c>
      <c r="K937" s="15" t="s">
        <v>646</v>
      </c>
      <c r="L937" s="15" t="n">
        <f aca="false">IF(AND(OR(Search!$C$4="",Search!$C$4="All",B937=Search!$C$4),OR(Search!$C$5="",Search!$C$5="All",C937=Search!$C$5),OR(Search!$C$6="",Search!$C$6="All",D937=Search!$C$6),OR(Search!$C$7="",ISNUMBER(SEARCH(Search!$C$7,D937&amp;" "&amp;E937&amp;" "&amp;F937&amp;" "&amp;G937&amp;" "&amp;H937&amp;" "&amp;J937))),OR(Search!$C$8="",ISNUMBER(SEARCH(Search!$C$8,G937)))),1,0)</f>
        <v>1</v>
      </c>
      <c r="M937" s="15" t="n">
        <f aca="false">M936+L937</f>
        <v>936</v>
      </c>
    </row>
    <row r="938" customFormat="false" ht="15" hidden="false" customHeight="false" outlineLevel="0" collapsed="false">
      <c r="A938" s="14" t="n">
        <v>937</v>
      </c>
      <c r="B938" s="15" t="s">
        <v>639</v>
      </c>
      <c r="C938" s="15" t="s">
        <v>640</v>
      </c>
      <c r="D938" s="16" t="s">
        <v>802</v>
      </c>
      <c r="E938" s="16" t="s">
        <v>803</v>
      </c>
      <c r="F938" s="15" t="s">
        <v>774</v>
      </c>
      <c r="G938" s="15" t="s">
        <v>173</v>
      </c>
      <c r="H938" s="15" t="s">
        <v>203</v>
      </c>
      <c r="I938" s="17" t="n">
        <v>40</v>
      </c>
      <c r="J938" s="16" t="s">
        <v>655</v>
      </c>
      <c r="K938" s="15" t="s">
        <v>646</v>
      </c>
      <c r="L938" s="15" t="n">
        <f aca="false">IF(AND(OR(Search!$C$4="",Search!$C$4="All",B938=Search!$C$4),OR(Search!$C$5="",Search!$C$5="All",C938=Search!$C$5),OR(Search!$C$6="",Search!$C$6="All",D938=Search!$C$6),OR(Search!$C$7="",ISNUMBER(SEARCH(Search!$C$7,D938&amp;" "&amp;E938&amp;" "&amp;F938&amp;" "&amp;G938&amp;" "&amp;H938&amp;" "&amp;J938))),OR(Search!$C$8="",ISNUMBER(SEARCH(Search!$C$8,G938)))),1,0)</f>
        <v>1</v>
      </c>
      <c r="M938" s="15" t="n">
        <f aca="false">M937+L938</f>
        <v>937</v>
      </c>
    </row>
    <row r="939" customFormat="false" ht="15" hidden="false" customHeight="false" outlineLevel="0" collapsed="false">
      <c r="A939" s="14" t="n">
        <v>938</v>
      </c>
      <c r="B939" s="15" t="s">
        <v>639</v>
      </c>
      <c r="C939" s="15" t="s">
        <v>640</v>
      </c>
      <c r="D939" s="16" t="s">
        <v>802</v>
      </c>
      <c r="E939" s="16" t="s">
        <v>804</v>
      </c>
      <c r="F939" s="15" t="s">
        <v>774</v>
      </c>
      <c r="G939" s="15" t="s">
        <v>173</v>
      </c>
      <c r="H939" s="15" t="s">
        <v>203</v>
      </c>
      <c r="I939" s="17" t="n">
        <v>28</v>
      </c>
      <c r="J939" s="16" t="s">
        <v>655</v>
      </c>
      <c r="K939" s="15" t="s">
        <v>646</v>
      </c>
      <c r="L939" s="15" t="n">
        <f aca="false">IF(AND(OR(Search!$C$4="",Search!$C$4="All",B939=Search!$C$4),OR(Search!$C$5="",Search!$C$5="All",C939=Search!$C$5),OR(Search!$C$6="",Search!$C$6="All",D939=Search!$C$6),OR(Search!$C$7="",ISNUMBER(SEARCH(Search!$C$7,D939&amp;" "&amp;E939&amp;" "&amp;F939&amp;" "&amp;G939&amp;" "&amp;H939&amp;" "&amp;J939))),OR(Search!$C$8="",ISNUMBER(SEARCH(Search!$C$8,G939)))),1,0)</f>
        <v>1</v>
      </c>
      <c r="M939" s="15" t="n">
        <f aca="false">M938+L939</f>
        <v>938</v>
      </c>
    </row>
    <row r="940" customFormat="false" ht="15" hidden="false" customHeight="false" outlineLevel="0" collapsed="false">
      <c r="A940" s="14" t="n">
        <v>939</v>
      </c>
      <c r="B940" s="15" t="s">
        <v>639</v>
      </c>
      <c r="C940" s="15" t="s">
        <v>640</v>
      </c>
      <c r="D940" s="16" t="s">
        <v>802</v>
      </c>
      <c r="E940" s="16" t="s">
        <v>805</v>
      </c>
      <c r="F940" s="15" t="s">
        <v>788</v>
      </c>
      <c r="G940" s="15" t="s">
        <v>173</v>
      </c>
      <c r="H940" s="15" t="s">
        <v>203</v>
      </c>
      <c r="I940" s="17" t="n">
        <v>49</v>
      </c>
      <c r="J940" s="16" t="s">
        <v>655</v>
      </c>
      <c r="K940" s="15" t="s">
        <v>646</v>
      </c>
      <c r="L940" s="15" t="n">
        <f aca="false">IF(AND(OR(Search!$C$4="",Search!$C$4="All",B940=Search!$C$4),OR(Search!$C$5="",Search!$C$5="All",C940=Search!$C$5),OR(Search!$C$6="",Search!$C$6="All",D940=Search!$C$6),OR(Search!$C$7="",ISNUMBER(SEARCH(Search!$C$7,D940&amp;" "&amp;E940&amp;" "&amp;F940&amp;" "&amp;G940&amp;" "&amp;H940&amp;" "&amp;J940))),OR(Search!$C$8="",ISNUMBER(SEARCH(Search!$C$8,G940)))),1,0)</f>
        <v>1</v>
      </c>
      <c r="M940" s="15" t="n">
        <f aca="false">M939+L940</f>
        <v>939</v>
      </c>
    </row>
    <row r="941" customFormat="false" ht="15" hidden="false" customHeight="false" outlineLevel="0" collapsed="false">
      <c r="A941" s="14" t="n">
        <v>940</v>
      </c>
      <c r="B941" s="15" t="s">
        <v>639</v>
      </c>
      <c r="C941" s="15" t="s">
        <v>640</v>
      </c>
      <c r="D941" s="16" t="s">
        <v>802</v>
      </c>
      <c r="E941" s="16" t="s">
        <v>806</v>
      </c>
      <c r="F941" s="15" t="s">
        <v>788</v>
      </c>
      <c r="G941" s="15" t="s">
        <v>173</v>
      </c>
      <c r="H941" s="15" t="s">
        <v>203</v>
      </c>
      <c r="I941" s="17" t="n">
        <v>55</v>
      </c>
      <c r="J941" s="16" t="s">
        <v>655</v>
      </c>
      <c r="K941" s="15" t="s">
        <v>646</v>
      </c>
      <c r="L941" s="15" t="n">
        <f aca="false">IF(AND(OR(Search!$C$4="",Search!$C$4="All",B941=Search!$C$4),OR(Search!$C$5="",Search!$C$5="All",C941=Search!$C$5),OR(Search!$C$6="",Search!$C$6="All",D941=Search!$C$6),OR(Search!$C$7="",ISNUMBER(SEARCH(Search!$C$7,D941&amp;" "&amp;E941&amp;" "&amp;F941&amp;" "&amp;G941&amp;" "&amp;H941&amp;" "&amp;J941))),OR(Search!$C$8="",ISNUMBER(SEARCH(Search!$C$8,G941)))),1,0)</f>
        <v>1</v>
      </c>
      <c r="M941" s="15" t="n">
        <f aca="false">M940+L941</f>
        <v>940</v>
      </c>
    </row>
    <row r="942" customFormat="false" ht="15" hidden="false" customHeight="false" outlineLevel="0" collapsed="false">
      <c r="A942" s="14" t="n">
        <v>941</v>
      </c>
      <c r="B942" s="15" t="s">
        <v>639</v>
      </c>
      <c r="C942" s="15" t="s">
        <v>640</v>
      </c>
      <c r="D942" s="16" t="s">
        <v>802</v>
      </c>
      <c r="E942" s="16" t="s">
        <v>807</v>
      </c>
      <c r="F942" s="15" t="s">
        <v>778</v>
      </c>
      <c r="G942" s="15" t="s">
        <v>497</v>
      </c>
      <c r="H942" s="15" t="s">
        <v>203</v>
      </c>
      <c r="I942" s="17" t="n">
        <v>110</v>
      </c>
      <c r="J942" s="16" t="s">
        <v>655</v>
      </c>
      <c r="K942" s="15" t="s">
        <v>646</v>
      </c>
      <c r="L942" s="15" t="n">
        <f aca="false">IF(AND(OR(Search!$C$4="",Search!$C$4="All",B942=Search!$C$4),OR(Search!$C$5="",Search!$C$5="All",C942=Search!$C$5),OR(Search!$C$6="",Search!$C$6="All",D942=Search!$C$6),OR(Search!$C$7="",ISNUMBER(SEARCH(Search!$C$7,D942&amp;" "&amp;E942&amp;" "&amp;F942&amp;" "&amp;G942&amp;" "&amp;H942&amp;" "&amp;J942))),OR(Search!$C$8="",ISNUMBER(SEARCH(Search!$C$8,G942)))),1,0)</f>
        <v>1</v>
      </c>
      <c r="M942" s="15" t="n">
        <f aca="false">M941+L942</f>
        <v>941</v>
      </c>
    </row>
    <row r="943" customFormat="false" ht="23.85" hidden="false" customHeight="false" outlineLevel="0" collapsed="false">
      <c r="A943" s="14" t="n">
        <v>942</v>
      </c>
      <c r="B943" s="15" t="s">
        <v>639</v>
      </c>
      <c r="C943" s="15" t="s">
        <v>640</v>
      </c>
      <c r="D943" s="16" t="s">
        <v>802</v>
      </c>
      <c r="E943" s="16" t="s">
        <v>808</v>
      </c>
      <c r="F943" s="15" t="s">
        <v>778</v>
      </c>
      <c r="G943" s="15" t="s">
        <v>497</v>
      </c>
      <c r="H943" s="15" t="s">
        <v>203</v>
      </c>
      <c r="I943" s="17" t="n">
        <v>99</v>
      </c>
      <c r="J943" s="16" t="s">
        <v>655</v>
      </c>
      <c r="K943" s="15" t="s">
        <v>646</v>
      </c>
      <c r="L943" s="15" t="n">
        <f aca="false">IF(AND(OR(Search!$C$4="",Search!$C$4="All",B943=Search!$C$4),OR(Search!$C$5="",Search!$C$5="All",C943=Search!$C$5),OR(Search!$C$6="",Search!$C$6="All",D943=Search!$C$6),OR(Search!$C$7="",ISNUMBER(SEARCH(Search!$C$7,D943&amp;" "&amp;E943&amp;" "&amp;F943&amp;" "&amp;G943&amp;" "&amp;H943&amp;" "&amp;J943))),OR(Search!$C$8="",ISNUMBER(SEARCH(Search!$C$8,G943)))),1,0)</f>
        <v>1</v>
      </c>
      <c r="M943" s="15" t="n">
        <f aca="false">M942+L943</f>
        <v>942</v>
      </c>
    </row>
    <row r="944" customFormat="false" ht="23.85" hidden="false" customHeight="false" outlineLevel="0" collapsed="false">
      <c r="A944" s="14" t="n">
        <v>943</v>
      </c>
      <c r="B944" s="15" t="s">
        <v>639</v>
      </c>
      <c r="C944" s="15" t="s">
        <v>640</v>
      </c>
      <c r="D944" s="16" t="s">
        <v>802</v>
      </c>
      <c r="E944" s="16" t="s">
        <v>809</v>
      </c>
      <c r="F944" s="15" t="s">
        <v>716</v>
      </c>
      <c r="G944" s="15" t="s">
        <v>497</v>
      </c>
      <c r="H944" s="15" t="s">
        <v>203</v>
      </c>
      <c r="I944" s="17" t="n">
        <v>125</v>
      </c>
      <c r="J944" s="16" t="s">
        <v>655</v>
      </c>
      <c r="K944" s="15" t="s">
        <v>646</v>
      </c>
      <c r="L944" s="15" t="n">
        <f aca="false">IF(AND(OR(Search!$C$4="",Search!$C$4="All",B944=Search!$C$4),OR(Search!$C$5="",Search!$C$5="All",C944=Search!$C$5),OR(Search!$C$6="",Search!$C$6="All",D944=Search!$C$6),OR(Search!$C$7="",ISNUMBER(SEARCH(Search!$C$7,D944&amp;" "&amp;E944&amp;" "&amp;F944&amp;" "&amp;G944&amp;" "&amp;H944&amp;" "&amp;J944))),OR(Search!$C$8="",ISNUMBER(SEARCH(Search!$C$8,G944)))),1,0)</f>
        <v>1</v>
      </c>
      <c r="M944" s="15" t="n">
        <f aca="false">M943+L944</f>
        <v>943</v>
      </c>
    </row>
    <row r="945" customFormat="false" ht="15" hidden="false" customHeight="false" outlineLevel="0" collapsed="false">
      <c r="A945" s="14" t="n">
        <v>944</v>
      </c>
      <c r="B945" s="15" t="s">
        <v>639</v>
      </c>
      <c r="C945" s="15" t="s">
        <v>640</v>
      </c>
      <c r="D945" s="16" t="s">
        <v>802</v>
      </c>
      <c r="E945" s="16" t="s">
        <v>810</v>
      </c>
      <c r="F945" s="15" t="s">
        <v>716</v>
      </c>
      <c r="G945" s="15" t="s">
        <v>497</v>
      </c>
      <c r="H945" s="15" t="s">
        <v>203</v>
      </c>
      <c r="I945" s="17" t="n">
        <v>115</v>
      </c>
      <c r="J945" s="16" t="s">
        <v>655</v>
      </c>
      <c r="K945" s="15" t="s">
        <v>646</v>
      </c>
      <c r="L945" s="15" t="n">
        <f aca="false">IF(AND(OR(Search!$C$4="",Search!$C$4="All",B945=Search!$C$4),OR(Search!$C$5="",Search!$C$5="All",C945=Search!$C$5),OR(Search!$C$6="",Search!$C$6="All",D945=Search!$C$6),OR(Search!$C$7="",ISNUMBER(SEARCH(Search!$C$7,D945&amp;" "&amp;E945&amp;" "&amp;F945&amp;" "&amp;G945&amp;" "&amp;H945&amp;" "&amp;J945))),OR(Search!$C$8="",ISNUMBER(SEARCH(Search!$C$8,G945)))),1,0)</f>
        <v>1</v>
      </c>
      <c r="M945" s="15" t="n">
        <f aca="false">M944+L945</f>
        <v>944</v>
      </c>
    </row>
    <row r="946" customFormat="false" ht="15" hidden="false" customHeight="false" outlineLevel="0" collapsed="false">
      <c r="A946" s="14" t="n">
        <v>945</v>
      </c>
      <c r="B946" s="15" t="s">
        <v>639</v>
      </c>
      <c r="C946" s="15" t="s">
        <v>640</v>
      </c>
      <c r="D946" s="16" t="s">
        <v>802</v>
      </c>
      <c r="E946" s="16" t="s">
        <v>811</v>
      </c>
      <c r="F946" s="15" t="s">
        <v>779</v>
      </c>
      <c r="G946" s="15" t="s">
        <v>497</v>
      </c>
      <c r="H946" s="15" t="s">
        <v>203</v>
      </c>
      <c r="I946" s="17" t="n">
        <v>150</v>
      </c>
      <c r="J946" s="16" t="s">
        <v>655</v>
      </c>
      <c r="K946" s="15" t="s">
        <v>646</v>
      </c>
      <c r="L946" s="15" t="n">
        <f aca="false">IF(AND(OR(Search!$C$4="",Search!$C$4="All",B946=Search!$C$4),OR(Search!$C$5="",Search!$C$5="All",C946=Search!$C$5),OR(Search!$C$6="",Search!$C$6="All",D946=Search!$C$6),OR(Search!$C$7="",ISNUMBER(SEARCH(Search!$C$7,D946&amp;" "&amp;E946&amp;" "&amp;F946&amp;" "&amp;G946&amp;" "&amp;H946&amp;" "&amp;J946))),OR(Search!$C$8="",ISNUMBER(SEARCH(Search!$C$8,G946)))),1,0)</f>
        <v>1</v>
      </c>
      <c r="M946" s="15" t="n">
        <f aca="false">M945+L946</f>
        <v>945</v>
      </c>
    </row>
    <row r="947" customFormat="false" ht="15" hidden="false" customHeight="false" outlineLevel="0" collapsed="false">
      <c r="A947" s="14" t="n">
        <v>946</v>
      </c>
      <c r="B947" s="15" t="s">
        <v>639</v>
      </c>
      <c r="C947" s="15" t="s">
        <v>640</v>
      </c>
      <c r="D947" s="16" t="s">
        <v>812</v>
      </c>
      <c r="E947" s="16" t="s">
        <v>813</v>
      </c>
      <c r="F947" s="15" t="s">
        <v>686</v>
      </c>
      <c r="G947" s="15" t="s">
        <v>814</v>
      </c>
      <c r="H947" s="15" t="s">
        <v>203</v>
      </c>
      <c r="I947" s="17" t="n">
        <v>27</v>
      </c>
      <c r="J947" s="16" t="s">
        <v>655</v>
      </c>
      <c r="K947" s="15" t="s">
        <v>646</v>
      </c>
      <c r="L947" s="15" t="n">
        <f aca="false">IF(AND(OR(Search!$C$4="",Search!$C$4="All",B947=Search!$C$4),OR(Search!$C$5="",Search!$C$5="All",C947=Search!$C$5),OR(Search!$C$6="",Search!$C$6="All",D947=Search!$C$6),OR(Search!$C$7="",ISNUMBER(SEARCH(Search!$C$7,D947&amp;" "&amp;E947&amp;" "&amp;F947&amp;" "&amp;G947&amp;" "&amp;H947&amp;" "&amp;J947))),OR(Search!$C$8="",ISNUMBER(SEARCH(Search!$C$8,G947)))),1,0)</f>
        <v>1</v>
      </c>
      <c r="M947" s="15" t="n">
        <f aca="false">M946+L947</f>
        <v>946</v>
      </c>
    </row>
    <row r="948" customFormat="false" ht="15" hidden="false" customHeight="false" outlineLevel="0" collapsed="false">
      <c r="A948" s="14" t="n">
        <v>947</v>
      </c>
      <c r="B948" s="15" t="s">
        <v>639</v>
      </c>
      <c r="C948" s="15" t="s">
        <v>640</v>
      </c>
      <c r="D948" s="16" t="s">
        <v>812</v>
      </c>
      <c r="E948" s="16" t="s">
        <v>804</v>
      </c>
      <c r="F948" s="15" t="s">
        <v>686</v>
      </c>
      <c r="G948" s="15" t="s">
        <v>814</v>
      </c>
      <c r="H948" s="15" t="s">
        <v>203</v>
      </c>
      <c r="I948" s="17" t="n">
        <v>36</v>
      </c>
      <c r="J948" s="16" t="s">
        <v>655</v>
      </c>
      <c r="K948" s="15" t="s">
        <v>646</v>
      </c>
      <c r="L948" s="15" t="n">
        <f aca="false">IF(AND(OR(Search!$C$4="",Search!$C$4="All",B948=Search!$C$4),OR(Search!$C$5="",Search!$C$5="All",C948=Search!$C$5),OR(Search!$C$6="",Search!$C$6="All",D948=Search!$C$6),OR(Search!$C$7="",ISNUMBER(SEARCH(Search!$C$7,D948&amp;" "&amp;E948&amp;" "&amp;F948&amp;" "&amp;G948&amp;" "&amp;H948&amp;" "&amp;J948))),OR(Search!$C$8="",ISNUMBER(SEARCH(Search!$C$8,G948)))),1,0)</f>
        <v>1</v>
      </c>
      <c r="M948" s="15" t="n">
        <f aca="false">M947+L948</f>
        <v>947</v>
      </c>
    </row>
    <row r="949" customFormat="false" ht="15" hidden="false" customHeight="false" outlineLevel="0" collapsed="false">
      <c r="A949" s="14" t="n">
        <v>948</v>
      </c>
      <c r="B949" s="15" t="s">
        <v>639</v>
      </c>
      <c r="C949" s="15" t="s">
        <v>640</v>
      </c>
      <c r="D949" s="16" t="s">
        <v>812</v>
      </c>
      <c r="E949" s="16" t="s">
        <v>815</v>
      </c>
      <c r="F949" s="15" t="s">
        <v>778</v>
      </c>
      <c r="G949" s="15" t="s">
        <v>497</v>
      </c>
      <c r="H949" s="15" t="s">
        <v>203</v>
      </c>
      <c r="I949" s="17" t="n">
        <v>80</v>
      </c>
      <c r="J949" s="16" t="s">
        <v>655</v>
      </c>
      <c r="K949" s="15" t="s">
        <v>646</v>
      </c>
      <c r="L949" s="15" t="n">
        <f aca="false">IF(AND(OR(Search!$C$4="",Search!$C$4="All",B949=Search!$C$4),OR(Search!$C$5="",Search!$C$5="All",C949=Search!$C$5),OR(Search!$C$6="",Search!$C$6="All",D949=Search!$C$6),OR(Search!$C$7="",ISNUMBER(SEARCH(Search!$C$7,D949&amp;" "&amp;E949&amp;" "&amp;F949&amp;" "&amp;G949&amp;" "&amp;H949&amp;" "&amp;J949))),OR(Search!$C$8="",ISNUMBER(SEARCH(Search!$C$8,G949)))),1,0)</f>
        <v>1</v>
      </c>
      <c r="M949" s="15" t="n">
        <f aca="false">M948+L949</f>
        <v>948</v>
      </c>
    </row>
    <row r="950" customFormat="false" ht="15" hidden="false" customHeight="false" outlineLevel="0" collapsed="false">
      <c r="A950" s="14" t="n">
        <v>949</v>
      </c>
      <c r="B950" s="15" t="s">
        <v>639</v>
      </c>
      <c r="C950" s="15" t="s">
        <v>640</v>
      </c>
      <c r="D950" s="16" t="s">
        <v>812</v>
      </c>
      <c r="E950" s="16" t="s">
        <v>816</v>
      </c>
      <c r="F950" s="15" t="s">
        <v>778</v>
      </c>
      <c r="G950" s="15" t="s">
        <v>497</v>
      </c>
      <c r="H950" s="15" t="s">
        <v>203</v>
      </c>
      <c r="I950" s="17" t="n">
        <v>105</v>
      </c>
      <c r="J950" s="16" t="s">
        <v>655</v>
      </c>
      <c r="K950" s="15" t="s">
        <v>646</v>
      </c>
      <c r="L950" s="15" t="n">
        <f aca="false">IF(AND(OR(Search!$C$4="",Search!$C$4="All",B950=Search!$C$4),OR(Search!$C$5="",Search!$C$5="All",C950=Search!$C$5),OR(Search!$C$6="",Search!$C$6="All",D950=Search!$C$6),OR(Search!$C$7="",ISNUMBER(SEARCH(Search!$C$7,D950&amp;" "&amp;E950&amp;" "&amp;F950&amp;" "&amp;G950&amp;" "&amp;H950&amp;" "&amp;J950))),OR(Search!$C$8="",ISNUMBER(SEARCH(Search!$C$8,G950)))),1,0)</f>
        <v>1</v>
      </c>
      <c r="M950" s="15" t="n">
        <f aca="false">M949+L950</f>
        <v>949</v>
      </c>
    </row>
    <row r="951" customFormat="false" ht="15" hidden="false" customHeight="false" outlineLevel="0" collapsed="false">
      <c r="A951" s="14" t="n">
        <v>950</v>
      </c>
      <c r="B951" s="15" t="s">
        <v>639</v>
      </c>
      <c r="C951" s="15" t="s">
        <v>640</v>
      </c>
      <c r="D951" s="16" t="s">
        <v>812</v>
      </c>
      <c r="E951" s="16" t="s">
        <v>817</v>
      </c>
      <c r="F951" s="15" t="s">
        <v>716</v>
      </c>
      <c r="G951" s="15" t="s">
        <v>497</v>
      </c>
      <c r="H951" s="15" t="s">
        <v>203</v>
      </c>
      <c r="I951" s="17" t="n">
        <v>125</v>
      </c>
      <c r="J951" s="16" t="s">
        <v>655</v>
      </c>
      <c r="K951" s="15" t="s">
        <v>646</v>
      </c>
      <c r="L951" s="15" t="n">
        <f aca="false">IF(AND(OR(Search!$C$4="",Search!$C$4="All",B951=Search!$C$4),OR(Search!$C$5="",Search!$C$5="All",C951=Search!$C$5),OR(Search!$C$6="",Search!$C$6="All",D951=Search!$C$6),OR(Search!$C$7="",ISNUMBER(SEARCH(Search!$C$7,D951&amp;" "&amp;E951&amp;" "&amp;F951&amp;" "&amp;G951&amp;" "&amp;H951&amp;" "&amp;J951))),OR(Search!$C$8="",ISNUMBER(SEARCH(Search!$C$8,G951)))),1,0)</f>
        <v>1</v>
      </c>
      <c r="M951" s="15" t="n">
        <f aca="false">M950+L951</f>
        <v>950</v>
      </c>
    </row>
    <row r="952" customFormat="false" ht="15" hidden="false" customHeight="false" outlineLevel="0" collapsed="false">
      <c r="A952" s="14" t="n">
        <v>951</v>
      </c>
      <c r="B952" s="15" t="s">
        <v>639</v>
      </c>
      <c r="C952" s="15" t="s">
        <v>640</v>
      </c>
      <c r="D952" s="16" t="s">
        <v>812</v>
      </c>
      <c r="E952" s="16" t="s">
        <v>811</v>
      </c>
      <c r="F952" s="15" t="s">
        <v>779</v>
      </c>
      <c r="G952" s="15" t="s">
        <v>497</v>
      </c>
      <c r="H952" s="15" t="s">
        <v>203</v>
      </c>
      <c r="I952" s="17" t="n">
        <v>84</v>
      </c>
      <c r="J952" s="16" t="s">
        <v>655</v>
      </c>
      <c r="K952" s="15" t="s">
        <v>646</v>
      </c>
      <c r="L952" s="15" t="n">
        <f aca="false">IF(AND(OR(Search!$C$4="",Search!$C$4="All",B952=Search!$C$4),OR(Search!$C$5="",Search!$C$5="All",C952=Search!$C$5),OR(Search!$C$6="",Search!$C$6="All",D952=Search!$C$6),OR(Search!$C$7="",ISNUMBER(SEARCH(Search!$C$7,D952&amp;" "&amp;E952&amp;" "&amp;F952&amp;" "&amp;G952&amp;" "&amp;H952&amp;" "&amp;J952))),OR(Search!$C$8="",ISNUMBER(SEARCH(Search!$C$8,G952)))),1,0)</f>
        <v>1</v>
      </c>
      <c r="M952" s="15" t="n">
        <f aca="false">M951+L952</f>
        <v>951</v>
      </c>
    </row>
    <row r="953" customFormat="false" ht="15" hidden="false" customHeight="false" outlineLevel="0" collapsed="false">
      <c r="A953" s="14" t="n">
        <v>952</v>
      </c>
      <c r="B953" s="15" t="s">
        <v>639</v>
      </c>
      <c r="C953" s="15" t="s">
        <v>640</v>
      </c>
      <c r="D953" s="16" t="s">
        <v>812</v>
      </c>
      <c r="E953" s="16" t="s">
        <v>811</v>
      </c>
      <c r="F953" s="15" t="s">
        <v>818</v>
      </c>
      <c r="G953" s="15" t="s">
        <v>497</v>
      </c>
      <c r="H953" s="15" t="s">
        <v>203</v>
      </c>
      <c r="I953" s="17" t="n">
        <v>106.5</v>
      </c>
      <c r="J953" s="16" t="s">
        <v>655</v>
      </c>
      <c r="K953" s="15" t="s">
        <v>646</v>
      </c>
      <c r="L953" s="15" t="n">
        <f aca="false">IF(AND(OR(Search!$C$4="",Search!$C$4="All",B953=Search!$C$4),OR(Search!$C$5="",Search!$C$5="All",C953=Search!$C$5),OR(Search!$C$6="",Search!$C$6="All",D953=Search!$C$6),OR(Search!$C$7="",ISNUMBER(SEARCH(Search!$C$7,D953&amp;" "&amp;E953&amp;" "&amp;F953&amp;" "&amp;G953&amp;" "&amp;H953&amp;" "&amp;J953))),OR(Search!$C$8="",ISNUMBER(SEARCH(Search!$C$8,G953)))),1,0)</f>
        <v>1</v>
      </c>
      <c r="M953" s="15" t="n">
        <f aca="false">M952+L953</f>
        <v>952</v>
      </c>
    </row>
    <row r="954" customFormat="false" ht="15" hidden="false" customHeight="false" outlineLevel="0" collapsed="false">
      <c r="A954" s="14" t="n">
        <v>953</v>
      </c>
      <c r="B954" s="15" t="s">
        <v>639</v>
      </c>
      <c r="C954" s="15" t="s">
        <v>640</v>
      </c>
      <c r="D954" s="16" t="s">
        <v>819</v>
      </c>
      <c r="E954" s="16" t="s">
        <v>820</v>
      </c>
      <c r="F954" s="15" t="s">
        <v>686</v>
      </c>
      <c r="G954" s="15" t="s">
        <v>783</v>
      </c>
      <c r="H954" s="15" t="s">
        <v>203</v>
      </c>
      <c r="I954" s="17" t="n">
        <v>27</v>
      </c>
      <c r="J954" s="16" t="s">
        <v>655</v>
      </c>
      <c r="K954" s="15" t="s">
        <v>646</v>
      </c>
      <c r="L954" s="15" t="n">
        <f aca="false">IF(AND(OR(Search!$C$4="",Search!$C$4="All",B954=Search!$C$4),OR(Search!$C$5="",Search!$C$5="All",C954=Search!$C$5),OR(Search!$C$6="",Search!$C$6="All",D954=Search!$C$6),OR(Search!$C$7="",ISNUMBER(SEARCH(Search!$C$7,D954&amp;" "&amp;E954&amp;" "&amp;F954&amp;" "&amp;G954&amp;" "&amp;H954&amp;" "&amp;J954))),OR(Search!$C$8="",ISNUMBER(SEARCH(Search!$C$8,G954)))),1,0)</f>
        <v>1</v>
      </c>
      <c r="M954" s="15" t="n">
        <f aca="false">M953+L954</f>
        <v>953</v>
      </c>
    </row>
    <row r="955" customFormat="false" ht="15" hidden="false" customHeight="false" outlineLevel="0" collapsed="false">
      <c r="A955" s="14" t="n">
        <v>954</v>
      </c>
      <c r="B955" s="15" t="s">
        <v>639</v>
      </c>
      <c r="C955" s="15" t="s">
        <v>640</v>
      </c>
      <c r="D955" s="16" t="s">
        <v>819</v>
      </c>
      <c r="E955" s="16" t="s">
        <v>821</v>
      </c>
      <c r="F955" s="15" t="s">
        <v>774</v>
      </c>
      <c r="G955" s="15" t="s">
        <v>783</v>
      </c>
      <c r="H955" s="15" t="s">
        <v>203</v>
      </c>
      <c r="I955" s="17" t="n">
        <v>40</v>
      </c>
      <c r="J955" s="16" t="s">
        <v>655</v>
      </c>
      <c r="K955" s="15" t="s">
        <v>646</v>
      </c>
      <c r="L955" s="15" t="n">
        <f aca="false">IF(AND(OR(Search!$C$4="",Search!$C$4="All",B955=Search!$C$4),OR(Search!$C$5="",Search!$C$5="All",C955=Search!$C$5),OR(Search!$C$6="",Search!$C$6="All",D955=Search!$C$6),OR(Search!$C$7="",ISNUMBER(SEARCH(Search!$C$7,D955&amp;" "&amp;E955&amp;" "&amp;F955&amp;" "&amp;G955&amp;" "&amp;H955&amp;" "&amp;J955))),OR(Search!$C$8="",ISNUMBER(SEARCH(Search!$C$8,G955)))),1,0)</f>
        <v>1</v>
      </c>
      <c r="M955" s="15" t="n">
        <f aca="false">M954+L955</f>
        <v>954</v>
      </c>
    </row>
    <row r="956" customFormat="false" ht="15" hidden="false" customHeight="false" outlineLevel="0" collapsed="false">
      <c r="A956" s="14" t="n">
        <v>955</v>
      </c>
      <c r="B956" s="15" t="s">
        <v>639</v>
      </c>
      <c r="C956" s="15" t="s">
        <v>640</v>
      </c>
      <c r="D956" s="16" t="s">
        <v>819</v>
      </c>
      <c r="E956" s="16" t="s">
        <v>822</v>
      </c>
      <c r="F956" s="15" t="s">
        <v>788</v>
      </c>
      <c r="G956" s="15" t="s">
        <v>173</v>
      </c>
      <c r="H956" s="15" t="s">
        <v>203</v>
      </c>
      <c r="I956" s="17" t="n">
        <v>57.5</v>
      </c>
      <c r="J956" s="16" t="s">
        <v>655</v>
      </c>
      <c r="K956" s="15" t="s">
        <v>646</v>
      </c>
      <c r="L956" s="15" t="n">
        <f aca="false">IF(AND(OR(Search!$C$4="",Search!$C$4="All",B956=Search!$C$4),OR(Search!$C$5="",Search!$C$5="All",C956=Search!$C$5),OR(Search!$C$6="",Search!$C$6="All",D956=Search!$C$6),OR(Search!$C$7="",ISNUMBER(SEARCH(Search!$C$7,D956&amp;" "&amp;E956&amp;" "&amp;F956&amp;" "&amp;G956&amp;" "&amp;H956&amp;" "&amp;J956))),OR(Search!$C$8="",ISNUMBER(SEARCH(Search!$C$8,G956)))),1,0)</f>
        <v>1</v>
      </c>
      <c r="M956" s="15" t="n">
        <f aca="false">M955+L956</f>
        <v>955</v>
      </c>
    </row>
    <row r="957" customFormat="false" ht="15" hidden="false" customHeight="false" outlineLevel="0" collapsed="false">
      <c r="A957" s="14" t="n">
        <v>956</v>
      </c>
      <c r="B957" s="15" t="s">
        <v>639</v>
      </c>
      <c r="C957" s="15" t="s">
        <v>640</v>
      </c>
      <c r="D957" s="16" t="s">
        <v>819</v>
      </c>
      <c r="E957" s="16" t="s">
        <v>823</v>
      </c>
      <c r="F957" s="15" t="s">
        <v>788</v>
      </c>
      <c r="G957" s="15" t="s">
        <v>173</v>
      </c>
      <c r="H957" s="15" t="s">
        <v>203</v>
      </c>
      <c r="I957" s="17" t="n">
        <v>70</v>
      </c>
      <c r="J957" s="16" t="s">
        <v>655</v>
      </c>
      <c r="K957" s="15" t="s">
        <v>646</v>
      </c>
      <c r="L957" s="15" t="n">
        <f aca="false">IF(AND(OR(Search!$C$4="",Search!$C$4="All",B957=Search!$C$4),OR(Search!$C$5="",Search!$C$5="All",C957=Search!$C$5),OR(Search!$C$6="",Search!$C$6="All",D957=Search!$C$6),OR(Search!$C$7="",ISNUMBER(SEARCH(Search!$C$7,D957&amp;" "&amp;E957&amp;" "&amp;F957&amp;" "&amp;G957&amp;" "&amp;H957&amp;" "&amp;J957))),OR(Search!$C$8="",ISNUMBER(SEARCH(Search!$C$8,G957)))),1,0)</f>
        <v>1</v>
      </c>
      <c r="M957" s="15" t="n">
        <f aca="false">M956+L957</f>
        <v>956</v>
      </c>
    </row>
    <row r="958" customFormat="false" ht="15" hidden="false" customHeight="false" outlineLevel="0" collapsed="false">
      <c r="A958" s="14" t="n">
        <v>957</v>
      </c>
      <c r="B958" s="15" t="s">
        <v>639</v>
      </c>
      <c r="C958" s="15" t="s">
        <v>640</v>
      </c>
      <c r="D958" s="16" t="s">
        <v>819</v>
      </c>
      <c r="E958" s="16" t="s">
        <v>824</v>
      </c>
      <c r="F958" s="15" t="s">
        <v>778</v>
      </c>
      <c r="G958" s="15" t="s">
        <v>497</v>
      </c>
      <c r="H958" s="15" t="s">
        <v>203</v>
      </c>
      <c r="I958" s="17" t="n">
        <v>99</v>
      </c>
      <c r="J958" s="16" t="s">
        <v>655</v>
      </c>
      <c r="K958" s="15" t="s">
        <v>646</v>
      </c>
      <c r="L958" s="15" t="n">
        <f aca="false">IF(AND(OR(Search!$C$4="",Search!$C$4="All",B958=Search!$C$4),OR(Search!$C$5="",Search!$C$5="All",C958=Search!$C$5),OR(Search!$C$6="",Search!$C$6="All",D958=Search!$C$6),OR(Search!$C$7="",ISNUMBER(SEARCH(Search!$C$7,D958&amp;" "&amp;E958&amp;" "&amp;F958&amp;" "&amp;G958&amp;" "&amp;H958&amp;" "&amp;J958))),OR(Search!$C$8="",ISNUMBER(SEARCH(Search!$C$8,G958)))),1,0)</f>
        <v>1</v>
      </c>
      <c r="M958" s="15" t="n">
        <f aca="false">M957+L958</f>
        <v>957</v>
      </c>
    </row>
    <row r="959" customFormat="false" ht="15" hidden="false" customHeight="false" outlineLevel="0" collapsed="false">
      <c r="A959" s="14" t="n">
        <v>958</v>
      </c>
      <c r="B959" s="15" t="s">
        <v>639</v>
      </c>
      <c r="C959" s="15" t="s">
        <v>640</v>
      </c>
      <c r="D959" s="16" t="s">
        <v>819</v>
      </c>
      <c r="E959" s="16" t="s">
        <v>825</v>
      </c>
      <c r="F959" s="15" t="s">
        <v>778</v>
      </c>
      <c r="G959" s="15" t="s">
        <v>814</v>
      </c>
      <c r="H959" s="15" t="s">
        <v>203</v>
      </c>
      <c r="I959" s="17" t="n">
        <v>54.75</v>
      </c>
      <c r="J959" s="16" t="s">
        <v>655</v>
      </c>
      <c r="K959" s="15" t="s">
        <v>646</v>
      </c>
      <c r="L959" s="15" t="n">
        <f aca="false">IF(AND(OR(Search!$C$4="",Search!$C$4="All",B959=Search!$C$4),OR(Search!$C$5="",Search!$C$5="All",C959=Search!$C$5),OR(Search!$C$6="",Search!$C$6="All",D959=Search!$C$6),OR(Search!$C$7="",ISNUMBER(SEARCH(Search!$C$7,D959&amp;" "&amp;E959&amp;" "&amp;F959&amp;" "&amp;G959&amp;" "&amp;H959&amp;" "&amp;J959))),OR(Search!$C$8="",ISNUMBER(SEARCH(Search!$C$8,G959)))),1,0)</f>
        <v>1</v>
      </c>
      <c r="M959" s="15" t="n">
        <f aca="false">M958+L959</f>
        <v>958</v>
      </c>
    </row>
    <row r="960" customFormat="false" ht="15" hidden="false" customHeight="false" outlineLevel="0" collapsed="false">
      <c r="A960" s="14" t="n">
        <v>959</v>
      </c>
      <c r="B960" s="15" t="s">
        <v>639</v>
      </c>
      <c r="C960" s="15" t="s">
        <v>640</v>
      </c>
      <c r="D960" s="16" t="s">
        <v>819</v>
      </c>
      <c r="E960" s="16" t="s">
        <v>826</v>
      </c>
      <c r="F960" s="15" t="s">
        <v>827</v>
      </c>
      <c r="G960" s="15" t="s">
        <v>497</v>
      </c>
      <c r="H960" s="15" t="s">
        <v>203</v>
      </c>
      <c r="I960" s="17" t="n">
        <v>135</v>
      </c>
      <c r="J960" s="16" t="s">
        <v>655</v>
      </c>
      <c r="K960" s="15" t="s">
        <v>646</v>
      </c>
      <c r="L960" s="15" t="n">
        <f aca="false">IF(AND(OR(Search!$C$4="",Search!$C$4="All",B960=Search!$C$4),OR(Search!$C$5="",Search!$C$5="All",C960=Search!$C$5),OR(Search!$C$6="",Search!$C$6="All",D960=Search!$C$6),OR(Search!$C$7="",ISNUMBER(SEARCH(Search!$C$7,D960&amp;" "&amp;E960&amp;" "&amp;F960&amp;" "&amp;G960&amp;" "&amp;H960&amp;" "&amp;J960))),OR(Search!$C$8="",ISNUMBER(SEARCH(Search!$C$8,G960)))),1,0)</f>
        <v>1</v>
      </c>
      <c r="M960" s="15" t="n">
        <f aca="false">M959+L960</f>
        <v>959</v>
      </c>
    </row>
    <row r="961" customFormat="false" ht="15" hidden="false" customHeight="false" outlineLevel="0" collapsed="false">
      <c r="A961" s="14" t="n">
        <v>960</v>
      </c>
      <c r="B961" s="15" t="s">
        <v>639</v>
      </c>
      <c r="C961" s="15" t="s">
        <v>640</v>
      </c>
      <c r="D961" s="16" t="s">
        <v>819</v>
      </c>
      <c r="E961" s="16" t="s">
        <v>821</v>
      </c>
      <c r="F961" s="15" t="s">
        <v>716</v>
      </c>
      <c r="G961" s="15" t="s">
        <v>497</v>
      </c>
      <c r="H961" s="15" t="s">
        <v>203</v>
      </c>
      <c r="I961" s="17" t="n">
        <v>140</v>
      </c>
      <c r="J961" s="16" t="s">
        <v>655</v>
      </c>
      <c r="K961" s="15" t="s">
        <v>646</v>
      </c>
      <c r="L961" s="15" t="n">
        <f aca="false">IF(AND(OR(Search!$C$4="",Search!$C$4="All",B961=Search!$C$4),OR(Search!$C$5="",Search!$C$5="All",C961=Search!$C$5),OR(Search!$C$6="",Search!$C$6="All",D961=Search!$C$6),OR(Search!$C$7="",ISNUMBER(SEARCH(Search!$C$7,D961&amp;" "&amp;E961&amp;" "&amp;F961&amp;" "&amp;G961&amp;" "&amp;H961&amp;" "&amp;J961))),OR(Search!$C$8="",ISNUMBER(SEARCH(Search!$C$8,G961)))),1,0)</f>
        <v>1</v>
      </c>
      <c r="M961" s="15" t="n">
        <f aca="false">M960+L961</f>
        <v>960</v>
      </c>
    </row>
    <row r="962" customFormat="false" ht="15" hidden="false" customHeight="false" outlineLevel="0" collapsed="false">
      <c r="A962" s="14" t="n">
        <v>961</v>
      </c>
      <c r="B962" s="15" t="s">
        <v>639</v>
      </c>
      <c r="C962" s="15" t="s">
        <v>640</v>
      </c>
      <c r="D962" s="16" t="s">
        <v>819</v>
      </c>
      <c r="E962" s="16" t="s">
        <v>823</v>
      </c>
      <c r="F962" s="15" t="s">
        <v>828</v>
      </c>
      <c r="G962" s="15" t="s">
        <v>497</v>
      </c>
      <c r="H962" s="15" t="s">
        <v>203</v>
      </c>
      <c r="I962" s="17" t="n">
        <v>135</v>
      </c>
      <c r="J962" s="16" t="s">
        <v>655</v>
      </c>
      <c r="K962" s="15" t="s">
        <v>646</v>
      </c>
      <c r="L962" s="15" t="n">
        <f aca="false">IF(AND(OR(Search!$C$4="",Search!$C$4="All",B962=Search!$C$4),OR(Search!$C$5="",Search!$C$5="All",C962=Search!$C$5),OR(Search!$C$6="",Search!$C$6="All",D962=Search!$C$6),OR(Search!$C$7="",ISNUMBER(SEARCH(Search!$C$7,D962&amp;" "&amp;E962&amp;" "&amp;F962&amp;" "&amp;G962&amp;" "&amp;H962&amp;" "&amp;J962))),OR(Search!$C$8="",ISNUMBER(SEARCH(Search!$C$8,G962)))),1,0)</f>
        <v>1</v>
      </c>
      <c r="M962" s="15" t="n">
        <f aca="false">M961+L962</f>
        <v>961</v>
      </c>
    </row>
    <row r="963" customFormat="false" ht="15" hidden="false" customHeight="false" outlineLevel="0" collapsed="false">
      <c r="A963" s="14" t="n">
        <v>962</v>
      </c>
      <c r="B963" s="15" t="s">
        <v>639</v>
      </c>
      <c r="C963" s="15" t="s">
        <v>640</v>
      </c>
      <c r="D963" s="16" t="s">
        <v>819</v>
      </c>
      <c r="E963" s="16" t="s">
        <v>804</v>
      </c>
      <c r="F963" s="15" t="s">
        <v>779</v>
      </c>
      <c r="G963" s="15" t="s">
        <v>829</v>
      </c>
      <c r="H963" s="15" t="s">
        <v>203</v>
      </c>
      <c r="I963" s="17" t="n">
        <v>140</v>
      </c>
      <c r="J963" s="16" t="s">
        <v>655</v>
      </c>
      <c r="K963" s="15" t="s">
        <v>646</v>
      </c>
      <c r="L963" s="15" t="n">
        <f aca="false">IF(AND(OR(Search!$C$4="",Search!$C$4="All",B963=Search!$C$4),OR(Search!$C$5="",Search!$C$5="All",C963=Search!$C$5),OR(Search!$C$6="",Search!$C$6="All",D963=Search!$C$6),OR(Search!$C$7="",ISNUMBER(SEARCH(Search!$C$7,D963&amp;" "&amp;E963&amp;" "&amp;F963&amp;" "&amp;G963&amp;" "&amp;H963&amp;" "&amp;J963))),OR(Search!$C$8="",ISNUMBER(SEARCH(Search!$C$8,G963)))),1,0)</f>
        <v>1</v>
      </c>
      <c r="M963" s="15" t="n">
        <f aca="false">M962+L963</f>
        <v>962</v>
      </c>
    </row>
    <row r="964" customFormat="false" ht="15" hidden="false" customHeight="false" outlineLevel="0" collapsed="false">
      <c r="A964" s="14" t="n">
        <v>963</v>
      </c>
      <c r="B964" s="15" t="s">
        <v>639</v>
      </c>
      <c r="C964" s="15" t="s">
        <v>640</v>
      </c>
      <c r="D964" s="16" t="s">
        <v>830</v>
      </c>
      <c r="E964" s="16" t="s">
        <v>820</v>
      </c>
      <c r="F964" s="15" t="s">
        <v>686</v>
      </c>
      <c r="G964" s="15" t="s">
        <v>814</v>
      </c>
      <c r="H964" s="15" t="s">
        <v>203</v>
      </c>
      <c r="I964" s="17" t="n">
        <v>36</v>
      </c>
      <c r="J964" s="16" t="s">
        <v>655</v>
      </c>
      <c r="K964" s="15" t="s">
        <v>646</v>
      </c>
      <c r="L964" s="15" t="n">
        <f aca="false">IF(AND(OR(Search!$C$4="",Search!$C$4="All",B964=Search!$C$4),OR(Search!$C$5="",Search!$C$5="All",C964=Search!$C$5),OR(Search!$C$6="",Search!$C$6="All",D964=Search!$C$6),OR(Search!$C$7="",ISNUMBER(SEARCH(Search!$C$7,D964&amp;" "&amp;E964&amp;" "&amp;F964&amp;" "&amp;G964&amp;" "&amp;H964&amp;" "&amp;J964))),OR(Search!$C$8="",ISNUMBER(SEARCH(Search!$C$8,G964)))),1,0)</f>
        <v>1</v>
      </c>
      <c r="M964" s="15" t="n">
        <f aca="false">M963+L964</f>
        <v>963</v>
      </c>
    </row>
    <row r="965" customFormat="false" ht="15" hidden="false" customHeight="false" outlineLevel="0" collapsed="false">
      <c r="A965" s="14" t="n">
        <v>964</v>
      </c>
      <c r="B965" s="15" t="s">
        <v>639</v>
      </c>
      <c r="C965" s="15" t="s">
        <v>640</v>
      </c>
      <c r="D965" s="16" t="s">
        <v>830</v>
      </c>
      <c r="E965" s="16" t="s">
        <v>831</v>
      </c>
      <c r="F965" s="15" t="s">
        <v>686</v>
      </c>
      <c r="G965" s="15" t="s">
        <v>814</v>
      </c>
      <c r="H965" s="15" t="s">
        <v>203</v>
      </c>
      <c r="I965" s="17" t="n">
        <v>27</v>
      </c>
      <c r="J965" s="16" t="s">
        <v>655</v>
      </c>
      <c r="K965" s="15" t="s">
        <v>646</v>
      </c>
      <c r="L965" s="15" t="n">
        <f aca="false">IF(AND(OR(Search!$C$4="",Search!$C$4="All",B965=Search!$C$4),OR(Search!$C$5="",Search!$C$5="All",C965=Search!$C$5),OR(Search!$C$6="",Search!$C$6="All",D965=Search!$C$6),OR(Search!$C$7="",ISNUMBER(SEARCH(Search!$C$7,D965&amp;" "&amp;E965&amp;" "&amp;F965&amp;" "&amp;G965&amp;" "&amp;H965&amp;" "&amp;J965))),OR(Search!$C$8="",ISNUMBER(SEARCH(Search!$C$8,G965)))),1,0)</f>
        <v>1</v>
      </c>
      <c r="M965" s="15" t="n">
        <f aca="false">M964+L965</f>
        <v>964</v>
      </c>
    </row>
    <row r="966" customFormat="false" ht="15" hidden="false" customHeight="false" outlineLevel="0" collapsed="false">
      <c r="A966" s="14" t="n">
        <v>965</v>
      </c>
      <c r="B966" s="15" t="s">
        <v>639</v>
      </c>
      <c r="C966" s="15" t="s">
        <v>640</v>
      </c>
      <c r="D966" s="16" t="s">
        <v>830</v>
      </c>
      <c r="E966" s="16" t="s">
        <v>832</v>
      </c>
      <c r="F966" s="15" t="s">
        <v>778</v>
      </c>
      <c r="G966" s="15" t="s">
        <v>497</v>
      </c>
      <c r="H966" s="15" t="s">
        <v>203</v>
      </c>
      <c r="I966" s="17" t="n">
        <v>54.75</v>
      </c>
      <c r="J966" s="16" t="s">
        <v>655</v>
      </c>
      <c r="K966" s="15" t="s">
        <v>646</v>
      </c>
      <c r="L966" s="15" t="n">
        <f aca="false">IF(AND(OR(Search!$C$4="",Search!$C$4="All",B966=Search!$C$4),OR(Search!$C$5="",Search!$C$5="All",C966=Search!$C$5),OR(Search!$C$6="",Search!$C$6="All",D966=Search!$C$6),OR(Search!$C$7="",ISNUMBER(SEARCH(Search!$C$7,D966&amp;" "&amp;E966&amp;" "&amp;F966&amp;" "&amp;G966&amp;" "&amp;H966&amp;" "&amp;J966))),OR(Search!$C$8="",ISNUMBER(SEARCH(Search!$C$8,G966)))),1,0)</f>
        <v>1</v>
      </c>
      <c r="M966" s="15" t="n">
        <f aca="false">M965+L966</f>
        <v>965</v>
      </c>
    </row>
    <row r="967" customFormat="false" ht="15" hidden="false" customHeight="false" outlineLevel="0" collapsed="false">
      <c r="A967" s="14" t="n">
        <v>966</v>
      </c>
      <c r="B967" s="15" t="s">
        <v>639</v>
      </c>
      <c r="C967" s="15" t="s">
        <v>640</v>
      </c>
      <c r="D967" s="16" t="s">
        <v>830</v>
      </c>
      <c r="E967" s="16" t="s">
        <v>831</v>
      </c>
      <c r="F967" s="15" t="s">
        <v>716</v>
      </c>
      <c r="G967" s="15" t="s">
        <v>497</v>
      </c>
      <c r="H967" s="15" t="s">
        <v>203</v>
      </c>
      <c r="I967" s="17" t="n">
        <v>60.25</v>
      </c>
      <c r="J967" s="16" t="s">
        <v>655</v>
      </c>
      <c r="K967" s="15" t="s">
        <v>646</v>
      </c>
      <c r="L967" s="15" t="n">
        <f aca="false">IF(AND(OR(Search!$C$4="",Search!$C$4="All",B967=Search!$C$4),OR(Search!$C$5="",Search!$C$5="All",C967=Search!$C$5),OR(Search!$C$6="",Search!$C$6="All",D967=Search!$C$6),OR(Search!$C$7="",ISNUMBER(SEARCH(Search!$C$7,D967&amp;" "&amp;E967&amp;" "&amp;F967&amp;" "&amp;G967&amp;" "&amp;H967&amp;" "&amp;J967))),OR(Search!$C$8="",ISNUMBER(SEARCH(Search!$C$8,G967)))),1,0)</f>
        <v>1</v>
      </c>
      <c r="M967" s="15" t="n">
        <f aca="false">M966+L967</f>
        <v>966</v>
      </c>
    </row>
    <row r="968" customFormat="false" ht="15" hidden="false" customHeight="false" outlineLevel="0" collapsed="false">
      <c r="A968" s="14" t="n">
        <v>967</v>
      </c>
      <c r="B968" s="15" t="s">
        <v>639</v>
      </c>
      <c r="C968" s="15" t="s">
        <v>640</v>
      </c>
      <c r="D968" s="16" t="s">
        <v>833</v>
      </c>
      <c r="E968" s="16" t="s">
        <v>834</v>
      </c>
      <c r="F968" s="15" t="s">
        <v>774</v>
      </c>
      <c r="G968" s="15" t="s">
        <v>173</v>
      </c>
      <c r="H968" s="15" t="s">
        <v>203</v>
      </c>
      <c r="I968" s="17" t="n">
        <v>32</v>
      </c>
      <c r="J968" s="16" t="s">
        <v>655</v>
      </c>
      <c r="K968" s="15" t="s">
        <v>646</v>
      </c>
      <c r="L968" s="15" t="n">
        <f aca="false">IF(AND(OR(Search!$C$4="",Search!$C$4="All",B968=Search!$C$4),OR(Search!$C$5="",Search!$C$5="All",C968=Search!$C$5),OR(Search!$C$6="",Search!$C$6="All",D968=Search!$C$6),OR(Search!$C$7="",ISNUMBER(SEARCH(Search!$C$7,D968&amp;" "&amp;E968&amp;" "&amp;F968&amp;" "&amp;G968&amp;" "&amp;H968&amp;" "&amp;J968))),OR(Search!$C$8="",ISNUMBER(SEARCH(Search!$C$8,G968)))),1,0)</f>
        <v>1</v>
      </c>
      <c r="M968" s="15" t="n">
        <f aca="false">M967+L968</f>
        <v>967</v>
      </c>
    </row>
    <row r="969" customFormat="false" ht="15" hidden="false" customHeight="false" outlineLevel="0" collapsed="false">
      <c r="A969" s="14" t="n">
        <v>968</v>
      </c>
      <c r="B969" s="15" t="s">
        <v>639</v>
      </c>
      <c r="C969" s="15" t="s">
        <v>640</v>
      </c>
      <c r="D969" s="16" t="s">
        <v>833</v>
      </c>
      <c r="E969" s="16" t="s">
        <v>835</v>
      </c>
      <c r="F969" s="15" t="s">
        <v>774</v>
      </c>
      <c r="G969" s="15" t="s">
        <v>173</v>
      </c>
      <c r="H969" s="15" t="s">
        <v>203</v>
      </c>
      <c r="I969" s="17" t="n">
        <v>37</v>
      </c>
      <c r="J969" s="16" t="s">
        <v>655</v>
      </c>
      <c r="K969" s="15" t="s">
        <v>646</v>
      </c>
      <c r="L969" s="15" t="n">
        <f aca="false">IF(AND(OR(Search!$C$4="",Search!$C$4="All",B969=Search!$C$4),OR(Search!$C$5="",Search!$C$5="All",C969=Search!$C$5),OR(Search!$C$6="",Search!$C$6="All",D969=Search!$C$6),OR(Search!$C$7="",ISNUMBER(SEARCH(Search!$C$7,D969&amp;" "&amp;E969&amp;" "&amp;F969&amp;" "&amp;G969&amp;" "&amp;H969&amp;" "&amp;J969))),OR(Search!$C$8="",ISNUMBER(SEARCH(Search!$C$8,G969)))),1,0)</f>
        <v>1</v>
      </c>
      <c r="M969" s="15" t="n">
        <f aca="false">M968+L969</f>
        <v>968</v>
      </c>
    </row>
    <row r="970" customFormat="false" ht="15" hidden="false" customHeight="false" outlineLevel="0" collapsed="false">
      <c r="A970" s="14" t="n">
        <v>969</v>
      </c>
      <c r="B970" s="15" t="s">
        <v>639</v>
      </c>
      <c r="C970" s="15" t="s">
        <v>640</v>
      </c>
      <c r="D970" s="16" t="s">
        <v>833</v>
      </c>
      <c r="E970" s="16" t="s">
        <v>836</v>
      </c>
      <c r="F970" s="15" t="s">
        <v>778</v>
      </c>
      <c r="G970" s="15" t="s">
        <v>497</v>
      </c>
      <c r="H970" s="15" t="s">
        <v>203</v>
      </c>
      <c r="I970" s="17" t="n">
        <v>83</v>
      </c>
      <c r="J970" s="16" t="s">
        <v>655</v>
      </c>
      <c r="K970" s="15" t="s">
        <v>646</v>
      </c>
      <c r="L970" s="15" t="n">
        <f aca="false">IF(AND(OR(Search!$C$4="",Search!$C$4="All",B970=Search!$C$4),OR(Search!$C$5="",Search!$C$5="All",C970=Search!$C$5),OR(Search!$C$6="",Search!$C$6="All",D970=Search!$C$6),OR(Search!$C$7="",ISNUMBER(SEARCH(Search!$C$7,D970&amp;" "&amp;E970&amp;" "&amp;F970&amp;" "&amp;G970&amp;" "&amp;H970&amp;" "&amp;J970))),OR(Search!$C$8="",ISNUMBER(SEARCH(Search!$C$8,G970)))),1,0)</f>
        <v>1</v>
      </c>
      <c r="M970" s="15" t="n">
        <f aca="false">M969+L970</f>
        <v>969</v>
      </c>
    </row>
    <row r="971" customFormat="false" ht="15" hidden="false" customHeight="false" outlineLevel="0" collapsed="false">
      <c r="A971" s="14" t="n">
        <v>970</v>
      </c>
      <c r="B971" s="15" t="s">
        <v>639</v>
      </c>
      <c r="C971" s="15" t="s">
        <v>640</v>
      </c>
      <c r="D971" s="16" t="s">
        <v>833</v>
      </c>
      <c r="E971" s="16" t="s">
        <v>836</v>
      </c>
      <c r="F971" s="15" t="s">
        <v>716</v>
      </c>
      <c r="G971" s="15" t="s">
        <v>497</v>
      </c>
      <c r="H971" s="15" t="s">
        <v>203</v>
      </c>
      <c r="I971" s="17" t="n">
        <v>109</v>
      </c>
      <c r="J971" s="16" t="s">
        <v>655</v>
      </c>
      <c r="K971" s="15" t="s">
        <v>646</v>
      </c>
      <c r="L971" s="15" t="n">
        <f aca="false">IF(AND(OR(Search!$C$4="",Search!$C$4="All",B971=Search!$C$4),OR(Search!$C$5="",Search!$C$5="All",C971=Search!$C$5),OR(Search!$C$6="",Search!$C$6="All",D971=Search!$C$6),OR(Search!$C$7="",ISNUMBER(SEARCH(Search!$C$7,D971&amp;" "&amp;E971&amp;" "&amp;F971&amp;" "&amp;G971&amp;" "&amp;H971&amp;" "&amp;J971))),OR(Search!$C$8="",ISNUMBER(SEARCH(Search!$C$8,G971)))),1,0)</f>
        <v>1</v>
      </c>
      <c r="M971" s="15" t="n">
        <f aca="false">M970+L971</f>
        <v>970</v>
      </c>
    </row>
    <row r="972" customFormat="false" ht="15" hidden="false" customHeight="false" outlineLevel="0" collapsed="false">
      <c r="A972" s="14" t="n">
        <v>971</v>
      </c>
      <c r="B972" s="15" t="s">
        <v>639</v>
      </c>
      <c r="C972" s="15" t="s">
        <v>640</v>
      </c>
      <c r="D972" s="16" t="s">
        <v>833</v>
      </c>
      <c r="E972" s="16" t="s">
        <v>836</v>
      </c>
      <c r="F972" s="15" t="s">
        <v>837</v>
      </c>
      <c r="G972" s="15" t="s">
        <v>497</v>
      </c>
      <c r="H972" s="15" t="s">
        <v>203</v>
      </c>
      <c r="I972" s="17" t="n">
        <v>83</v>
      </c>
      <c r="J972" s="16" t="s">
        <v>655</v>
      </c>
      <c r="K972" s="15" t="s">
        <v>646</v>
      </c>
      <c r="L972" s="15" t="n">
        <f aca="false">IF(AND(OR(Search!$C$4="",Search!$C$4="All",B972=Search!$C$4),OR(Search!$C$5="",Search!$C$5="All",C972=Search!$C$5),OR(Search!$C$6="",Search!$C$6="All",D972=Search!$C$6),OR(Search!$C$7="",ISNUMBER(SEARCH(Search!$C$7,D972&amp;" "&amp;E972&amp;" "&amp;F972&amp;" "&amp;G972&amp;" "&amp;H972&amp;" "&amp;J972))),OR(Search!$C$8="",ISNUMBER(SEARCH(Search!$C$8,G972)))),1,0)</f>
        <v>1</v>
      </c>
      <c r="M972" s="15" t="n">
        <f aca="false">M971+L972</f>
        <v>971</v>
      </c>
    </row>
    <row r="973" customFormat="false" ht="15" hidden="false" customHeight="false" outlineLevel="0" collapsed="false">
      <c r="A973" s="14" t="n">
        <v>972</v>
      </c>
      <c r="B973" s="15" t="s">
        <v>639</v>
      </c>
      <c r="C973" s="15" t="s">
        <v>640</v>
      </c>
      <c r="D973" s="16" t="s">
        <v>838</v>
      </c>
      <c r="E973" s="16" t="s">
        <v>839</v>
      </c>
      <c r="F973" s="15" t="s">
        <v>686</v>
      </c>
      <c r="G973" s="15" t="s">
        <v>814</v>
      </c>
      <c r="H973" s="15" t="s">
        <v>203</v>
      </c>
      <c r="I973" s="17" t="n">
        <v>27</v>
      </c>
      <c r="J973" s="16" t="s">
        <v>655</v>
      </c>
      <c r="K973" s="15" t="s">
        <v>646</v>
      </c>
      <c r="L973" s="15" t="n">
        <f aca="false">IF(AND(OR(Search!$C$4="",Search!$C$4="All",B973=Search!$C$4),OR(Search!$C$5="",Search!$C$5="All",C973=Search!$C$5),OR(Search!$C$6="",Search!$C$6="All",D973=Search!$C$6),OR(Search!$C$7="",ISNUMBER(SEARCH(Search!$C$7,D973&amp;" "&amp;E973&amp;" "&amp;F973&amp;" "&amp;G973&amp;" "&amp;H973&amp;" "&amp;J973))),OR(Search!$C$8="",ISNUMBER(SEARCH(Search!$C$8,G973)))),1,0)</f>
        <v>1</v>
      </c>
      <c r="M973" s="15" t="n">
        <f aca="false">M972+L973</f>
        <v>972</v>
      </c>
    </row>
    <row r="974" customFormat="false" ht="15" hidden="false" customHeight="false" outlineLevel="0" collapsed="false">
      <c r="A974" s="14" t="n">
        <v>973</v>
      </c>
      <c r="B974" s="15" t="s">
        <v>639</v>
      </c>
      <c r="C974" s="15" t="s">
        <v>640</v>
      </c>
      <c r="D974" s="16" t="s">
        <v>838</v>
      </c>
      <c r="E974" s="16" t="s">
        <v>839</v>
      </c>
      <c r="F974" s="15" t="s">
        <v>788</v>
      </c>
      <c r="G974" s="15" t="s">
        <v>173</v>
      </c>
      <c r="H974" s="15" t="s">
        <v>203</v>
      </c>
      <c r="I974" s="17" t="n">
        <v>44</v>
      </c>
      <c r="J974" s="16" t="s">
        <v>655</v>
      </c>
      <c r="K974" s="15" t="s">
        <v>646</v>
      </c>
      <c r="L974" s="15" t="n">
        <f aca="false">IF(AND(OR(Search!$C$4="",Search!$C$4="All",B974=Search!$C$4),OR(Search!$C$5="",Search!$C$5="All",C974=Search!$C$5),OR(Search!$C$6="",Search!$C$6="All",D974=Search!$C$6),OR(Search!$C$7="",ISNUMBER(SEARCH(Search!$C$7,D974&amp;" "&amp;E974&amp;" "&amp;F974&amp;" "&amp;G974&amp;" "&amp;H974&amp;" "&amp;J974))),OR(Search!$C$8="",ISNUMBER(SEARCH(Search!$C$8,G974)))),1,0)</f>
        <v>1</v>
      </c>
      <c r="M974" s="15" t="n">
        <f aca="false">M973+L974</f>
        <v>973</v>
      </c>
    </row>
    <row r="975" customFormat="false" ht="15" hidden="false" customHeight="false" outlineLevel="0" collapsed="false">
      <c r="A975" s="14" t="n">
        <v>974</v>
      </c>
      <c r="B975" s="15" t="s">
        <v>639</v>
      </c>
      <c r="C975" s="15" t="s">
        <v>640</v>
      </c>
      <c r="D975" s="16" t="s">
        <v>838</v>
      </c>
      <c r="E975" s="16" t="s">
        <v>840</v>
      </c>
      <c r="F975" s="15" t="s">
        <v>686</v>
      </c>
      <c r="G975" s="15" t="s">
        <v>814</v>
      </c>
      <c r="H975" s="15" t="s">
        <v>203</v>
      </c>
      <c r="I975" s="17" t="n">
        <v>33</v>
      </c>
      <c r="J975" s="16" t="s">
        <v>655</v>
      </c>
      <c r="K975" s="15" t="s">
        <v>646</v>
      </c>
      <c r="L975" s="15" t="n">
        <f aca="false">IF(AND(OR(Search!$C$4="",Search!$C$4="All",B975=Search!$C$4),OR(Search!$C$5="",Search!$C$5="All",C975=Search!$C$5),OR(Search!$C$6="",Search!$C$6="All",D975=Search!$C$6),OR(Search!$C$7="",ISNUMBER(SEARCH(Search!$C$7,D975&amp;" "&amp;E975&amp;" "&amp;F975&amp;" "&amp;G975&amp;" "&amp;H975&amp;" "&amp;J975))),OR(Search!$C$8="",ISNUMBER(SEARCH(Search!$C$8,G975)))),1,0)</f>
        <v>1</v>
      </c>
      <c r="M975" s="15" t="n">
        <f aca="false">M974+L975</f>
        <v>974</v>
      </c>
    </row>
    <row r="976" customFormat="false" ht="15" hidden="false" customHeight="false" outlineLevel="0" collapsed="false">
      <c r="A976" s="14" t="n">
        <v>975</v>
      </c>
      <c r="B976" s="15" t="s">
        <v>639</v>
      </c>
      <c r="C976" s="15" t="s">
        <v>640</v>
      </c>
      <c r="D976" s="16" t="s">
        <v>838</v>
      </c>
      <c r="E976" s="16" t="s">
        <v>773</v>
      </c>
      <c r="F976" s="15" t="s">
        <v>774</v>
      </c>
      <c r="G976" s="15" t="s">
        <v>173</v>
      </c>
      <c r="H976" s="15" t="s">
        <v>203</v>
      </c>
      <c r="I976" s="17" t="n">
        <v>23.75</v>
      </c>
      <c r="J976" s="16" t="s">
        <v>655</v>
      </c>
      <c r="K976" s="15" t="s">
        <v>646</v>
      </c>
      <c r="L976" s="15" t="n">
        <f aca="false">IF(AND(OR(Search!$C$4="",Search!$C$4="All",B976=Search!$C$4),OR(Search!$C$5="",Search!$C$5="All",C976=Search!$C$5),OR(Search!$C$6="",Search!$C$6="All",D976=Search!$C$6),OR(Search!$C$7="",ISNUMBER(SEARCH(Search!$C$7,D976&amp;" "&amp;E976&amp;" "&amp;F976&amp;" "&amp;G976&amp;" "&amp;H976&amp;" "&amp;J976))),OR(Search!$C$8="",ISNUMBER(SEARCH(Search!$C$8,G976)))),1,0)</f>
        <v>1</v>
      </c>
      <c r="M976" s="15" t="n">
        <f aca="false">M975+L976</f>
        <v>975</v>
      </c>
    </row>
    <row r="977" customFormat="false" ht="15" hidden="false" customHeight="false" outlineLevel="0" collapsed="false">
      <c r="A977" s="14" t="n">
        <v>976</v>
      </c>
      <c r="B977" s="15" t="s">
        <v>639</v>
      </c>
      <c r="C977" s="15" t="s">
        <v>640</v>
      </c>
      <c r="D977" s="16" t="s">
        <v>838</v>
      </c>
      <c r="E977" s="16" t="s">
        <v>841</v>
      </c>
      <c r="F977" s="15" t="s">
        <v>788</v>
      </c>
      <c r="G977" s="15" t="s">
        <v>173</v>
      </c>
      <c r="H977" s="15" t="s">
        <v>203</v>
      </c>
      <c r="I977" s="17" t="n">
        <v>44</v>
      </c>
      <c r="J977" s="16" t="s">
        <v>655</v>
      </c>
      <c r="K977" s="15" t="s">
        <v>646</v>
      </c>
      <c r="L977" s="15" t="n">
        <f aca="false">IF(AND(OR(Search!$C$4="",Search!$C$4="All",B977=Search!$C$4),OR(Search!$C$5="",Search!$C$5="All",C977=Search!$C$5),OR(Search!$C$6="",Search!$C$6="All",D977=Search!$C$6),OR(Search!$C$7="",ISNUMBER(SEARCH(Search!$C$7,D977&amp;" "&amp;E977&amp;" "&amp;F977&amp;" "&amp;G977&amp;" "&amp;H977&amp;" "&amp;J977))),OR(Search!$C$8="",ISNUMBER(SEARCH(Search!$C$8,G977)))),1,0)</f>
        <v>1</v>
      </c>
      <c r="M977" s="15" t="n">
        <f aca="false">M976+L977</f>
        <v>976</v>
      </c>
    </row>
    <row r="978" customFormat="false" ht="15" hidden="false" customHeight="false" outlineLevel="0" collapsed="false">
      <c r="A978" s="14" t="n">
        <v>977</v>
      </c>
      <c r="B978" s="15" t="s">
        <v>639</v>
      </c>
      <c r="C978" s="15" t="s">
        <v>640</v>
      </c>
      <c r="D978" s="16" t="s">
        <v>838</v>
      </c>
      <c r="E978" s="16" t="s">
        <v>842</v>
      </c>
      <c r="F978" s="15" t="s">
        <v>778</v>
      </c>
      <c r="G978" s="15" t="s">
        <v>497</v>
      </c>
      <c r="H978" s="15" t="s">
        <v>203</v>
      </c>
      <c r="I978" s="17" t="n">
        <v>76</v>
      </c>
      <c r="J978" s="16" t="s">
        <v>655</v>
      </c>
      <c r="K978" s="15" t="s">
        <v>646</v>
      </c>
      <c r="L978" s="15" t="n">
        <f aca="false">IF(AND(OR(Search!$C$4="",Search!$C$4="All",B978=Search!$C$4),OR(Search!$C$5="",Search!$C$5="All",C978=Search!$C$5),OR(Search!$C$6="",Search!$C$6="All",D978=Search!$C$6),OR(Search!$C$7="",ISNUMBER(SEARCH(Search!$C$7,D978&amp;" "&amp;E978&amp;" "&amp;F978&amp;" "&amp;G978&amp;" "&amp;H978&amp;" "&amp;J978))),OR(Search!$C$8="",ISNUMBER(SEARCH(Search!$C$8,G978)))),1,0)</f>
        <v>1</v>
      </c>
      <c r="M978" s="15" t="n">
        <f aca="false">M977+L978</f>
        <v>977</v>
      </c>
    </row>
    <row r="979" customFormat="false" ht="15" hidden="false" customHeight="false" outlineLevel="0" collapsed="false">
      <c r="A979" s="14" t="n">
        <v>978</v>
      </c>
      <c r="B979" s="15" t="s">
        <v>639</v>
      </c>
      <c r="C979" s="15" t="s">
        <v>640</v>
      </c>
      <c r="D979" s="16" t="s">
        <v>838</v>
      </c>
      <c r="E979" s="16" t="s">
        <v>843</v>
      </c>
      <c r="F979" s="15" t="s">
        <v>778</v>
      </c>
      <c r="G979" s="15" t="s">
        <v>497</v>
      </c>
      <c r="H979" s="15" t="s">
        <v>203</v>
      </c>
      <c r="I979" s="17" t="n">
        <v>83</v>
      </c>
      <c r="J979" s="16" t="s">
        <v>655</v>
      </c>
      <c r="K979" s="15" t="s">
        <v>646</v>
      </c>
      <c r="L979" s="15" t="n">
        <f aca="false">IF(AND(OR(Search!$C$4="",Search!$C$4="All",B979=Search!$C$4),OR(Search!$C$5="",Search!$C$5="All",C979=Search!$C$5),OR(Search!$C$6="",Search!$C$6="All",D979=Search!$C$6),OR(Search!$C$7="",ISNUMBER(SEARCH(Search!$C$7,D979&amp;" "&amp;E979&amp;" "&amp;F979&amp;" "&amp;G979&amp;" "&amp;H979&amp;" "&amp;J979))),OR(Search!$C$8="",ISNUMBER(SEARCH(Search!$C$8,G979)))),1,0)</f>
        <v>1</v>
      </c>
      <c r="M979" s="15" t="n">
        <f aca="false">M978+L979</f>
        <v>978</v>
      </c>
    </row>
    <row r="980" customFormat="false" ht="15" hidden="false" customHeight="false" outlineLevel="0" collapsed="false">
      <c r="A980" s="14" t="n">
        <v>979</v>
      </c>
      <c r="B980" s="15" t="s">
        <v>639</v>
      </c>
      <c r="C980" s="15" t="s">
        <v>640</v>
      </c>
      <c r="D980" s="16" t="s">
        <v>838</v>
      </c>
      <c r="E980" s="16" t="s">
        <v>844</v>
      </c>
      <c r="F980" s="15" t="s">
        <v>778</v>
      </c>
      <c r="G980" s="15" t="s">
        <v>497</v>
      </c>
      <c r="H980" s="15" t="s">
        <v>203</v>
      </c>
      <c r="I980" s="17" t="n">
        <v>86</v>
      </c>
      <c r="J980" s="16" t="s">
        <v>655</v>
      </c>
      <c r="K980" s="15" t="s">
        <v>646</v>
      </c>
      <c r="L980" s="15" t="n">
        <f aca="false">IF(AND(OR(Search!$C$4="",Search!$C$4="All",B980=Search!$C$4),OR(Search!$C$5="",Search!$C$5="All",C980=Search!$C$5),OR(Search!$C$6="",Search!$C$6="All",D980=Search!$C$6),OR(Search!$C$7="",ISNUMBER(SEARCH(Search!$C$7,D980&amp;" "&amp;E980&amp;" "&amp;F980&amp;" "&amp;G980&amp;" "&amp;H980&amp;" "&amp;J980))),OR(Search!$C$8="",ISNUMBER(SEARCH(Search!$C$8,G980)))),1,0)</f>
        <v>1</v>
      </c>
      <c r="M980" s="15" t="n">
        <f aca="false">M979+L980</f>
        <v>979</v>
      </c>
    </row>
    <row r="981" customFormat="false" ht="15" hidden="false" customHeight="false" outlineLevel="0" collapsed="false">
      <c r="A981" s="14" t="n">
        <v>980</v>
      </c>
      <c r="B981" s="15" t="s">
        <v>639</v>
      </c>
      <c r="C981" s="15" t="s">
        <v>640</v>
      </c>
      <c r="D981" s="16" t="s">
        <v>838</v>
      </c>
      <c r="E981" s="16" t="s">
        <v>839</v>
      </c>
      <c r="F981" s="15" t="s">
        <v>716</v>
      </c>
      <c r="G981" s="15" t="s">
        <v>497</v>
      </c>
      <c r="H981" s="15" t="s">
        <v>203</v>
      </c>
      <c r="I981" s="17" t="n">
        <v>109</v>
      </c>
      <c r="J981" s="16" t="s">
        <v>655</v>
      </c>
      <c r="K981" s="15" t="s">
        <v>646</v>
      </c>
      <c r="L981" s="15" t="n">
        <f aca="false">IF(AND(OR(Search!$C$4="",Search!$C$4="All",B981=Search!$C$4),OR(Search!$C$5="",Search!$C$5="All",C981=Search!$C$5),OR(Search!$C$6="",Search!$C$6="All",D981=Search!$C$6),OR(Search!$C$7="",ISNUMBER(SEARCH(Search!$C$7,D981&amp;" "&amp;E981&amp;" "&amp;F981&amp;" "&amp;G981&amp;" "&amp;H981&amp;" "&amp;J981))),OR(Search!$C$8="",ISNUMBER(SEARCH(Search!$C$8,G981)))),1,0)</f>
        <v>1</v>
      </c>
      <c r="M981" s="15" t="n">
        <f aca="false">M980+L981</f>
        <v>980</v>
      </c>
    </row>
    <row r="982" customFormat="false" ht="15" hidden="false" customHeight="false" outlineLevel="0" collapsed="false">
      <c r="A982" s="14" t="n">
        <v>981</v>
      </c>
      <c r="B982" s="15" t="s">
        <v>639</v>
      </c>
      <c r="C982" s="15" t="s">
        <v>640</v>
      </c>
      <c r="D982" s="16" t="s">
        <v>838</v>
      </c>
      <c r="E982" s="16" t="s">
        <v>773</v>
      </c>
      <c r="F982" s="15" t="s">
        <v>716</v>
      </c>
      <c r="G982" s="15" t="s">
        <v>497</v>
      </c>
      <c r="H982" s="15" t="s">
        <v>203</v>
      </c>
      <c r="I982" s="17" t="n">
        <v>120</v>
      </c>
      <c r="J982" s="16" t="s">
        <v>655</v>
      </c>
      <c r="K982" s="15" t="s">
        <v>646</v>
      </c>
      <c r="L982" s="15" t="n">
        <f aca="false">IF(AND(OR(Search!$C$4="",Search!$C$4="All",B982=Search!$C$4),OR(Search!$C$5="",Search!$C$5="All",C982=Search!$C$5),OR(Search!$C$6="",Search!$C$6="All",D982=Search!$C$6),OR(Search!$C$7="",ISNUMBER(SEARCH(Search!$C$7,D982&amp;" "&amp;E982&amp;" "&amp;F982&amp;" "&amp;G982&amp;" "&amp;H982&amp;" "&amp;J982))),OR(Search!$C$8="",ISNUMBER(SEARCH(Search!$C$8,G982)))),1,0)</f>
        <v>1</v>
      </c>
      <c r="M982" s="15" t="n">
        <f aca="false">M981+L982</f>
        <v>981</v>
      </c>
    </row>
    <row r="983" customFormat="false" ht="15" hidden="false" customHeight="false" outlineLevel="0" collapsed="false">
      <c r="A983" s="14" t="n">
        <v>982</v>
      </c>
      <c r="B983" s="15" t="s">
        <v>639</v>
      </c>
      <c r="C983" s="15" t="s">
        <v>640</v>
      </c>
      <c r="D983" s="16" t="s">
        <v>838</v>
      </c>
      <c r="E983" s="16" t="s">
        <v>845</v>
      </c>
      <c r="F983" s="15" t="s">
        <v>837</v>
      </c>
      <c r="G983" s="15" t="s">
        <v>497</v>
      </c>
      <c r="H983" s="15" t="s">
        <v>203</v>
      </c>
      <c r="I983" s="17" t="n">
        <v>83</v>
      </c>
      <c r="J983" s="16" t="s">
        <v>655</v>
      </c>
      <c r="K983" s="15" t="s">
        <v>646</v>
      </c>
      <c r="L983" s="15" t="n">
        <f aca="false">IF(AND(OR(Search!$C$4="",Search!$C$4="All",B983=Search!$C$4),OR(Search!$C$5="",Search!$C$5="All",C983=Search!$C$5),OR(Search!$C$6="",Search!$C$6="All",D983=Search!$C$6),OR(Search!$C$7="",ISNUMBER(SEARCH(Search!$C$7,D983&amp;" "&amp;E983&amp;" "&amp;F983&amp;" "&amp;G983&amp;" "&amp;H983&amp;" "&amp;J983))),OR(Search!$C$8="",ISNUMBER(SEARCH(Search!$C$8,G983)))),1,0)</f>
        <v>1</v>
      </c>
      <c r="M983" s="15" t="n">
        <f aca="false">M982+L983</f>
        <v>982</v>
      </c>
    </row>
    <row r="984" customFormat="false" ht="15" hidden="false" customHeight="false" outlineLevel="0" collapsed="false">
      <c r="A984" s="14" t="n">
        <v>983</v>
      </c>
      <c r="B984" s="15" t="s">
        <v>639</v>
      </c>
      <c r="C984" s="15" t="s">
        <v>640</v>
      </c>
      <c r="D984" s="16" t="s">
        <v>846</v>
      </c>
      <c r="E984" s="16" t="s">
        <v>811</v>
      </c>
      <c r="F984" s="15" t="s">
        <v>788</v>
      </c>
      <c r="G984" s="15" t="s">
        <v>173</v>
      </c>
      <c r="H984" s="15" t="s">
        <v>203</v>
      </c>
      <c r="I984" s="17" t="n">
        <v>49</v>
      </c>
      <c r="J984" s="16" t="s">
        <v>655</v>
      </c>
      <c r="K984" s="15" t="s">
        <v>646</v>
      </c>
      <c r="L984" s="15" t="n">
        <f aca="false">IF(AND(OR(Search!$C$4="",Search!$C$4="All",B984=Search!$C$4),OR(Search!$C$5="",Search!$C$5="All",C984=Search!$C$5),OR(Search!$C$6="",Search!$C$6="All",D984=Search!$C$6),OR(Search!$C$7="",ISNUMBER(SEARCH(Search!$C$7,D984&amp;" "&amp;E984&amp;" "&amp;F984&amp;" "&amp;G984&amp;" "&amp;H984&amp;" "&amp;J984))),OR(Search!$C$8="",ISNUMBER(SEARCH(Search!$C$8,G984)))),1,0)</f>
        <v>1</v>
      </c>
      <c r="M984" s="15" t="n">
        <f aca="false">M983+L984</f>
        <v>983</v>
      </c>
    </row>
    <row r="985" customFormat="false" ht="15" hidden="false" customHeight="false" outlineLevel="0" collapsed="false">
      <c r="A985" s="14" t="n">
        <v>984</v>
      </c>
      <c r="B985" s="15" t="s">
        <v>639</v>
      </c>
      <c r="C985" s="15" t="s">
        <v>640</v>
      </c>
      <c r="D985" s="16" t="s">
        <v>846</v>
      </c>
      <c r="E985" s="16" t="s">
        <v>811</v>
      </c>
      <c r="F985" s="15" t="s">
        <v>778</v>
      </c>
      <c r="G985" s="15" t="s">
        <v>497</v>
      </c>
      <c r="H985" s="15" t="s">
        <v>203</v>
      </c>
      <c r="I985" s="17" t="n">
        <v>110</v>
      </c>
      <c r="J985" s="16" t="s">
        <v>655</v>
      </c>
      <c r="K985" s="15" t="s">
        <v>646</v>
      </c>
      <c r="L985" s="15" t="n">
        <f aca="false">IF(AND(OR(Search!$C$4="",Search!$C$4="All",B985=Search!$C$4),OR(Search!$C$5="",Search!$C$5="All",C985=Search!$C$5),OR(Search!$C$6="",Search!$C$6="All",D985=Search!$C$6),OR(Search!$C$7="",ISNUMBER(SEARCH(Search!$C$7,D985&amp;" "&amp;E985&amp;" "&amp;F985&amp;" "&amp;G985&amp;" "&amp;H985&amp;" "&amp;J985))),OR(Search!$C$8="",ISNUMBER(SEARCH(Search!$C$8,G985)))),1,0)</f>
        <v>1</v>
      </c>
      <c r="M985" s="15" t="n">
        <f aca="false">M984+L985</f>
        <v>984</v>
      </c>
    </row>
    <row r="986" customFormat="false" ht="15" hidden="false" customHeight="false" outlineLevel="0" collapsed="false">
      <c r="A986" s="14" t="n">
        <v>985</v>
      </c>
      <c r="B986" s="15" t="s">
        <v>639</v>
      </c>
      <c r="C986" s="15" t="s">
        <v>640</v>
      </c>
      <c r="D986" s="16" t="s">
        <v>846</v>
      </c>
      <c r="E986" s="16" t="s">
        <v>847</v>
      </c>
      <c r="F986" s="15" t="s">
        <v>778</v>
      </c>
      <c r="G986" s="15" t="s">
        <v>497</v>
      </c>
      <c r="H986" s="15" t="s">
        <v>203</v>
      </c>
      <c r="I986" s="17" t="n">
        <v>94</v>
      </c>
      <c r="J986" s="16" t="s">
        <v>655</v>
      </c>
      <c r="K986" s="15" t="s">
        <v>646</v>
      </c>
      <c r="L986" s="15" t="n">
        <f aca="false">IF(AND(OR(Search!$C$4="",Search!$C$4="All",B986=Search!$C$4),OR(Search!$C$5="",Search!$C$5="All",C986=Search!$C$5),OR(Search!$C$6="",Search!$C$6="All",D986=Search!$C$6),OR(Search!$C$7="",ISNUMBER(SEARCH(Search!$C$7,D986&amp;" "&amp;E986&amp;" "&amp;F986&amp;" "&amp;G986&amp;" "&amp;H986&amp;" "&amp;J986))),OR(Search!$C$8="",ISNUMBER(SEARCH(Search!$C$8,G986)))),1,0)</f>
        <v>1</v>
      </c>
      <c r="M986" s="15" t="n">
        <f aca="false">M985+L986</f>
        <v>985</v>
      </c>
    </row>
    <row r="987" customFormat="false" ht="15" hidden="false" customHeight="false" outlineLevel="0" collapsed="false">
      <c r="A987" s="14" t="n">
        <v>986</v>
      </c>
      <c r="B987" s="15" t="s">
        <v>639</v>
      </c>
      <c r="C987" s="15" t="s">
        <v>640</v>
      </c>
      <c r="D987" s="16" t="s">
        <v>846</v>
      </c>
      <c r="E987" s="16" t="s">
        <v>848</v>
      </c>
      <c r="F987" s="15" t="s">
        <v>778</v>
      </c>
      <c r="G987" s="15" t="s">
        <v>497</v>
      </c>
      <c r="H987" s="15" t="s">
        <v>203</v>
      </c>
      <c r="I987" s="17" t="n">
        <v>110</v>
      </c>
      <c r="J987" s="16" t="s">
        <v>655</v>
      </c>
      <c r="K987" s="15" t="s">
        <v>646</v>
      </c>
      <c r="L987" s="15" t="n">
        <f aca="false">IF(AND(OR(Search!$C$4="",Search!$C$4="All",B987=Search!$C$4),OR(Search!$C$5="",Search!$C$5="All",C987=Search!$C$5),OR(Search!$C$6="",Search!$C$6="All",D987=Search!$C$6),OR(Search!$C$7="",ISNUMBER(SEARCH(Search!$C$7,D987&amp;" "&amp;E987&amp;" "&amp;F987&amp;" "&amp;G987&amp;" "&amp;H987&amp;" "&amp;J987))),OR(Search!$C$8="",ISNUMBER(SEARCH(Search!$C$8,G987)))),1,0)</f>
        <v>1</v>
      </c>
      <c r="M987" s="15" t="n">
        <f aca="false">M986+L987</f>
        <v>986</v>
      </c>
    </row>
    <row r="988" customFormat="false" ht="15" hidden="false" customHeight="false" outlineLevel="0" collapsed="false">
      <c r="A988" s="14" t="n">
        <v>987</v>
      </c>
      <c r="B988" s="15" t="s">
        <v>639</v>
      </c>
      <c r="C988" s="15" t="s">
        <v>640</v>
      </c>
      <c r="D988" s="16" t="s">
        <v>846</v>
      </c>
      <c r="E988" s="16" t="s">
        <v>849</v>
      </c>
      <c r="F988" s="15" t="s">
        <v>716</v>
      </c>
      <c r="G988" s="15" t="s">
        <v>497</v>
      </c>
      <c r="H988" s="15" t="s">
        <v>203</v>
      </c>
      <c r="I988" s="17" t="n">
        <v>140</v>
      </c>
      <c r="J988" s="16" t="s">
        <v>655</v>
      </c>
      <c r="K988" s="15" t="s">
        <v>646</v>
      </c>
      <c r="L988" s="15" t="n">
        <f aca="false">IF(AND(OR(Search!$C$4="",Search!$C$4="All",B988=Search!$C$4),OR(Search!$C$5="",Search!$C$5="All",C988=Search!$C$5),OR(Search!$C$6="",Search!$C$6="All",D988=Search!$C$6),OR(Search!$C$7="",ISNUMBER(SEARCH(Search!$C$7,D988&amp;" "&amp;E988&amp;" "&amp;F988&amp;" "&amp;G988&amp;" "&amp;H988&amp;" "&amp;J988))),OR(Search!$C$8="",ISNUMBER(SEARCH(Search!$C$8,G988)))),1,0)</f>
        <v>1</v>
      </c>
      <c r="M988" s="15" t="n">
        <f aca="false">M987+L988</f>
        <v>987</v>
      </c>
    </row>
    <row r="989" customFormat="false" ht="15" hidden="false" customHeight="false" outlineLevel="0" collapsed="false">
      <c r="A989" s="14" t="n">
        <v>988</v>
      </c>
      <c r="B989" s="15" t="s">
        <v>639</v>
      </c>
      <c r="C989" s="15" t="s">
        <v>640</v>
      </c>
      <c r="D989" s="16" t="s">
        <v>850</v>
      </c>
      <c r="E989" s="16" t="s">
        <v>851</v>
      </c>
      <c r="F989" s="15" t="s">
        <v>686</v>
      </c>
      <c r="G989" s="15" t="s">
        <v>852</v>
      </c>
      <c r="H989" s="15" t="s">
        <v>203</v>
      </c>
      <c r="I989" s="17" t="n">
        <v>28</v>
      </c>
      <c r="J989" s="16" t="s">
        <v>655</v>
      </c>
      <c r="K989" s="15" t="s">
        <v>646</v>
      </c>
      <c r="L989" s="15" t="n">
        <f aca="false">IF(AND(OR(Search!$C$4="",Search!$C$4="All",B989=Search!$C$4),OR(Search!$C$5="",Search!$C$5="All",C989=Search!$C$5),OR(Search!$C$6="",Search!$C$6="All",D989=Search!$C$6),OR(Search!$C$7="",ISNUMBER(SEARCH(Search!$C$7,D989&amp;" "&amp;E989&amp;" "&amp;F989&amp;" "&amp;G989&amp;" "&amp;H989&amp;" "&amp;J989))),OR(Search!$C$8="",ISNUMBER(SEARCH(Search!$C$8,G989)))),1,0)</f>
        <v>1</v>
      </c>
      <c r="M989" s="15" t="n">
        <f aca="false">M988+L989</f>
        <v>988</v>
      </c>
    </row>
    <row r="990" customFormat="false" ht="15" hidden="false" customHeight="false" outlineLevel="0" collapsed="false">
      <c r="A990" s="14" t="n">
        <v>989</v>
      </c>
      <c r="B990" s="15" t="s">
        <v>639</v>
      </c>
      <c r="C990" s="15" t="s">
        <v>640</v>
      </c>
      <c r="D990" s="16" t="s">
        <v>850</v>
      </c>
      <c r="E990" s="16" t="s">
        <v>851</v>
      </c>
      <c r="F990" s="15" t="s">
        <v>192</v>
      </c>
      <c r="G990" s="15" t="s">
        <v>852</v>
      </c>
      <c r="H990" s="15" t="s">
        <v>203</v>
      </c>
      <c r="I990" s="17" t="n">
        <v>38</v>
      </c>
      <c r="J990" s="16" t="s">
        <v>655</v>
      </c>
      <c r="K990" s="15" t="s">
        <v>646</v>
      </c>
      <c r="L990" s="15" t="n">
        <f aca="false">IF(AND(OR(Search!$C$4="",Search!$C$4="All",B990=Search!$C$4),OR(Search!$C$5="",Search!$C$5="All",C990=Search!$C$5),OR(Search!$C$6="",Search!$C$6="All",D990=Search!$C$6),OR(Search!$C$7="",ISNUMBER(SEARCH(Search!$C$7,D990&amp;" "&amp;E990&amp;" "&amp;F990&amp;" "&amp;G990&amp;" "&amp;H990&amp;" "&amp;J990))),OR(Search!$C$8="",ISNUMBER(SEARCH(Search!$C$8,G990)))),1,0)</f>
        <v>1</v>
      </c>
      <c r="M990" s="15" t="n">
        <f aca="false">M989+L990</f>
        <v>989</v>
      </c>
    </row>
    <row r="991" customFormat="false" ht="15" hidden="false" customHeight="false" outlineLevel="0" collapsed="false">
      <c r="A991" s="14" t="n">
        <v>990</v>
      </c>
      <c r="B991" s="15" t="s">
        <v>639</v>
      </c>
      <c r="C991" s="15" t="s">
        <v>640</v>
      </c>
      <c r="D991" s="16" t="s">
        <v>850</v>
      </c>
      <c r="E991" s="16" t="s">
        <v>851</v>
      </c>
      <c r="F991" s="15" t="s">
        <v>648</v>
      </c>
      <c r="G991" s="15" t="s">
        <v>852</v>
      </c>
      <c r="H991" s="15" t="s">
        <v>203</v>
      </c>
      <c r="I991" s="17" t="n">
        <v>49</v>
      </c>
      <c r="J991" s="16" t="s">
        <v>655</v>
      </c>
      <c r="K991" s="15" t="s">
        <v>646</v>
      </c>
      <c r="L991" s="15" t="n">
        <f aca="false">IF(AND(OR(Search!$C$4="",Search!$C$4="All",B991=Search!$C$4),OR(Search!$C$5="",Search!$C$5="All",C991=Search!$C$5),OR(Search!$C$6="",Search!$C$6="All",D991=Search!$C$6),OR(Search!$C$7="",ISNUMBER(SEARCH(Search!$C$7,D991&amp;" "&amp;E991&amp;" "&amp;F991&amp;" "&amp;G991&amp;" "&amp;H991&amp;" "&amp;J991))),OR(Search!$C$8="",ISNUMBER(SEARCH(Search!$C$8,G991)))),1,0)</f>
        <v>1</v>
      </c>
      <c r="M991" s="15" t="n">
        <f aca="false">M990+L991</f>
        <v>990</v>
      </c>
    </row>
    <row r="992" customFormat="false" ht="15" hidden="false" customHeight="false" outlineLevel="0" collapsed="false">
      <c r="A992" s="14" t="n">
        <v>991</v>
      </c>
      <c r="B992" s="15" t="s">
        <v>639</v>
      </c>
      <c r="C992" s="15" t="s">
        <v>640</v>
      </c>
      <c r="D992" s="16" t="s">
        <v>850</v>
      </c>
      <c r="E992" s="16" t="s">
        <v>851</v>
      </c>
      <c r="F992" s="15" t="s">
        <v>649</v>
      </c>
      <c r="G992" s="15" t="s">
        <v>852</v>
      </c>
      <c r="H992" s="15" t="s">
        <v>203</v>
      </c>
      <c r="I992" s="17" t="n">
        <v>64</v>
      </c>
      <c r="J992" s="16" t="s">
        <v>655</v>
      </c>
      <c r="K992" s="15" t="s">
        <v>646</v>
      </c>
      <c r="L992" s="15" t="n">
        <f aca="false">IF(AND(OR(Search!$C$4="",Search!$C$4="All",B992=Search!$C$4),OR(Search!$C$5="",Search!$C$5="All",C992=Search!$C$5),OR(Search!$C$6="",Search!$C$6="All",D992=Search!$C$6),OR(Search!$C$7="",ISNUMBER(SEARCH(Search!$C$7,D992&amp;" "&amp;E992&amp;" "&amp;F992&amp;" "&amp;G992&amp;" "&amp;H992&amp;" "&amp;J992))),OR(Search!$C$8="",ISNUMBER(SEARCH(Search!$C$8,G992)))),1,0)</f>
        <v>1</v>
      </c>
      <c r="M992" s="15" t="n">
        <f aca="false">M991+L992</f>
        <v>991</v>
      </c>
    </row>
    <row r="993" customFormat="false" ht="15" hidden="false" customHeight="false" outlineLevel="0" collapsed="false">
      <c r="A993" s="14" t="n">
        <v>992</v>
      </c>
      <c r="B993" s="15" t="s">
        <v>639</v>
      </c>
      <c r="C993" s="15" t="s">
        <v>640</v>
      </c>
      <c r="D993" s="16" t="s">
        <v>850</v>
      </c>
      <c r="E993" s="16" t="s">
        <v>851</v>
      </c>
      <c r="F993" s="15" t="s">
        <v>661</v>
      </c>
      <c r="G993" s="15" t="s">
        <v>852</v>
      </c>
      <c r="H993" s="15" t="s">
        <v>203</v>
      </c>
      <c r="I993" s="17" t="n">
        <v>77</v>
      </c>
      <c r="J993" s="16" t="s">
        <v>655</v>
      </c>
      <c r="K993" s="15" t="s">
        <v>646</v>
      </c>
      <c r="L993" s="15" t="n">
        <f aca="false">IF(AND(OR(Search!$C$4="",Search!$C$4="All",B993=Search!$C$4),OR(Search!$C$5="",Search!$C$5="All",C993=Search!$C$5),OR(Search!$C$6="",Search!$C$6="All",D993=Search!$C$6),OR(Search!$C$7="",ISNUMBER(SEARCH(Search!$C$7,D993&amp;" "&amp;E993&amp;" "&amp;F993&amp;" "&amp;G993&amp;" "&amp;H993&amp;" "&amp;J993))),OR(Search!$C$8="",ISNUMBER(SEARCH(Search!$C$8,G993)))),1,0)</f>
        <v>1</v>
      </c>
      <c r="M993" s="15" t="n">
        <f aca="false">M992+L993</f>
        <v>992</v>
      </c>
    </row>
    <row r="994" customFormat="false" ht="15" hidden="false" customHeight="false" outlineLevel="0" collapsed="false">
      <c r="A994" s="14" t="n">
        <v>993</v>
      </c>
      <c r="B994" s="15" t="s">
        <v>639</v>
      </c>
      <c r="C994" s="15" t="s">
        <v>640</v>
      </c>
      <c r="D994" s="16" t="s">
        <v>850</v>
      </c>
      <c r="E994" s="16" t="s">
        <v>851</v>
      </c>
      <c r="F994" s="15" t="s">
        <v>651</v>
      </c>
      <c r="G994" s="15" t="s">
        <v>852</v>
      </c>
      <c r="H994" s="15" t="s">
        <v>203</v>
      </c>
      <c r="I994" s="17" t="n">
        <v>94</v>
      </c>
      <c r="J994" s="16" t="s">
        <v>655</v>
      </c>
      <c r="K994" s="15" t="s">
        <v>646</v>
      </c>
      <c r="L994" s="15" t="n">
        <f aca="false">IF(AND(OR(Search!$C$4="",Search!$C$4="All",B994=Search!$C$4),OR(Search!$C$5="",Search!$C$5="All",C994=Search!$C$5),OR(Search!$C$6="",Search!$C$6="All",D994=Search!$C$6),OR(Search!$C$7="",ISNUMBER(SEARCH(Search!$C$7,D994&amp;" "&amp;E994&amp;" "&amp;F994&amp;" "&amp;G994&amp;" "&amp;H994&amp;" "&amp;J994))),OR(Search!$C$8="",ISNUMBER(SEARCH(Search!$C$8,G994)))),1,0)</f>
        <v>1</v>
      </c>
      <c r="M994" s="15" t="n">
        <f aca="false">M993+L994</f>
        <v>993</v>
      </c>
    </row>
    <row r="995" customFormat="false" ht="15" hidden="false" customHeight="false" outlineLevel="0" collapsed="false">
      <c r="A995" s="14" t="n">
        <v>994</v>
      </c>
      <c r="B995" s="15" t="s">
        <v>639</v>
      </c>
      <c r="C995" s="15" t="s">
        <v>640</v>
      </c>
      <c r="D995" s="16" t="s">
        <v>853</v>
      </c>
      <c r="E995" s="16" t="s">
        <v>854</v>
      </c>
      <c r="F995" s="15" t="s">
        <v>686</v>
      </c>
      <c r="G995" s="15" t="s">
        <v>852</v>
      </c>
      <c r="H995" s="15" t="s">
        <v>203</v>
      </c>
      <c r="I995" s="17" t="n">
        <v>28</v>
      </c>
      <c r="J995" s="16" t="s">
        <v>655</v>
      </c>
      <c r="K995" s="15" t="s">
        <v>646</v>
      </c>
      <c r="L995" s="15" t="n">
        <f aca="false">IF(AND(OR(Search!$C$4="",Search!$C$4="All",B995=Search!$C$4),OR(Search!$C$5="",Search!$C$5="All",C995=Search!$C$5),OR(Search!$C$6="",Search!$C$6="All",D995=Search!$C$6),OR(Search!$C$7="",ISNUMBER(SEARCH(Search!$C$7,D995&amp;" "&amp;E995&amp;" "&amp;F995&amp;" "&amp;G995&amp;" "&amp;H995&amp;" "&amp;J995))),OR(Search!$C$8="",ISNUMBER(SEARCH(Search!$C$8,G995)))),1,0)</f>
        <v>1</v>
      </c>
      <c r="M995" s="15" t="n">
        <f aca="false">M994+L995</f>
        <v>994</v>
      </c>
    </row>
    <row r="996" customFormat="false" ht="15" hidden="false" customHeight="false" outlineLevel="0" collapsed="false">
      <c r="A996" s="14" t="n">
        <v>995</v>
      </c>
      <c r="B996" s="15" t="s">
        <v>639</v>
      </c>
      <c r="C996" s="15" t="s">
        <v>640</v>
      </c>
      <c r="D996" s="16" t="s">
        <v>853</v>
      </c>
      <c r="E996" s="16" t="s">
        <v>854</v>
      </c>
      <c r="F996" s="15" t="s">
        <v>192</v>
      </c>
      <c r="G996" s="15" t="s">
        <v>852</v>
      </c>
      <c r="H996" s="15" t="s">
        <v>203</v>
      </c>
      <c r="I996" s="17" t="n">
        <v>38</v>
      </c>
      <c r="J996" s="16" t="s">
        <v>655</v>
      </c>
      <c r="K996" s="15" t="s">
        <v>646</v>
      </c>
      <c r="L996" s="15" t="n">
        <f aca="false">IF(AND(OR(Search!$C$4="",Search!$C$4="All",B996=Search!$C$4),OR(Search!$C$5="",Search!$C$5="All",C996=Search!$C$5),OR(Search!$C$6="",Search!$C$6="All",D996=Search!$C$6),OR(Search!$C$7="",ISNUMBER(SEARCH(Search!$C$7,D996&amp;" "&amp;E996&amp;" "&amp;F996&amp;" "&amp;G996&amp;" "&amp;H996&amp;" "&amp;J996))),OR(Search!$C$8="",ISNUMBER(SEARCH(Search!$C$8,G996)))),1,0)</f>
        <v>1</v>
      </c>
      <c r="M996" s="15" t="n">
        <f aca="false">M995+L996</f>
        <v>995</v>
      </c>
    </row>
    <row r="997" customFormat="false" ht="15" hidden="false" customHeight="false" outlineLevel="0" collapsed="false">
      <c r="A997" s="14" t="n">
        <v>996</v>
      </c>
      <c r="B997" s="15" t="s">
        <v>639</v>
      </c>
      <c r="C997" s="15" t="s">
        <v>640</v>
      </c>
      <c r="D997" s="16" t="s">
        <v>853</v>
      </c>
      <c r="E997" s="16" t="s">
        <v>854</v>
      </c>
      <c r="F997" s="15" t="s">
        <v>855</v>
      </c>
      <c r="G997" s="15" t="s">
        <v>852</v>
      </c>
      <c r="H997" s="15" t="s">
        <v>203</v>
      </c>
      <c r="I997" s="17" t="n">
        <v>55</v>
      </c>
      <c r="J997" s="16" t="s">
        <v>655</v>
      </c>
      <c r="K997" s="15" t="s">
        <v>646</v>
      </c>
      <c r="L997" s="15" t="n">
        <f aca="false">IF(AND(OR(Search!$C$4="",Search!$C$4="All",B997=Search!$C$4),OR(Search!$C$5="",Search!$C$5="All",C997=Search!$C$5),OR(Search!$C$6="",Search!$C$6="All",D997=Search!$C$6),OR(Search!$C$7="",ISNUMBER(SEARCH(Search!$C$7,D997&amp;" "&amp;E997&amp;" "&amp;F997&amp;" "&amp;G997&amp;" "&amp;H997&amp;" "&amp;J997))),OR(Search!$C$8="",ISNUMBER(SEARCH(Search!$C$8,G997)))),1,0)</f>
        <v>1</v>
      </c>
      <c r="M997" s="15" t="n">
        <f aca="false">M996+L997</f>
        <v>996</v>
      </c>
    </row>
    <row r="998" customFormat="false" ht="15" hidden="false" customHeight="false" outlineLevel="0" collapsed="false">
      <c r="A998" s="14" t="n">
        <v>997</v>
      </c>
      <c r="B998" s="15" t="s">
        <v>639</v>
      </c>
      <c r="C998" s="15" t="s">
        <v>640</v>
      </c>
      <c r="D998" s="16" t="s">
        <v>853</v>
      </c>
      <c r="E998" s="16" t="s">
        <v>854</v>
      </c>
      <c r="F998" s="15" t="s">
        <v>661</v>
      </c>
      <c r="G998" s="15" t="s">
        <v>852</v>
      </c>
      <c r="H998" s="15" t="s">
        <v>203</v>
      </c>
      <c r="I998" s="17" t="n">
        <v>77</v>
      </c>
      <c r="J998" s="16" t="s">
        <v>655</v>
      </c>
      <c r="K998" s="15" t="s">
        <v>646</v>
      </c>
      <c r="L998" s="15" t="n">
        <f aca="false">IF(AND(OR(Search!$C$4="",Search!$C$4="All",B998=Search!$C$4),OR(Search!$C$5="",Search!$C$5="All",C998=Search!$C$5),OR(Search!$C$6="",Search!$C$6="All",D998=Search!$C$6),OR(Search!$C$7="",ISNUMBER(SEARCH(Search!$C$7,D998&amp;" "&amp;E998&amp;" "&amp;F998&amp;" "&amp;G998&amp;" "&amp;H998&amp;" "&amp;J998))),OR(Search!$C$8="",ISNUMBER(SEARCH(Search!$C$8,G998)))),1,0)</f>
        <v>1</v>
      </c>
      <c r="M998" s="15" t="n">
        <f aca="false">M997+L998</f>
        <v>997</v>
      </c>
    </row>
    <row r="999" customFormat="false" ht="15" hidden="false" customHeight="false" outlineLevel="0" collapsed="false">
      <c r="A999" s="14" t="n">
        <v>998</v>
      </c>
      <c r="B999" s="15" t="s">
        <v>639</v>
      </c>
      <c r="C999" s="15" t="s">
        <v>640</v>
      </c>
      <c r="D999" s="16" t="s">
        <v>853</v>
      </c>
      <c r="E999" s="16" t="s">
        <v>854</v>
      </c>
      <c r="F999" s="15" t="s">
        <v>651</v>
      </c>
      <c r="G999" s="15" t="s">
        <v>852</v>
      </c>
      <c r="H999" s="15" t="s">
        <v>203</v>
      </c>
      <c r="I999" s="17" t="n">
        <v>94</v>
      </c>
      <c r="J999" s="16" t="s">
        <v>655</v>
      </c>
      <c r="K999" s="15" t="s">
        <v>646</v>
      </c>
      <c r="L999" s="15" t="n">
        <f aca="false">IF(AND(OR(Search!$C$4="",Search!$C$4="All",B999=Search!$C$4),OR(Search!$C$5="",Search!$C$5="All",C999=Search!$C$5),OR(Search!$C$6="",Search!$C$6="All",D999=Search!$C$6),OR(Search!$C$7="",ISNUMBER(SEARCH(Search!$C$7,D999&amp;" "&amp;E999&amp;" "&amp;F999&amp;" "&amp;G999&amp;" "&amp;H999&amp;" "&amp;J999))),OR(Search!$C$8="",ISNUMBER(SEARCH(Search!$C$8,G999)))),1,0)</f>
        <v>1</v>
      </c>
      <c r="M999" s="15" t="n">
        <f aca="false">M998+L999</f>
        <v>998</v>
      </c>
    </row>
    <row r="1000" customFormat="false" ht="15" hidden="false" customHeight="false" outlineLevel="0" collapsed="false">
      <c r="A1000" s="14" t="n">
        <v>999</v>
      </c>
      <c r="B1000" s="15" t="s">
        <v>639</v>
      </c>
      <c r="C1000" s="15" t="s">
        <v>640</v>
      </c>
      <c r="D1000" s="16" t="s">
        <v>856</v>
      </c>
      <c r="E1000" s="16" t="s">
        <v>857</v>
      </c>
      <c r="F1000" s="15" t="s">
        <v>192</v>
      </c>
      <c r="G1000" s="15" t="s">
        <v>699</v>
      </c>
      <c r="H1000" s="15" t="s">
        <v>203</v>
      </c>
      <c r="I1000" s="17" t="n">
        <v>35</v>
      </c>
      <c r="J1000" s="16" t="s">
        <v>655</v>
      </c>
      <c r="K1000" s="15" t="s">
        <v>646</v>
      </c>
      <c r="L1000" s="15" t="n">
        <f aca="false">IF(AND(OR(Search!$C$4="",Search!$C$4="All",B1000=Search!$C$4),OR(Search!$C$5="",Search!$C$5="All",C1000=Search!$C$5),OR(Search!$C$6="",Search!$C$6="All",D1000=Search!$C$6),OR(Search!$C$7="",ISNUMBER(SEARCH(Search!$C$7,D1000&amp;" "&amp;E1000&amp;" "&amp;F1000&amp;" "&amp;G1000&amp;" "&amp;H1000&amp;" "&amp;J1000))),OR(Search!$C$8="",ISNUMBER(SEARCH(Search!$C$8,G1000)))),1,0)</f>
        <v>1</v>
      </c>
      <c r="M1000" s="15" t="n">
        <f aca="false">M999+L1000</f>
        <v>999</v>
      </c>
    </row>
    <row r="1001" customFormat="false" ht="15" hidden="false" customHeight="false" outlineLevel="0" collapsed="false">
      <c r="A1001" s="14" t="n">
        <v>1000</v>
      </c>
      <c r="B1001" s="15" t="s">
        <v>639</v>
      </c>
      <c r="C1001" s="15" t="s">
        <v>640</v>
      </c>
      <c r="D1001" s="16" t="s">
        <v>856</v>
      </c>
      <c r="E1001" s="16" t="s">
        <v>858</v>
      </c>
      <c r="F1001" s="15" t="s">
        <v>661</v>
      </c>
      <c r="G1001" s="15" t="s">
        <v>699</v>
      </c>
      <c r="H1001" s="15" t="s">
        <v>203</v>
      </c>
      <c r="I1001" s="17" t="n">
        <v>75</v>
      </c>
      <c r="J1001" s="16" t="s">
        <v>655</v>
      </c>
      <c r="K1001" s="15" t="s">
        <v>646</v>
      </c>
      <c r="L1001" s="15" t="n">
        <f aca="false">IF(AND(OR(Search!$C$4="",Search!$C$4="All",B1001=Search!$C$4),OR(Search!$C$5="",Search!$C$5="All",C1001=Search!$C$5),OR(Search!$C$6="",Search!$C$6="All",D1001=Search!$C$6),OR(Search!$C$7="",ISNUMBER(SEARCH(Search!$C$7,D1001&amp;" "&amp;E1001&amp;" "&amp;F1001&amp;" "&amp;G1001&amp;" "&amp;H1001&amp;" "&amp;J1001))),OR(Search!$C$8="",ISNUMBER(SEARCH(Search!$C$8,G1001)))),1,0)</f>
        <v>1</v>
      </c>
      <c r="M1001" s="15" t="n">
        <f aca="false">M1000+L1001</f>
        <v>1000</v>
      </c>
    </row>
    <row r="1002" customFormat="false" ht="15" hidden="false" customHeight="false" outlineLevel="0" collapsed="false">
      <c r="A1002" s="14" t="n">
        <v>1001</v>
      </c>
      <c r="B1002" s="15" t="s">
        <v>639</v>
      </c>
      <c r="C1002" s="15" t="s">
        <v>640</v>
      </c>
      <c r="D1002" s="16" t="s">
        <v>859</v>
      </c>
      <c r="E1002" s="16" t="s">
        <v>860</v>
      </c>
      <c r="F1002" s="15" t="s">
        <v>643</v>
      </c>
      <c r="G1002" s="15" t="s">
        <v>173</v>
      </c>
      <c r="H1002" s="15" t="s">
        <v>203</v>
      </c>
      <c r="I1002" s="17" t="n">
        <v>25</v>
      </c>
      <c r="J1002" s="16" t="s">
        <v>655</v>
      </c>
      <c r="K1002" s="15" t="s">
        <v>646</v>
      </c>
      <c r="L1002" s="15" t="n">
        <f aca="false">IF(AND(OR(Search!$C$4="",Search!$C$4="All",B1002=Search!$C$4),OR(Search!$C$5="",Search!$C$5="All",C1002=Search!$C$5),OR(Search!$C$6="",Search!$C$6="All",D1002=Search!$C$6),OR(Search!$C$7="",ISNUMBER(SEARCH(Search!$C$7,D1002&amp;" "&amp;E1002&amp;" "&amp;F1002&amp;" "&amp;G1002&amp;" "&amp;H1002&amp;" "&amp;J1002))),OR(Search!$C$8="",ISNUMBER(SEARCH(Search!$C$8,G1002)))),1,0)</f>
        <v>1</v>
      </c>
      <c r="M1002" s="15" t="n">
        <f aca="false">M1001+L1002</f>
        <v>1001</v>
      </c>
    </row>
    <row r="1003" customFormat="false" ht="15" hidden="false" customHeight="false" outlineLevel="0" collapsed="false">
      <c r="A1003" s="14" t="n">
        <v>1002</v>
      </c>
      <c r="B1003" s="15" t="s">
        <v>639</v>
      </c>
      <c r="C1003" s="15" t="s">
        <v>640</v>
      </c>
      <c r="D1003" s="16" t="s">
        <v>859</v>
      </c>
      <c r="E1003" s="16" t="s">
        <v>861</v>
      </c>
      <c r="F1003" s="15" t="s">
        <v>643</v>
      </c>
      <c r="G1003" s="15" t="s">
        <v>173</v>
      </c>
      <c r="H1003" s="15" t="s">
        <v>203</v>
      </c>
      <c r="I1003" s="17" t="n">
        <v>21</v>
      </c>
      <c r="J1003" s="16" t="s">
        <v>655</v>
      </c>
      <c r="K1003" s="15" t="s">
        <v>646</v>
      </c>
      <c r="L1003" s="15" t="n">
        <f aca="false">IF(AND(OR(Search!$C$4="",Search!$C$4="All",B1003=Search!$C$4),OR(Search!$C$5="",Search!$C$5="All",C1003=Search!$C$5),OR(Search!$C$6="",Search!$C$6="All",D1003=Search!$C$6),OR(Search!$C$7="",ISNUMBER(SEARCH(Search!$C$7,D1003&amp;" "&amp;E1003&amp;" "&amp;F1003&amp;" "&amp;G1003&amp;" "&amp;H1003&amp;" "&amp;J1003))),OR(Search!$C$8="",ISNUMBER(SEARCH(Search!$C$8,G1003)))),1,0)</f>
        <v>1</v>
      </c>
      <c r="M1003" s="15" t="n">
        <f aca="false">M1002+L1003</f>
        <v>1002</v>
      </c>
    </row>
    <row r="1004" customFormat="false" ht="15" hidden="false" customHeight="false" outlineLevel="0" collapsed="false">
      <c r="A1004" s="14" t="n">
        <v>1003</v>
      </c>
      <c r="B1004" s="15" t="s">
        <v>639</v>
      </c>
      <c r="C1004" s="15" t="s">
        <v>640</v>
      </c>
      <c r="D1004" s="16" t="s">
        <v>862</v>
      </c>
      <c r="E1004" s="16" t="s">
        <v>863</v>
      </c>
      <c r="F1004" s="15" t="s">
        <v>287</v>
      </c>
      <c r="G1004" s="15" t="s">
        <v>660</v>
      </c>
      <c r="H1004" s="15" t="s">
        <v>203</v>
      </c>
      <c r="I1004" s="17" t="n">
        <v>89</v>
      </c>
      <c r="J1004" s="16" t="s">
        <v>655</v>
      </c>
      <c r="K1004" s="15" t="s">
        <v>646</v>
      </c>
      <c r="L1004" s="15" t="n">
        <f aca="false">IF(AND(OR(Search!$C$4="",Search!$C$4="All",B1004=Search!$C$4),OR(Search!$C$5="",Search!$C$5="All",C1004=Search!$C$5),OR(Search!$C$6="",Search!$C$6="All",D1004=Search!$C$6),OR(Search!$C$7="",ISNUMBER(SEARCH(Search!$C$7,D1004&amp;" "&amp;E1004&amp;" "&amp;F1004&amp;" "&amp;G1004&amp;" "&amp;H1004&amp;" "&amp;J1004))),OR(Search!$C$8="",ISNUMBER(SEARCH(Search!$C$8,G1004)))),1,0)</f>
        <v>1</v>
      </c>
      <c r="M1004" s="15" t="n">
        <f aca="false">M1003+L1004</f>
        <v>1003</v>
      </c>
    </row>
    <row r="1005" customFormat="false" ht="15" hidden="false" customHeight="false" outlineLevel="0" collapsed="false">
      <c r="A1005" s="14" t="n">
        <v>1004</v>
      </c>
      <c r="B1005" s="15" t="s">
        <v>639</v>
      </c>
      <c r="C1005" s="15" t="s">
        <v>640</v>
      </c>
      <c r="D1005" s="16" t="s">
        <v>862</v>
      </c>
      <c r="E1005" s="16" t="s">
        <v>864</v>
      </c>
      <c r="F1005" s="15" t="s">
        <v>287</v>
      </c>
      <c r="G1005" s="15" t="s">
        <v>660</v>
      </c>
      <c r="H1005" s="15" t="s">
        <v>203</v>
      </c>
      <c r="I1005" s="17" t="n">
        <v>114</v>
      </c>
      <c r="J1005" s="16" t="s">
        <v>655</v>
      </c>
      <c r="K1005" s="15" t="s">
        <v>646</v>
      </c>
      <c r="L1005" s="15" t="n">
        <f aca="false">IF(AND(OR(Search!$C$4="",Search!$C$4="All",B1005=Search!$C$4),OR(Search!$C$5="",Search!$C$5="All",C1005=Search!$C$5),OR(Search!$C$6="",Search!$C$6="All",D1005=Search!$C$6),OR(Search!$C$7="",ISNUMBER(SEARCH(Search!$C$7,D1005&amp;" "&amp;E1005&amp;" "&amp;F1005&amp;" "&amp;G1005&amp;" "&amp;H1005&amp;" "&amp;J1005))),OR(Search!$C$8="",ISNUMBER(SEARCH(Search!$C$8,G1005)))),1,0)</f>
        <v>1</v>
      </c>
      <c r="M1005" s="15" t="n">
        <f aca="false">M1004+L1005</f>
        <v>1004</v>
      </c>
    </row>
    <row r="1006" customFormat="false" ht="15" hidden="false" customHeight="false" outlineLevel="0" collapsed="false">
      <c r="A1006" s="14" t="n">
        <v>1005</v>
      </c>
      <c r="B1006" s="15" t="s">
        <v>639</v>
      </c>
      <c r="C1006" s="15" t="s">
        <v>640</v>
      </c>
      <c r="D1006" s="16" t="s">
        <v>862</v>
      </c>
      <c r="E1006" s="16" t="s">
        <v>865</v>
      </c>
      <c r="F1006" s="15" t="s">
        <v>661</v>
      </c>
      <c r="G1006" s="15" t="s">
        <v>660</v>
      </c>
      <c r="H1006" s="15" t="s">
        <v>203</v>
      </c>
      <c r="I1006" s="17" t="n">
        <v>99</v>
      </c>
      <c r="J1006" s="16" t="s">
        <v>655</v>
      </c>
      <c r="K1006" s="15" t="s">
        <v>646</v>
      </c>
      <c r="L1006" s="15" t="n">
        <f aca="false">IF(AND(OR(Search!$C$4="",Search!$C$4="All",B1006=Search!$C$4),OR(Search!$C$5="",Search!$C$5="All",C1006=Search!$C$5),OR(Search!$C$6="",Search!$C$6="All",D1006=Search!$C$6),OR(Search!$C$7="",ISNUMBER(SEARCH(Search!$C$7,D1006&amp;" "&amp;E1006&amp;" "&amp;F1006&amp;" "&amp;G1006&amp;" "&amp;H1006&amp;" "&amp;J1006))),OR(Search!$C$8="",ISNUMBER(SEARCH(Search!$C$8,G1006)))),1,0)</f>
        <v>1</v>
      </c>
      <c r="M1006" s="15" t="n">
        <f aca="false">M1005+L1006</f>
        <v>1005</v>
      </c>
    </row>
    <row r="1007" customFormat="false" ht="15" hidden="false" customHeight="false" outlineLevel="0" collapsed="false">
      <c r="A1007" s="14" t="n">
        <v>1006</v>
      </c>
      <c r="B1007" s="15" t="s">
        <v>639</v>
      </c>
      <c r="C1007" s="15" t="s">
        <v>640</v>
      </c>
      <c r="D1007" s="16" t="s">
        <v>862</v>
      </c>
      <c r="E1007" s="16" t="s">
        <v>863</v>
      </c>
      <c r="F1007" s="15" t="s">
        <v>866</v>
      </c>
      <c r="G1007" s="15" t="s">
        <v>660</v>
      </c>
      <c r="H1007" s="15" t="s">
        <v>203</v>
      </c>
      <c r="I1007" s="17" t="n">
        <v>176</v>
      </c>
      <c r="J1007" s="16" t="s">
        <v>655</v>
      </c>
      <c r="K1007" s="15" t="s">
        <v>646</v>
      </c>
      <c r="L1007" s="15" t="n">
        <f aca="false">IF(AND(OR(Search!$C$4="",Search!$C$4="All",B1007=Search!$C$4),OR(Search!$C$5="",Search!$C$5="All",C1007=Search!$C$5),OR(Search!$C$6="",Search!$C$6="All",D1007=Search!$C$6),OR(Search!$C$7="",ISNUMBER(SEARCH(Search!$C$7,D1007&amp;" "&amp;E1007&amp;" "&amp;F1007&amp;" "&amp;G1007&amp;" "&amp;H1007&amp;" "&amp;J1007))),OR(Search!$C$8="",ISNUMBER(SEARCH(Search!$C$8,G1007)))),1,0)</f>
        <v>1</v>
      </c>
      <c r="M1007" s="15" t="n">
        <f aca="false">M1006+L1007</f>
        <v>1006</v>
      </c>
    </row>
    <row r="1008" customFormat="false" ht="15" hidden="false" customHeight="false" outlineLevel="0" collapsed="false">
      <c r="A1008" s="14" t="n">
        <v>1007</v>
      </c>
      <c r="B1008" s="15" t="s">
        <v>639</v>
      </c>
      <c r="C1008" s="15" t="s">
        <v>640</v>
      </c>
      <c r="D1008" s="16" t="s">
        <v>862</v>
      </c>
      <c r="E1008" s="16" t="s">
        <v>864</v>
      </c>
      <c r="F1008" s="15" t="s">
        <v>866</v>
      </c>
      <c r="G1008" s="15" t="s">
        <v>660</v>
      </c>
      <c r="H1008" s="15" t="s">
        <v>203</v>
      </c>
      <c r="I1008" s="17" t="n">
        <v>230</v>
      </c>
      <c r="J1008" s="16" t="s">
        <v>655</v>
      </c>
      <c r="K1008" s="15" t="s">
        <v>646</v>
      </c>
      <c r="L1008" s="15" t="n">
        <f aca="false">IF(AND(OR(Search!$C$4="",Search!$C$4="All",B1008=Search!$C$4),OR(Search!$C$5="",Search!$C$5="All",C1008=Search!$C$5),OR(Search!$C$6="",Search!$C$6="All",D1008=Search!$C$6),OR(Search!$C$7="",ISNUMBER(SEARCH(Search!$C$7,D1008&amp;" "&amp;E1008&amp;" "&amp;F1008&amp;" "&amp;G1008&amp;" "&amp;H1008&amp;" "&amp;J1008))),OR(Search!$C$8="",ISNUMBER(SEARCH(Search!$C$8,G1008)))),1,0)</f>
        <v>1</v>
      </c>
      <c r="M1008" s="15" t="n">
        <f aca="false">M1007+L1008</f>
        <v>1007</v>
      </c>
    </row>
    <row r="1009" customFormat="false" ht="15" hidden="false" customHeight="false" outlineLevel="0" collapsed="false">
      <c r="A1009" s="14" t="n">
        <v>1008</v>
      </c>
      <c r="B1009" s="15" t="s">
        <v>639</v>
      </c>
      <c r="C1009" s="15" t="s">
        <v>640</v>
      </c>
      <c r="D1009" s="16" t="s">
        <v>867</v>
      </c>
      <c r="E1009" s="16" t="s">
        <v>868</v>
      </c>
      <c r="F1009" s="15" t="s">
        <v>192</v>
      </c>
      <c r="G1009" s="15" t="s">
        <v>660</v>
      </c>
      <c r="H1009" s="15" t="s">
        <v>203</v>
      </c>
      <c r="I1009" s="17" t="n">
        <v>82</v>
      </c>
      <c r="J1009" s="16" t="s">
        <v>655</v>
      </c>
      <c r="K1009" s="15" t="s">
        <v>646</v>
      </c>
      <c r="L1009" s="15" t="n">
        <f aca="false">IF(AND(OR(Search!$C$4="",Search!$C$4="All",B1009=Search!$C$4),OR(Search!$C$5="",Search!$C$5="All",C1009=Search!$C$5),OR(Search!$C$6="",Search!$C$6="All",D1009=Search!$C$6),OR(Search!$C$7="",ISNUMBER(SEARCH(Search!$C$7,D1009&amp;" "&amp;E1009&amp;" "&amp;F1009&amp;" "&amp;G1009&amp;" "&amp;H1009&amp;" "&amp;J1009))),OR(Search!$C$8="",ISNUMBER(SEARCH(Search!$C$8,G1009)))),1,0)</f>
        <v>1</v>
      </c>
      <c r="M1009" s="15" t="n">
        <f aca="false">M1008+L1009</f>
        <v>1008</v>
      </c>
    </row>
    <row r="1010" customFormat="false" ht="15" hidden="false" customHeight="false" outlineLevel="0" collapsed="false">
      <c r="A1010" s="14" t="n">
        <v>1009</v>
      </c>
      <c r="B1010" s="15" t="s">
        <v>639</v>
      </c>
      <c r="C1010" s="15" t="s">
        <v>640</v>
      </c>
      <c r="D1010" s="16" t="s">
        <v>867</v>
      </c>
      <c r="E1010" s="16" t="s">
        <v>868</v>
      </c>
      <c r="F1010" s="15" t="s">
        <v>866</v>
      </c>
      <c r="G1010" s="15" t="s">
        <v>660</v>
      </c>
      <c r="H1010" s="15" t="s">
        <v>203</v>
      </c>
      <c r="I1010" s="17" t="n">
        <v>209</v>
      </c>
      <c r="J1010" s="16" t="s">
        <v>655</v>
      </c>
      <c r="K1010" s="15" t="s">
        <v>646</v>
      </c>
      <c r="L1010" s="15" t="n">
        <f aca="false">IF(AND(OR(Search!$C$4="",Search!$C$4="All",B1010=Search!$C$4),OR(Search!$C$5="",Search!$C$5="All",C1010=Search!$C$5),OR(Search!$C$6="",Search!$C$6="All",D1010=Search!$C$6),OR(Search!$C$7="",ISNUMBER(SEARCH(Search!$C$7,D1010&amp;" "&amp;E1010&amp;" "&amp;F1010&amp;" "&amp;G1010&amp;" "&amp;H1010&amp;" "&amp;J1010))),OR(Search!$C$8="",ISNUMBER(SEARCH(Search!$C$8,G1010)))),1,0)</f>
        <v>1</v>
      </c>
      <c r="M1010" s="15" t="n">
        <f aca="false">M1009+L1010</f>
        <v>1009</v>
      </c>
    </row>
    <row r="1011" customFormat="false" ht="15" hidden="false" customHeight="false" outlineLevel="0" collapsed="false">
      <c r="A1011" s="14" t="n">
        <v>1010</v>
      </c>
      <c r="B1011" s="15" t="s">
        <v>639</v>
      </c>
      <c r="C1011" s="15" t="s">
        <v>640</v>
      </c>
      <c r="D1011" s="16" t="s">
        <v>869</v>
      </c>
      <c r="E1011" s="16" t="s">
        <v>700</v>
      </c>
      <c r="F1011" s="15" t="s">
        <v>192</v>
      </c>
      <c r="G1011" s="15" t="s">
        <v>699</v>
      </c>
      <c r="H1011" s="15" t="s">
        <v>203</v>
      </c>
      <c r="I1011" s="17" t="n">
        <v>60</v>
      </c>
      <c r="J1011" s="16" t="s">
        <v>655</v>
      </c>
      <c r="K1011" s="15" t="s">
        <v>646</v>
      </c>
      <c r="L1011" s="15" t="n">
        <f aca="false">IF(AND(OR(Search!$C$4="",Search!$C$4="All",B1011=Search!$C$4),OR(Search!$C$5="",Search!$C$5="All",C1011=Search!$C$5),OR(Search!$C$6="",Search!$C$6="All",D1011=Search!$C$6),OR(Search!$C$7="",ISNUMBER(SEARCH(Search!$C$7,D1011&amp;" "&amp;E1011&amp;" "&amp;F1011&amp;" "&amp;G1011&amp;" "&amp;H1011&amp;" "&amp;J1011))),OR(Search!$C$8="",ISNUMBER(SEARCH(Search!$C$8,G1011)))),1,0)</f>
        <v>1</v>
      </c>
      <c r="M1011" s="15" t="n">
        <f aca="false">M1010+L1011</f>
        <v>1010</v>
      </c>
    </row>
    <row r="1012" customFormat="false" ht="15" hidden="false" customHeight="false" outlineLevel="0" collapsed="false">
      <c r="A1012" s="14" t="n">
        <v>1011</v>
      </c>
      <c r="B1012" s="15" t="s">
        <v>639</v>
      </c>
      <c r="C1012" s="15" t="s">
        <v>640</v>
      </c>
      <c r="D1012" s="16" t="s">
        <v>869</v>
      </c>
      <c r="E1012" s="16" t="s">
        <v>870</v>
      </c>
      <c r="F1012" s="15" t="s">
        <v>192</v>
      </c>
      <c r="G1012" s="15" t="s">
        <v>699</v>
      </c>
      <c r="H1012" s="15" t="s">
        <v>203</v>
      </c>
      <c r="I1012" s="17" t="n">
        <v>55</v>
      </c>
      <c r="J1012" s="16" t="s">
        <v>655</v>
      </c>
      <c r="K1012" s="15" t="s">
        <v>646</v>
      </c>
      <c r="L1012" s="15" t="n">
        <f aca="false">IF(AND(OR(Search!$C$4="",Search!$C$4="All",B1012=Search!$C$4),OR(Search!$C$5="",Search!$C$5="All",C1012=Search!$C$5),OR(Search!$C$6="",Search!$C$6="All",D1012=Search!$C$6),OR(Search!$C$7="",ISNUMBER(SEARCH(Search!$C$7,D1012&amp;" "&amp;E1012&amp;" "&amp;F1012&amp;" "&amp;G1012&amp;" "&amp;H1012&amp;" "&amp;J1012))),OR(Search!$C$8="",ISNUMBER(SEARCH(Search!$C$8,G1012)))),1,0)</f>
        <v>1</v>
      </c>
      <c r="M1012" s="15" t="n">
        <f aca="false">M1011+L1012</f>
        <v>1011</v>
      </c>
    </row>
    <row r="1013" customFormat="false" ht="15" hidden="false" customHeight="false" outlineLevel="0" collapsed="false">
      <c r="A1013" s="14" t="n">
        <v>1012</v>
      </c>
      <c r="B1013" s="15" t="s">
        <v>639</v>
      </c>
      <c r="C1013" s="15" t="s">
        <v>640</v>
      </c>
      <c r="D1013" s="16" t="s">
        <v>869</v>
      </c>
      <c r="E1013" s="16" t="s">
        <v>700</v>
      </c>
      <c r="F1013" s="15" t="s">
        <v>855</v>
      </c>
      <c r="G1013" s="15" t="s">
        <v>699</v>
      </c>
      <c r="H1013" s="15" t="s">
        <v>203</v>
      </c>
      <c r="I1013" s="17" t="n">
        <v>75</v>
      </c>
      <c r="J1013" s="16" t="s">
        <v>655</v>
      </c>
      <c r="K1013" s="15" t="s">
        <v>646</v>
      </c>
      <c r="L1013" s="15" t="n">
        <f aca="false">IF(AND(OR(Search!$C$4="",Search!$C$4="All",B1013=Search!$C$4),OR(Search!$C$5="",Search!$C$5="All",C1013=Search!$C$5),OR(Search!$C$6="",Search!$C$6="All",D1013=Search!$C$6),OR(Search!$C$7="",ISNUMBER(SEARCH(Search!$C$7,D1013&amp;" "&amp;E1013&amp;" "&amp;F1013&amp;" "&amp;G1013&amp;" "&amp;H1013&amp;" "&amp;J1013))),OR(Search!$C$8="",ISNUMBER(SEARCH(Search!$C$8,G1013)))),1,0)</f>
        <v>1</v>
      </c>
      <c r="M1013" s="15" t="n">
        <f aca="false">M1012+L1013</f>
        <v>1012</v>
      </c>
    </row>
    <row r="1014" customFormat="false" ht="15" hidden="false" customHeight="false" outlineLevel="0" collapsed="false">
      <c r="A1014" s="14" t="n">
        <v>1013</v>
      </c>
      <c r="B1014" s="15" t="s">
        <v>639</v>
      </c>
      <c r="C1014" s="15" t="s">
        <v>640</v>
      </c>
      <c r="D1014" s="16" t="s">
        <v>869</v>
      </c>
      <c r="E1014" s="16" t="s">
        <v>871</v>
      </c>
      <c r="F1014" s="15" t="s">
        <v>650</v>
      </c>
      <c r="G1014" s="15" t="s">
        <v>699</v>
      </c>
      <c r="H1014" s="15" t="s">
        <v>203</v>
      </c>
      <c r="I1014" s="17" t="n">
        <v>115.5</v>
      </c>
      <c r="J1014" s="16" t="s">
        <v>655</v>
      </c>
      <c r="K1014" s="15" t="s">
        <v>646</v>
      </c>
      <c r="L1014" s="15" t="n">
        <f aca="false">IF(AND(OR(Search!$C$4="",Search!$C$4="All",B1014=Search!$C$4),OR(Search!$C$5="",Search!$C$5="All",C1014=Search!$C$5),OR(Search!$C$6="",Search!$C$6="All",D1014=Search!$C$6),OR(Search!$C$7="",ISNUMBER(SEARCH(Search!$C$7,D1014&amp;" "&amp;E1014&amp;" "&amp;F1014&amp;" "&amp;G1014&amp;" "&amp;H1014&amp;" "&amp;J1014))),OR(Search!$C$8="",ISNUMBER(SEARCH(Search!$C$8,G1014)))),1,0)</f>
        <v>1</v>
      </c>
      <c r="M1014" s="15" t="n">
        <f aca="false">M1013+L1014</f>
        <v>1013</v>
      </c>
    </row>
    <row r="1015" customFormat="false" ht="15" hidden="false" customHeight="false" outlineLevel="0" collapsed="false">
      <c r="A1015" s="14" t="n">
        <v>1014</v>
      </c>
      <c r="B1015" s="15" t="s">
        <v>639</v>
      </c>
      <c r="C1015" s="15" t="s">
        <v>640</v>
      </c>
      <c r="D1015" s="16" t="s">
        <v>872</v>
      </c>
      <c r="E1015" s="16" t="s">
        <v>873</v>
      </c>
      <c r="F1015" s="15" t="s">
        <v>187</v>
      </c>
      <c r="G1015" s="15" t="s">
        <v>699</v>
      </c>
      <c r="H1015" s="15" t="s">
        <v>203</v>
      </c>
      <c r="I1015" s="17" t="n">
        <v>44</v>
      </c>
      <c r="J1015" s="16" t="s">
        <v>655</v>
      </c>
      <c r="K1015" s="15" t="s">
        <v>646</v>
      </c>
      <c r="L1015" s="15" t="n">
        <f aca="false">IF(AND(OR(Search!$C$4="",Search!$C$4="All",B1015=Search!$C$4),OR(Search!$C$5="",Search!$C$5="All",C1015=Search!$C$5),OR(Search!$C$6="",Search!$C$6="All",D1015=Search!$C$6),OR(Search!$C$7="",ISNUMBER(SEARCH(Search!$C$7,D1015&amp;" "&amp;E1015&amp;" "&amp;F1015&amp;" "&amp;G1015&amp;" "&amp;H1015&amp;" "&amp;J1015))),OR(Search!$C$8="",ISNUMBER(SEARCH(Search!$C$8,G1015)))),1,0)</f>
        <v>1</v>
      </c>
      <c r="M1015" s="15" t="n">
        <f aca="false">M1014+L1015</f>
        <v>1014</v>
      </c>
    </row>
    <row r="1016" customFormat="false" ht="15" hidden="false" customHeight="false" outlineLevel="0" collapsed="false">
      <c r="A1016" s="14" t="n">
        <v>1015</v>
      </c>
      <c r="B1016" s="15" t="s">
        <v>639</v>
      </c>
      <c r="C1016" s="15" t="s">
        <v>640</v>
      </c>
      <c r="D1016" s="16" t="s">
        <v>872</v>
      </c>
      <c r="E1016" s="16" t="s">
        <v>874</v>
      </c>
      <c r="F1016" s="15" t="s">
        <v>855</v>
      </c>
      <c r="G1016" s="15" t="s">
        <v>699</v>
      </c>
      <c r="H1016" s="15" t="s">
        <v>203</v>
      </c>
      <c r="I1016" s="17" t="n">
        <v>75</v>
      </c>
      <c r="J1016" s="16" t="s">
        <v>655</v>
      </c>
      <c r="K1016" s="15" t="s">
        <v>646</v>
      </c>
      <c r="L1016" s="15" t="n">
        <f aca="false">IF(AND(OR(Search!$C$4="",Search!$C$4="All",B1016=Search!$C$4),OR(Search!$C$5="",Search!$C$5="All",C1016=Search!$C$5),OR(Search!$C$6="",Search!$C$6="All",D1016=Search!$C$6),OR(Search!$C$7="",ISNUMBER(SEARCH(Search!$C$7,D1016&amp;" "&amp;E1016&amp;" "&amp;F1016&amp;" "&amp;G1016&amp;" "&amp;H1016&amp;" "&amp;J1016))),OR(Search!$C$8="",ISNUMBER(SEARCH(Search!$C$8,G1016)))),1,0)</f>
        <v>1</v>
      </c>
      <c r="M1016" s="15" t="n">
        <f aca="false">M1015+L1016</f>
        <v>1015</v>
      </c>
    </row>
    <row r="1017" customFormat="false" ht="15" hidden="false" customHeight="false" outlineLevel="0" collapsed="false">
      <c r="A1017" s="14" t="n">
        <v>1016</v>
      </c>
      <c r="B1017" s="15" t="s">
        <v>639</v>
      </c>
      <c r="C1017" s="15" t="s">
        <v>640</v>
      </c>
      <c r="D1017" s="16" t="s">
        <v>872</v>
      </c>
      <c r="E1017" s="16" t="s">
        <v>875</v>
      </c>
      <c r="F1017" s="15" t="s">
        <v>855</v>
      </c>
      <c r="G1017" s="15" t="s">
        <v>699</v>
      </c>
      <c r="H1017" s="15" t="s">
        <v>203</v>
      </c>
      <c r="I1017" s="17" t="n">
        <v>60</v>
      </c>
      <c r="J1017" s="16" t="s">
        <v>655</v>
      </c>
      <c r="K1017" s="15" t="s">
        <v>646</v>
      </c>
      <c r="L1017" s="15" t="n">
        <f aca="false">IF(AND(OR(Search!$C$4="",Search!$C$4="All",B1017=Search!$C$4),OR(Search!$C$5="",Search!$C$5="All",C1017=Search!$C$5),OR(Search!$C$6="",Search!$C$6="All",D1017=Search!$C$6),OR(Search!$C$7="",ISNUMBER(SEARCH(Search!$C$7,D1017&amp;" "&amp;E1017&amp;" "&amp;F1017&amp;" "&amp;G1017&amp;" "&amp;H1017&amp;" "&amp;J1017))),OR(Search!$C$8="",ISNUMBER(SEARCH(Search!$C$8,G1017)))),1,0)</f>
        <v>1</v>
      </c>
      <c r="M1017" s="15" t="n">
        <f aca="false">M1016+L1017</f>
        <v>1016</v>
      </c>
    </row>
    <row r="1018" customFormat="false" ht="15" hidden="false" customHeight="false" outlineLevel="0" collapsed="false">
      <c r="A1018" s="14" t="n">
        <v>1017</v>
      </c>
      <c r="B1018" s="15" t="s">
        <v>639</v>
      </c>
      <c r="C1018" s="15" t="s">
        <v>640</v>
      </c>
      <c r="D1018" s="16" t="s">
        <v>872</v>
      </c>
      <c r="E1018" s="16" t="s">
        <v>876</v>
      </c>
      <c r="F1018" s="15" t="s">
        <v>650</v>
      </c>
      <c r="G1018" s="15" t="s">
        <v>699</v>
      </c>
      <c r="H1018" s="15" t="s">
        <v>203</v>
      </c>
      <c r="I1018" s="17" t="n">
        <v>90</v>
      </c>
      <c r="J1018" s="16" t="s">
        <v>655</v>
      </c>
      <c r="K1018" s="15" t="s">
        <v>646</v>
      </c>
      <c r="L1018" s="15" t="n">
        <f aca="false">IF(AND(OR(Search!$C$4="",Search!$C$4="All",B1018=Search!$C$4),OR(Search!$C$5="",Search!$C$5="All",C1018=Search!$C$5),OR(Search!$C$6="",Search!$C$6="All",D1018=Search!$C$6),OR(Search!$C$7="",ISNUMBER(SEARCH(Search!$C$7,D1018&amp;" "&amp;E1018&amp;" "&amp;F1018&amp;" "&amp;G1018&amp;" "&amp;H1018&amp;" "&amp;J1018))),OR(Search!$C$8="",ISNUMBER(SEARCH(Search!$C$8,G1018)))),1,0)</f>
        <v>1</v>
      </c>
      <c r="M1018" s="15" t="n">
        <f aca="false">M1017+L1018</f>
        <v>1017</v>
      </c>
    </row>
    <row r="1019" customFormat="false" ht="15" hidden="false" customHeight="false" outlineLevel="0" collapsed="false">
      <c r="A1019" s="14" t="n">
        <v>1018</v>
      </c>
      <c r="B1019" s="15" t="s">
        <v>639</v>
      </c>
      <c r="C1019" s="15" t="s">
        <v>640</v>
      </c>
      <c r="D1019" s="16" t="s">
        <v>872</v>
      </c>
      <c r="E1019" s="16" t="s">
        <v>874</v>
      </c>
      <c r="F1019" s="15" t="s">
        <v>650</v>
      </c>
      <c r="G1019" s="15" t="s">
        <v>699</v>
      </c>
      <c r="H1019" s="15" t="s">
        <v>203</v>
      </c>
      <c r="I1019" s="17" t="n">
        <v>115</v>
      </c>
      <c r="J1019" s="16" t="s">
        <v>655</v>
      </c>
      <c r="K1019" s="15" t="s">
        <v>646</v>
      </c>
      <c r="L1019" s="15" t="n">
        <f aca="false">IF(AND(OR(Search!$C$4="",Search!$C$4="All",B1019=Search!$C$4),OR(Search!$C$5="",Search!$C$5="All",C1019=Search!$C$5),OR(Search!$C$6="",Search!$C$6="All",D1019=Search!$C$6),OR(Search!$C$7="",ISNUMBER(SEARCH(Search!$C$7,D1019&amp;" "&amp;E1019&amp;" "&amp;F1019&amp;" "&amp;G1019&amp;" "&amp;H1019&amp;" "&amp;J1019))),OR(Search!$C$8="",ISNUMBER(SEARCH(Search!$C$8,G1019)))),1,0)</f>
        <v>1</v>
      </c>
      <c r="M1019" s="15" t="n">
        <f aca="false">M1018+L1019</f>
        <v>1018</v>
      </c>
    </row>
    <row r="1020" customFormat="false" ht="15" hidden="false" customHeight="false" outlineLevel="0" collapsed="false">
      <c r="A1020" s="14" t="n">
        <v>1019</v>
      </c>
      <c r="B1020" s="15" t="s">
        <v>639</v>
      </c>
      <c r="C1020" s="15" t="s">
        <v>640</v>
      </c>
      <c r="D1020" s="16" t="s">
        <v>877</v>
      </c>
      <c r="E1020" s="16" t="s">
        <v>878</v>
      </c>
      <c r="F1020" s="15" t="s">
        <v>686</v>
      </c>
      <c r="G1020" s="15" t="s">
        <v>879</v>
      </c>
      <c r="H1020" s="15" t="s">
        <v>203</v>
      </c>
      <c r="I1020" s="17" t="n">
        <v>35</v>
      </c>
      <c r="J1020" s="16" t="s">
        <v>655</v>
      </c>
      <c r="K1020" s="15" t="s">
        <v>646</v>
      </c>
      <c r="L1020" s="15" t="n">
        <f aca="false">IF(AND(OR(Search!$C$4="",Search!$C$4="All",B1020=Search!$C$4),OR(Search!$C$5="",Search!$C$5="All",C1020=Search!$C$5),OR(Search!$C$6="",Search!$C$6="All",D1020=Search!$C$6),OR(Search!$C$7="",ISNUMBER(SEARCH(Search!$C$7,D1020&amp;" "&amp;E1020&amp;" "&amp;F1020&amp;" "&amp;G1020&amp;" "&amp;H1020&amp;" "&amp;J1020))),OR(Search!$C$8="",ISNUMBER(SEARCH(Search!$C$8,G1020)))),1,0)</f>
        <v>1</v>
      </c>
      <c r="M1020" s="15" t="n">
        <f aca="false">M1019+L1020</f>
        <v>1019</v>
      </c>
    </row>
    <row r="1021" customFormat="false" ht="15" hidden="false" customHeight="false" outlineLevel="0" collapsed="false">
      <c r="A1021" s="14" t="n">
        <v>1020</v>
      </c>
      <c r="B1021" s="15" t="s">
        <v>639</v>
      </c>
      <c r="C1021" s="15" t="s">
        <v>640</v>
      </c>
      <c r="D1021" s="16" t="s">
        <v>877</v>
      </c>
      <c r="E1021" s="16" t="s">
        <v>700</v>
      </c>
      <c r="F1021" s="15" t="s">
        <v>686</v>
      </c>
      <c r="G1021" s="15" t="s">
        <v>814</v>
      </c>
      <c r="H1021" s="15" t="s">
        <v>203</v>
      </c>
      <c r="I1021" s="17" t="n">
        <v>26</v>
      </c>
      <c r="J1021" s="16" t="s">
        <v>655</v>
      </c>
      <c r="K1021" s="15" t="s">
        <v>646</v>
      </c>
      <c r="L1021" s="15" t="n">
        <f aca="false">IF(AND(OR(Search!$C$4="",Search!$C$4="All",B1021=Search!$C$4),OR(Search!$C$5="",Search!$C$5="All",C1021=Search!$C$5),OR(Search!$C$6="",Search!$C$6="All",D1021=Search!$C$6),OR(Search!$C$7="",ISNUMBER(SEARCH(Search!$C$7,D1021&amp;" "&amp;E1021&amp;" "&amp;F1021&amp;" "&amp;G1021&amp;" "&amp;H1021&amp;" "&amp;J1021))),OR(Search!$C$8="",ISNUMBER(SEARCH(Search!$C$8,G1021)))),1,0)</f>
        <v>1</v>
      </c>
      <c r="M1021" s="15" t="n">
        <f aca="false">M1020+L1021</f>
        <v>1020</v>
      </c>
    </row>
    <row r="1022" customFormat="false" ht="15" hidden="false" customHeight="false" outlineLevel="0" collapsed="false">
      <c r="A1022" s="14" t="n">
        <v>1021</v>
      </c>
      <c r="B1022" s="15" t="s">
        <v>639</v>
      </c>
      <c r="C1022" s="15" t="s">
        <v>640</v>
      </c>
      <c r="D1022" s="16" t="s">
        <v>877</v>
      </c>
      <c r="E1022" s="16" t="s">
        <v>878</v>
      </c>
      <c r="F1022" s="15" t="s">
        <v>788</v>
      </c>
      <c r="G1022" s="15" t="s">
        <v>173</v>
      </c>
      <c r="H1022" s="15" t="s">
        <v>203</v>
      </c>
      <c r="I1022" s="17" t="n">
        <v>49</v>
      </c>
      <c r="J1022" s="16" t="s">
        <v>655</v>
      </c>
      <c r="K1022" s="15" t="s">
        <v>646</v>
      </c>
      <c r="L1022" s="15" t="n">
        <f aca="false">IF(AND(OR(Search!$C$4="",Search!$C$4="All",B1022=Search!$C$4),OR(Search!$C$5="",Search!$C$5="All",C1022=Search!$C$5),OR(Search!$C$6="",Search!$C$6="All",D1022=Search!$C$6),OR(Search!$C$7="",ISNUMBER(SEARCH(Search!$C$7,D1022&amp;" "&amp;E1022&amp;" "&amp;F1022&amp;" "&amp;G1022&amp;" "&amp;H1022&amp;" "&amp;J1022))),OR(Search!$C$8="",ISNUMBER(SEARCH(Search!$C$8,G1022)))),1,0)</f>
        <v>1</v>
      </c>
      <c r="M1022" s="15" t="n">
        <f aca="false">M1021+L1022</f>
        <v>1021</v>
      </c>
    </row>
    <row r="1023" customFormat="false" ht="15" hidden="false" customHeight="false" outlineLevel="0" collapsed="false">
      <c r="A1023" s="14" t="n">
        <v>1022</v>
      </c>
      <c r="B1023" s="15" t="s">
        <v>639</v>
      </c>
      <c r="C1023" s="15" t="s">
        <v>640</v>
      </c>
      <c r="D1023" s="16" t="s">
        <v>877</v>
      </c>
      <c r="E1023" s="16" t="s">
        <v>878</v>
      </c>
      <c r="F1023" s="15" t="s">
        <v>778</v>
      </c>
      <c r="G1023" s="15" t="s">
        <v>497</v>
      </c>
      <c r="H1023" s="15" t="s">
        <v>203</v>
      </c>
      <c r="I1023" s="17" t="n">
        <v>90</v>
      </c>
      <c r="J1023" s="16" t="s">
        <v>655</v>
      </c>
      <c r="K1023" s="15" t="s">
        <v>646</v>
      </c>
      <c r="L1023" s="15" t="n">
        <f aca="false">IF(AND(OR(Search!$C$4="",Search!$C$4="All",B1023=Search!$C$4),OR(Search!$C$5="",Search!$C$5="All",C1023=Search!$C$5),OR(Search!$C$6="",Search!$C$6="All",D1023=Search!$C$6),OR(Search!$C$7="",ISNUMBER(SEARCH(Search!$C$7,D1023&amp;" "&amp;E1023&amp;" "&amp;F1023&amp;" "&amp;G1023&amp;" "&amp;H1023&amp;" "&amp;J1023))),OR(Search!$C$8="",ISNUMBER(SEARCH(Search!$C$8,G1023)))),1,0)</f>
        <v>1</v>
      </c>
      <c r="M1023" s="15" t="n">
        <f aca="false">M1022+L1023</f>
        <v>1022</v>
      </c>
    </row>
    <row r="1024" customFormat="false" ht="15" hidden="false" customHeight="false" outlineLevel="0" collapsed="false">
      <c r="A1024" s="14" t="n">
        <v>1023</v>
      </c>
      <c r="B1024" s="15" t="s">
        <v>639</v>
      </c>
      <c r="C1024" s="15" t="s">
        <v>640</v>
      </c>
      <c r="D1024" s="16" t="s">
        <v>877</v>
      </c>
      <c r="E1024" s="16" t="s">
        <v>820</v>
      </c>
      <c r="F1024" s="15" t="s">
        <v>778</v>
      </c>
      <c r="G1024" s="15" t="s">
        <v>497</v>
      </c>
      <c r="H1024" s="15" t="s">
        <v>203</v>
      </c>
      <c r="I1024" s="17" t="n">
        <v>60.5</v>
      </c>
      <c r="J1024" s="16" t="s">
        <v>655</v>
      </c>
      <c r="K1024" s="15" t="s">
        <v>646</v>
      </c>
      <c r="L1024" s="15" t="n">
        <f aca="false">IF(AND(OR(Search!$C$4="",Search!$C$4="All",B1024=Search!$C$4),OR(Search!$C$5="",Search!$C$5="All",C1024=Search!$C$5),OR(Search!$C$6="",Search!$C$6="All",D1024=Search!$C$6),OR(Search!$C$7="",ISNUMBER(SEARCH(Search!$C$7,D1024&amp;" "&amp;E1024&amp;" "&amp;F1024&amp;" "&amp;G1024&amp;" "&amp;H1024&amp;" "&amp;J1024))),OR(Search!$C$8="",ISNUMBER(SEARCH(Search!$C$8,G1024)))),1,0)</f>
        <v>1</v>
      </c>
      <c r="M1024" s="15" t="n">
        <f aca="false">M1023+L1024</f>
        <v>1023</v>
      </c>
    </row>
    <row r="1025" customFormat="false" ht="15" hidden="false" customHeight="false" outlineLevel="0" collapsed="false">
      <c r="A1025" s="14" t="n">
        <v>1024</v>
      </c>
      <c r="B1025" s="15" t="s">
        <v>639</v>
      </c>
      <c r="C1025" s="15" t="s">
        <v>640</v>
      </c>
      <c r="D1025" s="16" t="s">
        <v>877</v>
      </c>
      <c r="E1025" s="16" t="s">
        <v>878</v>
      </c>
      <c r="F1025" s="15" t="s">
        <v>716</v>
      </c>
      <c r="G1025" s="15" t="s">
        <v>497</v>
      </c>
      <c r="H1025" s="15" t="s">
        <v>203</v>
      </c>
      <c r="I1025" s="17" t="n">
        <v>115</v>
      </c>
      <c r="J1025" s="16" t="s">
        <v>655</v>
      </c>
      <c r="K1025" s="15" t="s">
        <v>646</v>
      </c>
      <c r="L1025" s="15" t="n">
        <f aca="false">IF(AND(OR(Search!$C$4="",Search!$C$4="All",B1025=Search!$C$4),OR(Search!$C$5="",Search!$C$5="All",C1025=Search!$C$5),OR(Search!$C$6="",Search!$C$6="All",D1025=Search!$C$6),OR(Search!$C$7="",ISNUMBER(SEARCH(Search!$C$7,D1025&amp;" "&amp;E1025&amp;" "&amp;F1025&amp;" "&amp;G1025&amp;" "&amp;H1025&amp;" "&amp;J1025))),OR(Search!$C$8="",ISNUMBER(SEARCH(Search!$C$8,G1025)))),1,0)</f>
        <v>1</v>
      </c>
      <c r="M1025" s="15" t="n">
        <f aca="false">M1024+L1025</f>
        <v>1024</v>
      </c>
    </row>
    <row r="1026" customFormat="false" ht="15" hidden="false" customHeight="false" outlineLevel="0" collapsed="false">
      <c r="A1026" s="14" t="n">
        <v>1025</v>
      </c>
      <c r="B1026" s="15" t="s">
        <v>639</v>
      </c>
      <c r="C1026" s="15" t="s">
        <v>640</v>
      </c>
      <c r="D1026" s="16" t="s">
        <v>877</v>
      </c>
      <c r="E1026" s="16" t="s">
        <v>880</v>
      </c>
      <c r="F1026" s="15" t="s">
        <v>716</v>
      </c>
      <c r="G1026" s="15" t="s">
        <v>497</v>
      </c>
      <c r="H1026" s="15" t="s">
        <v>203</v>
      </c>
      <c r="I1026" s="17" t="n">
        <v>80</v>
      </c>
      <c r="J1026" s="16" t="s">
        <v>655</v>
      </c>
      <c r="K1026" s="15" t="s">
        <v>646</v>
      </c>
      <c r="L1026" s="15" t="n">
        <f aca="false">IF(AND(OR(Search!$C$4="",Search!$C$4="All",B1026=Search!$C$4),OR(Search!$C$5="",Search!$C$5="All",C1026=Search!$C$5),OR(Search!$C$6="",Search!$C$6="All",D1026=Search!$C$6),OR(Search!$C$7="",ISNUMBER(SEARCH(Search!$C$7,D1026&amp;" "&amp;E1026&amp;" "&amp;F1026&amp;" "&amp;G1026&amp;" "&amp;H1026&amp;" "&amp;J1026))),OR(Search!$C$8="",ISNUMBER(SEARCH(Search!$C$8,G1026)))),1,0)</f>
        <v>1</v>
      </c>
      <c r="M1026" s="15" t="n">
        <f aca="false">M1025+L1026</f>
        <v>1025</v>
      </c>
    </row>
    <row r="1027" customFormat="false" ht="15" hidden="false" customHeight="false" outlineLevel="0" collapsed="false">
      <c r="A1027" s="14" t="n">
        <v>1026</v>
      </c>
      <c r="B1027" s="15" t="s">
        <v>639</v>
      </c>
      <c r="C1027" s="15" t="s">
        <v>640</v>
      </c>
      <c r="D1027" s="16" t="s">
        <v>877</v>
      </c>
      <c r="E1027" s="16" t="s">
        <v>880</v>
      </c>
      <c r="F1027" s="15" t="s">
        <v>881</v>
      </c>
      <c r="G1027" s="15" t="s">
        <v>497</v>
      </c>
      <c r="H1027" s="15" t="s">
        <v>203</v>
      </c>
      <c r="I1027" s="17" t="n">
        <v>75</v>
      </c>
      <c r="J1027" s="16" t="s">
        <v>655</v>
      </c>
      <c r="K1027" s="15" t="s">
        <v>646</v>
      </c>
      <c r="L1027" s="15" t="n">
        <f aca="false">IF(AND(OR(Search!$C$4="",Search!$C$4="All",B1027=Search!$C$4),OR(Search!$C$5="",Search!$C$5="All",C1027=Search!$C$5),OR(Search!$C$6="",Search!$C$6="All",D1027=Search!$C$6),OR(Search!$C$7="",ISNUMBER(SEARCH(Search!$C$7,D1027&amp;" "&amp;E1027&amp;" "&amp;F1027&amp;" "&amp;G1027&amp;" "&amp;H1027&amp;" "&amp;J1027))),OR(Search!$C$8="",ISNUMBER(SEARCH(Search!$C$8,G1027)))),1,0)</f>
        <v>1</v>
      </c>
      <c r="M1027" s="15" t="n">
        <f aca="false">M1026+L1027</f>
        <v>1026</v>
      </c>
    </row>
    <row r="1028" customFormat="false" ht="15" hidden="false" customHeight="false" outlineLevel="0" collapsed="false">
      <c r="A1028" s="14" t="n">
        <v>1027</v>
      </c>
      <c r="B1028" s="15" t="s">
        <v>639</v>
      </c>
      <c r="C1028" s="15" t="s">
        <v>640</v>
      </c>
      <c r="D1028" s="16" t="s">
        <v>882</v>
      </c>
      <c r="E1028" s="16" t="s">
        <v>878</v>
      </c>
      <c r="F1028" s="15" t="s">
        <v>686</v>
      </c>
      <c r="G1028" s="15" t="s">
        <v>879</v>
      </c>
      <c r="H1028" s="15" t="s">
        <v>203</v>
      </c>
      <c r="I1028" s="17" t="n">
        <v>35</v>
      </c>
      <c r="J1028" s="16" t="s">
        <v>655</v>
      </c>
      <c r="K1028" s="15" t="s">
        <v>646</v>
      </c>
      <c r="L1028" s="15" t="n">
        <f aca="false">IF(AND(OR(Search!$C$4="",Search!$C$4="All",B1028=Search!$C$4),OR(Search!$C$5="",Search!$C$5="All",C1028=Search!$C$5),OR(Search!$C$6="",Search!$C$6="All",D1028=Search!$C$6),OR(Search!$C$7="",ISNUMBER(SEARCH(Search!$C$7,D1028&amp;" "&amp;E1028&amp;" "&amp;F1028&amp;" "&amp;G1028&amp;" "&amp;H1028&amp;" "&amp;J1028))),OR(Search!$C$8="",ISNUMBER(SEARCH(Search!$C$8,G1028)))),1,0)</f>
        <v>1</v>
      </c>
      <c r="M1028" s="15" t="n">
        <f aca="false">M1027+L1028</f>
        <v>1027</v>
      </c>
    </row>
    <row r="1029" customFormat="false" ht="15" hidden="false" customHeight="false" outlineLevel="0" collapsed="false">
      <c r="A1029" s="14" t="n">
        <v>1028</v>
      </c>
      <c r="B1029" s="15" t="s">
        <v>639</v>
      </c>
      <c r="C1029" s="15" t="s">
        <v>640</v>
      </c>
      <c r="D1029" s="16" t="s">
        <v>882</v>
      </c>
      <c r="E1029" s="16" t="s">
        <v>883</v>
      </c>
      <c r="F1029" s="15" t="s">
        <v>686</v>
      </c>
      <c r="G1029" s="15" t="s">
        <v>814</v>
      </c>
      <c r="H1029" s="15" t="s">
        <v>203</v>
      </c>
      <c r="I1029" s="17" t="n">
        <v>26</v>
      </c>
      <c r="J1029" s="16" t="s">
        <v>655</v>
      </c>
      <c r="K1029" s="15" t="s">
        <v>646</v>
      </c>
      <c r="L1029" s="15" t="n">
        <f aca="false">IF(AND(OR(Search!$C$4="",Search!$C$4="All",B1029=Search!$C$4),OR(Search!$C$5="",Search!$C$5="All",C1029=Search!$C$5),OR(Search!$C$6="",Search!$C$6="All",D1029=Search!$C$6),OR(Search!$C$7="",ISNUMBER(SEARCH(Search!$C$7,D1029&amp;" "&amp;E1029&amp;" "&amp;F1029&amp;" "&amp;G1029&amp;" "&amp;H1029&amp;" "&amp;J1029))),OR(Search!$C$8="",ISNUMBER(SEARCH(Search!$C$8,G1029)))),1,0)</f>
        <v>1</v>
      </c>
      <c r="M1029" s="15" t="n">
        <f aca="false">M1028+L1029</f>
        <v>1028</v>
      </c>
    </row>
    <row r="1030" customFormat="false" ht="15" hidden="false" customHeight="false" outlineLevel="0" collapsed="false">
      <c r="A1030" s="14" t="n">
        <v>1029</v>
      </c>
      <c r="B1030" s="15" t="s">
        <v>639</v>
      </c>
      <c r="C1030" s="15" t="s">
        <v>640</v>
      </c>
      <c r="D1030" s="16" t="s">
        <v>882</v>
      </c>
      <c r="E1030" s="16" t="s">
        <v>878</v>
      </c>
      <c r="F1030" s="15" t="s">
        <v>788</v>
      </c>
      <c r="G1030" s="15" t="s">
        <v>173</v>
      </c>
      <c r="H1030" s="15" t="s">
        <v>203</v>
      </c>
      <c r="I1030" s="17" t="n">
        <v>49</v>
      </c>
      <c r="J1030" s="16" t="s">
        <v>655</v>
      </c>
      <c r="K1030" s="15" t="s">
        <v>646</v>
      </c>
      <c r="L1030" s="15" t="n">
        <f aca="false">IF(AND(OR(Search!$C$4="",Search!$C$4="All",B1030=Search!$C$4),OR(Search!$C$5="",Search!$C$5="All",C1030=Search!$C$5),OR(Search!$C$6="",Search!$C$6="All",D1030=Search!$C$6),OR(Search!$C$7="",ISNUMBER(SEARCH(Search!$C$7,D1030&amp;" "&amp;E1030&amp;" "&amp;F1030&amp;" "&amp;G1030&amp;" "&amp;H1030&amp;" "&amp;J1030))),OR(Search!$C$8="",ISNUMBER(SEARCH(Search!$C$8,G1030)))),1,0)</f>
        <v>1</v>
      </c>
      <c r="M1030" s="15" t="n">
        <f aca="false">M1029+L1030</f>
        <v>1029</v>
      </c>
    </row>
    <row r="1031" customFormat="false" ht="15" hidden="false" customHeight="false" outlineLevel="0" collapsed="false">
      <c r="A1031" s="14" t="n">
        <v>1030</v>
      </c>
      <c r="B1031" s="15" t="s">
        <v>639</v>
      </c>
      <c r="C1031" s="15" t="s">
        <v>640</v>
      </c>
      <c r="D1031" s="16" t="s">
        <v>882</v>
      </c>
      <c r="E1031" s="16" t="s">
        <v>878</v>
      </c>
      <c r="F1031" s="15" t="s">
        <v>778</v>
      </c>
      <c r="G1031" s="15" t="s">
        <v>497</v>
      </c>
      <c r="H1031" s="15" t="s">
        <v>203</v>
      </c>
      <c r="I1031" s="17" t="n">
        <v>90</v>
      </c>
      <c r="J1031" s="16" t="s">
        <v>655</v>
      </c>
      <c r="K1031" s="15" t="s">
        <v>646</v>
      </c>
      <c r="L1031" s="15" t="n">
        <f aca="false">IF(AND(OR(Search!$C$4="",Search!$C$4="All",B1031=Search!$C$4),OR(Search!$C$5="",Search!$C$5="All",C1031=Search!$C$5),OR(Search!$C$6="",Search!$C$6="All",D1031=Search!$C$6),OR(Search!$C$7="",ISNUMBER(SEARCH(Search!$C$7,D1031&amp;" "&amp;E1031&amp;" "&amp;F1031&amp;" "&amp;G1031&amp;" "&amp;H1031&amp;" "&amp;J1031))),OR(Search!$C$8="",ISNUMBER(SEARCH(Search!$C$8,G1031)))),1,0)</f>
        <v>1</v>
      </c>
      <c r="M1031" s="15" t="n">
        <f aca="false">M1030+L1031</f>
        <v>1030</v>
      </c>
    </row>
    <row r="1032" customFormat="false" ht="15" hidden="false" customHeight="false" outlineLevel="0" collapsed="false">
      <c r="A1032" s="14" t="n">
        <v>1031</v>
      </c>
      <c r="B1032" s="15" t="s">
        <v>639</v>
      </c>
      <c r="C1032" s="15" t="s">
        <v>640</v>
      </c>
      <c r="D1032" s="16" t="s">
        <v>882</v>
      </c>
      <c r="E1032" s="16" t="s">
        <v>883</v>
      </c>
      <c r="F1032" s="15" t="s">
        <v>778</v>
      </c>
      <c r="G1032" s="15" t="s">
        <v>497</v>
      </c>
      <c r="H1032" s="15" t="s">
        <v>203</v>
      </c>
      <c r="I1032" s="17" t="n">
        <v>60.5</v>
      </c>
      <c r="J1032" s="16" t="s">
        <v>655</v>
      </c>
      <c r="K1032" s="15" t="s">
        <v>646</v>
      </c>
      <c r="L1032" s="15" t="n">
        <f aca="false">IF(AND(OR(Search!$C$4="",Search!$C$4="All",B1032=Search!$C$4),OR(Search!$C$5="",Search!$C$5="All",C1032=Search!$C$5),OR(Search!$C$6="",Search!$C$6="All",D1032=Search!$C$6),OR(Search!$C$7="",ISNUMBER(SEARCH(Search!$C$7,D1032&amp;" "&amp;E1032&amp;" "&amp;F1032&amp;" "&amp;G1032&amp;" "&amp;H1032&amp;" "&amp;J1032))),OR(Search!$C$8="",ISNUMBER(SEARCH(Search!$C$8,G1032)))),1,0)</f>
        <v>1</v>
      </c>
      <c r="M1032" s="15" t="n">
        <f aca="false">M1031+L1032</f>
        <v>1031</v>
      </c>
    </row>
    <row r="1033" customFormat="false" ht="15" hidden="false" customHeight="false" outlineLevel="0" collapsed="false">
      <c r="A1033" s="14" t="n">
        <v>1032</v>
      </c>
      <c r="B1033" s="15" t="s">
        <v>639</v>
      </c>
      <c r="C1033" s="15" t="s">
        <v>640</v>
      </c>
      <c r="D1033" s="16" t="s">
        <v>882</v>
      </c>
      <c r="E1033" s="16" t="s">
        <v>878</v>
      </c>
      <c r="F1033" s="15" t="s">
        <v>716</v>
      </c>
      <c r="G1033" s="15" t="s">
        <v>497</v>
      </c>
      <c r="H1033" s="15" t="s">
        <v>203</v>
      </c>
      <c r="I1033" s="17" t="n">
        <v>115</v>
      </c>
      <c r="J1033" s="16" t="s">
        <v>655</v>
      </c>
      <c r="K1033" s="15" t="s">
        <v>646</v>
      </c>
      <c r="L1033" s="15" t="n">
        <f aca="false">IF(AND(OR(Search!$C$4="",Search!$C$4="All",B1033=Search!$C$4),OR(Search!$C$5="",Search!$C$5="All",C1033=Search!$C$5),OR(Search!$C$6="",Search!$C$6="All",D1033=Search!$C$6),OR(Search!$C$7="",ISNUMBER(SEARCH(Search!$C$7,D1033&amp;" "&amp;E1033&amp;" "&amp;F1033&amp;" "&amp;G1033&amp;" "&amp;H1033&amp;" "&amp;J1033))),OR(Search!$C$8="",ISNUMBER(SEARCH(Search!$C$8,G1033)))),1,0)</f>
        <v>1</v>
      </c>
      <c r="M1033" s="15" t="n">
        <f aca="false">M1032+L1033</f>
        <v>1032</v>
      </c>
    </row>
    <row r="1034" customFormat="false" ht="15" hidden="false" customHeight="false" outlineLevel="0" collapsed="false">
      <c r="A1034" s="14" t="n">
        <v>1033</v>
      </c>
      <c r="B1034" s="15" t="s">
        <v>639</v>
      </c>
      <c r="C1034" s="15" t="s">
        <v>640</v>
      </c>
      <c r="D1034" s="16" t="s">
        <v>884</v>
      </c>
      <c r="E1034" s="16" t="s">
        <v>885</v>
      </c>
      <c r="F1034" s="15" t="s">
        <v>760</v>
      </c>
      <c r="G1034" s="15" t="s">
        <v>660</v>
      </c>
      <c r="H1034" s="15" t="s">
        <v>203</v>
      </c>
      <c r="I1034" s="17" t="n">
        <v>72</v>
      </c>
      <c r="J1034" s="16" t="s">
        <v>886</v>
      </c>
      <c r="K1034" s="15" t="s">
        <v>646</v>
      </c>
      <c r="L1034" s="15" t="n">
        <f aca="false">IF(AND(OR(Search!$C$4="",Search!$C$4="All",B1034=Search!$C$4),OR(Search!$C$5="",Search!$C$5="All",C1034=Search!$C$5),OR(Search!$C$6="",Search!$C$6="All",D1034=Search!$C$6),OR(Search!$C$7="",ISNUMBER(SEARCH(Search!$C$7,D1034&amp;" "&amp;E1034&amp;" "&amp;F1034&amp;" "&amp;G1034&amp;" "&amp;H1034&amp;" "&amp;J1034))),OR(Search!$C$8="",ISNUMBER(SEARCH(Search!$C$8,G1034)))),1,0)</f>
        <v>1</v>
      </c>
      <c r="M1034" s="15" t="n">
        <f aca="false">M1033+L1034</f>
        <v>1033</v>
      </c>
    </row>
    <row r="1035" customFormat="false" ht="15" hidden="false" customHeight="false" outlineLevel="0" collapsed="false">
      <c r="A1035" s="14" t="n">
        <v>1034</v>
      </c>
      <c r="B1035" s="15" t="s">
        <v>639</v>
      </c>
      <c r="C1035" s="15" t="s">
        <v>640</v>
      </c>
      <c r="D1035" s="16" t="s">
        <v>884</v>
      </c>
      <c r="E1035" s="16" t="s">
        <v>887</v>
      </c>
      <c r="F1035" s="15" t="s">
        <v>888</v>
      </c>
      <c r="G1035" s="15" t="s">
        <v>660</v>
      </c>
      <c r="H1035" s="15" t="s">
        <v>203</v>
      </c>
      <c r="I1035" s="17" t="n">
        <v>124</v>
      </c>
      <c r="J1035" s="16" t="s">
        <v>886</v>
      </c>
      <c r="K1035" s="15" t="s">
        <v>646</v>
      </c>
      <c r="L1035" s="15" t="n">
        <f aca="false">IF(AND(OR(Search!$C$4="",Search!$C$4="All",B1035=Search!$C$4),OR(Search!$C$5="",Search!$C$5="All",C1035=Search!$C$5),OR(Search!$C$6="",Search!$C$6="All",D1035=Search!$C$6),OR(Search!$C$7="",ISNUMBER(SEARCH(Search!$C$7,D1035&amp;" "&amp;E1035&amp;" "&amp;F1035&amp;" "&amp;G1035&amp;" "&amp;H1035&amp;" "&amp;J1035))),OR(Search!$C$8="",ISNUMBER(SEARCH(Search!$C$8,G1035)))),1,0)</f>
        <v>1</v>
      </c>
      <c r="M1035" s="15" t="n">
        <f aca="false">M1034+L1035</f>
        <v>1034</v>
      </c>
    </row>
    <row r="1036" customFormat="false" ht="23.85" hidden="false" customHeight="false" outlineLevel="0" collapsed="false">
      <c r="A1036" s="14" t="n">
        <v>1035</v>
      </c>
      <c r="B1036" s="15" t="s">
        <v>639</v>
      </c>
      <c r="C1036" s="15" t="s">
        <v>640</v>
      </c>
      <c r="D1036" s="16" t="s">
        <v>889</v>
      </c>
      <c r="E1036" s="16" t="s">
        <v>890</v>
      </c>
      <c r="F1036" s="15" t="s">
        <v>192</v>
      </c>
      <c r="G1036" s="15" t="s">
        <v>660</v>
      </c>
      <c r="H1036" s="15" t="s">
        <v>203</v>
      </c>
      <c r="I1036" s="17" t="n">
        <v>80</v>
      </c>
      <c r="J1036" s="16" t="s">
        <v>655</v>
      </c>
      <c r="K1036" s="15" t="s">
        <v>646</v>
      </c>
      <c r="L1036" s="15" t="n">
        <f aca="false">IF(AND(OR(Search!$C$4="",Search!$C$4="All",B1036=Search!$C$4),OR(Search!$C$5="",Search!$C$5="All",C1036=Search!$C$5),OR(Search!$C$6="",Search!$C$6="All",D1036=Search!$C$6),OR(Search!$C$7="",ISNUMBER(SEARCH(Search!$C$7,D1036&amp;" "&amp;E1036&amp;" "&amp;F1036&amp;" "&amp;G1036&amp;" "&amp;H1036&amp;" "&amp;J1036))),OR(Search!$C$8="",ISNUMBER(SEARCH(Search!$C$8,G1036)))),1,0)</f>
        <v>1</v>
      </c>
      <c r="M1036" s="15" t="n">
        <f aca="false">M1035+L1036</f>
        <v>1035</v>
      </c>
    </row>
    <row r="1037" customFormat="false" ht="23.85" hidden="false" customHeight="false" outlineLevel="0" collapsed="false">
      <c r="A1037" s="14" t="n">
        <v>1036</v>
      </c>
      <c r="B1037" s="15" t="s">
        <v>639</v>
      </c>
      <c r="C1037" s="15" t="s">
        <v>640</v>
      </c>
      <c r="D1037" s="16" t="s">
        <v>889</v>
      </c>
      <c r="E1037" s="16" t="s">
        <v>891</v>
      </c>
      <c r="F1037" s="15" t="s">
        <v>192</v>
      </c>
      <c r="G1037" s="15" t="s">
        <v>660</v>
      </c>
      <c r="H1037" s="15" t="s">
        <v>203</v>
      </c>
      <c r="I1037" s="17" t="n">
        <v>95</v>
      </c>
      <c r="J1037" s="16" t="s">
        <v>655</v>
      </c>
      <c r="K1037" s="15" t="s">
        <v>646</v>
      </c>
      <c r="L1037" s="15" t="n">
        <f aca="false">IF(AND(OR(Search!$C$4="",Search!$C$4="All",B1037=Search!$C$4),OR(Search!$C$5="",Search!$C$5="All",C1037=Search!$C$5),OR(Search!$C$6="",Search!$C$6="All",D1037=Search!$C$6),OR(Search!$C$7="",ISNUMBER(SEARCH(Search!$C$7,D1037&amp;" "&amp;E1037&amp;" "&amp;F1037&amp;" "&amp;G1037&amp;" "&amp;H1037&amp;" "&amp;J1037))),OR(Search!$C$8="",ISNUMBER(SEARCH(Search!$C$8,G1037)))),1,0)</f>
        <v>1</v>
      </c>
      <c r="M1037" s="15" t="n">
        <f aca="false">M1036+L1037</f>
        <v>1036</v>
      </c>
    </row>
    <row r="1038" customFormat="false" ht="23.85" hidden="false" customHeight="false" outlineLevel="0" collapsed="false">
      <c r="A1038" s="14" t="n">
        <v>1037</v>
      </c>
      <c r="B1038" s="15" t="s">
        <v>639</v>
      </c>
      <c r="C1038" s="15" t="s">
        <v>640</v>
      </c>
      <c r="D1038" s="16" t="s">
        <v>889</v>
      </c>
      <c r="E1038" s="16" t="s">
        <v>890</v>
      </c>
      <c r="F1038" s="15" t="s">
        <v>892</v>
      </c>
      <c r="G1038" s="15" t="s">
        <v>660</v>
      </c>
      <c r="H1038" s="15" t="s">
        <v>203</v>
      </c>
      <c r="I1038" s="17" t="n">
        <v>130</v>
      </c>
      <c r="J1038" s="16" t="s">
        <v>655</v>
      </c>
      <c r="K1038" s="15" t="s">
        <v>646</v>
      </c>
      <c r="L1038" s="15" t="n">
        <f aca="false">IF(AND(OR(Search!$C$4="",Search!$C$4="All",B1038=Search!$C$4),OR(Search!$C$5="",Search!$C$5="All",C1038=Search!$C$5),OR(Search!$C$6="",Search!$C$6="All",D1038=Search!$C$6),OR(Search!$C$7="",ISNUMBER(SEARCH(Search!$C$7,D1038&amp;" "&amp;E1038&amp;" "&amp;F1038&amp;" "&amp;G1038&amp;" "&amp;H1038&amp;" "&amp;J1038))),OR(Search!$C$8="",ISNUMBER(SEARCH(Search!$C$8,G1038)))),1,0)</f>
        <v>1</v>
      </c>
      <c r="M1038" s="15" t="n">
        <f aca="false">M1037+L1038</f>
        <v>1037</v>
      </c>
    </row>
    <row r="1039" customFormat="false" ht="23.85" hidden="false" customHeight="false" outlineLevel="0" collapsed="false">
      <c r="A1039" s="14" t="n">
        <v>1038</v>
      </c>
      <c r="B1039" s="15" t="s">
        <v>639</v>
      </c>
      <c r="C1039" s="15" t="s">
        <v>640</v>
      </c>
      <c r="D1039" s="16" t="s">
        <v>889</v>
      </c>
      <c r="E1039" s="16" t="s">
        <v>891</v>
      </c>
      <c r="F1039" s="15" t="s">
        <v>892</v>
      </c>
      <c r="G1039" s="15" t="s">
        <v>660</v>
      </c>
      <c r="H1039" s="15" t="s">
        <v>203</v>
      </c>
      <c r="I1039" s="17" t="n">
        <v>180</v>
      </c>
      <c r="J1039" s="16" t="s">
        <v>655</v>
      </c>
      <c r="K1039" s="15" t="s">
        <v>646</v>
      </c>
      <c r="L1039" s="15" t="n">
        <f aca="false">IF(AND(OR(Search!$C$4="",Search!$C$4="All",B1039=Search!$C$4),OR(Search!$C$5="",Search!$C$5="All",C1039=Search!$C$5),OR(Search!$C$6="",Search!$C$6="All",D1039=Search!$C$6),OR(Search!$C$7="",ISNUMBER(SEARCH(Search!$C$7,D1039&amp;" "&amp;E1039&amp;" "&amp;F1039&amp;" "&amp;G1039&amp;" "&amp;H1039&amp;" "&amp;J1039))),OR(Search!$C$8="",ISNUMBER(SEARCH(Search!$C$8,G1039)))),1,0)</f>
        <v>1</v>
      </c>
      <c r="M1039" s="15" t="n">
        <f aca="false">M1038+L1039</f>
        <v>1038</v>
      </c>
    </row>
    <row r="1040" customFormat="false" ht="15" hidden="false" customHeight="false" outlineLevel="0" collapsed="false">
      <c r="A1040" s="14" t="n">
        <v>1039</v>
      </c>
      <c r="B1040" s="15" t="s">
        <v>639</v>
      </c>
      <c r="C1040" s="15" t="s">
        <v>640</v>
      </c>
      <c r="D1040" s="16" t="s">
        <v>893</v>
      </c>
      <c r="E1040" s="16" t="s">
        <v>458</v>
      </c>
      <c r="F1040" s="15" t="s">
        <v>187</v>
      </c>
      <c r="G1040" s="15" t="s">
        <v>173</v>
      </c>
      <c r="H1040" s="15" t="s">
        <v>203</v>
      </c>
      <c r="I1040" s="17" t="n">
        <v>18</v>
      </c>
      <c r="J1040" s="16" t="s">
        <v>655</v>
      </c>
      <c r="K1040" s="15" t="s">
        <v>646</v>
      </c>
      <c r="L1040" s="15" t="n">
        <f aca="false">IF(AND(OR(Search!$C$4="",Search!$C$4="All",B1040=Search!$C$4),OR(Search!$C$5="",Search!$C$5="All",C1040=Search!$C$5),OR(Search!$C$6="",Search!$C$6="All",D1040=Search!$C$6),OR(Search!$C$7="",ISNUMBER(SEARCH(Search!$C$7,D1040&amp;" "&amp;E1040&amp;" "&amp;F1040&amp;" "&amp;G1040&amp;" "&amp;H1040&amp;" "&amp;J1040))),OR(Search!$C$8="",ISNUMBER(SEARCH(Search!$C$8,G1040)))),1,0)</f>
        <v>1</v>
      </c>
      <c r="M1040" s="15" t="n">
        <f aca="false">M1039+L1040</f>
        <v>1039</v>
      </c>
    </row>
    <row r="1041" customFormat="false" ht="15" hidden="false" customHeight="false" outlineLevel="0" collapsed="false">
      <c r="A1041" s="14" t="n">
        <v>1040</v>
      </c>
      <c r="B1041" s="15" t="s">
        <v>639</v>
      </c>
      <c r="C1041" s="15" t="s">
        <v>640</v>
      </c>
      <c r="D1041" s="16" t="s">
        <v>893</v>
      </c>
      <c r="E1041" s="16" t="s">
        <v>458</v>
      </c>
      <c r="F1041" s="15" t="s">
        <v>187</v>
      </c>
      <c r="G1041" s="15" t="s">
        <v>406</v>
      </c>
      <c r="H1041" s="15" t="s">
        <v>203</v>
      </c>
      <c r="I1041" s="17" t="n">
        <v>21</v>
      </c>
      <c r="J1041" s="16" t="s">
        <v>655</v>
      </c>
      <c r="K1041" s="15" t="s">
        <v>646</v>
      </c>
      <c r="L1041" s="15" t="n">
        <f aca="false">IF(AND(OR(Search!$C$4="",Search!$C$4="All",B1041=Search!$C$4),OR(Search!$C$5="",Search!$C$5="All",C1041=Search!$C$5),OR(Search!$C$6="",Search!$C$6="All",D1041=Search!$C$6),OR(Search!$C$7="",ISNUMBER(SEARCH(Search!$C$7,D1041&amp;" "&amp;E1041&amp;" "&amp;F1041&amp;" "&amp;G1041&amp;" "&amp;H1041&amp;" "&amp;J1041))),OR(Search!$C$8="",ISNUMBER(SEARCH(Search!$C$8,G1041)))),1,0)</f>
        <v>1</v>
      </c>
      <c r="M1041" s="15" t="n">
        <f aca="false">M1040+L1041</f>
        <v>1040</v>
      </c>
    </row>
    <row r="1042" customFormat="false" ht="15" hidden="false" customHeight="false" outlineLevel="0" collapsed="false">
      <c r="A1042" s="14" t="n">
        <v>1041</v>
      </c>
      <c r="B1042" s="15" t="s">
        <v>639</v>
      </c>
      <c r="C1042" s="15" t="s">
        <v>640</v>
      </c>
      <c r="D1042" s="16" t="s">
        <v>893</v>
      </c>
      <c r="E1042" s="16" t="s">
        <v>458</v>
      </c>
      <c r="F1042" s="15" t="s">
        <v>701</v>
      </c>
      <c r="G1042" s="15" t="s">
        <v>173</v>
      </c>
      <c r="H1042" s="15" t="s">
        <v>203</v>
      </c>
      <c r="I1042" s="17" t="n">
        <v>27</v>
      </c>
      <c r="J1042" s="16" t="s">
        <v>655</v>
      </c>
      <c r="K1042" s="15" t="s">
        <v>646</v>
      </c>
      <c r="L1042" s="15" t="n">
        <f aca="false">IF(AND(OR(Search!$C$4="",Search!$C$4="All",B1042=Search!$C$4),OR(Search!$C$5="",Search!$C$5="All",C1042=Search!$C$5),OR(Search!$C$6="",Search!$C$6="All",D1042=Search!$C$6),OR(Search!$C$7="",ISNUMBER(SEARCH(Search!$C$7,D1042&amp;" "&amp;E1042&amp;" "&amp;F1042&amp;" "&amp;G1042&amp;" "&amp;H1042&amp;" "&amp;J1042))),OR(Search!$C$8="",ISNUMBER(SEARCH(Search!$C$8,G1042)))),1,0)</f>
        <v>1</v>
      </c>
      <c r="M1042" s="15" t="n">
        <f aca="false">M1041+L1042</f>
        <v>1041</v>
      </c>
    </row>
    <row r="1043" customFormat="false" ht="15" hidden="false" customHeight="false" outlineLevel="0" collapsed="false">
      <c r="A1043" s="14" t="n">
        <v>1042</v>
      </c>
      <c r="B1043" s="15" t="s">
        <v>639</v>
      </c>
      <c r="C1043" s="15" t="s">
        <v>640</v>
      </c>
      <c r="D1043" s="16" t="s">
        <v>893</v>
      </c>
      <c r="E1043" s="16" t="s">
        <v>458</v>
      </c>
      <c r="F1043" s="15" t="s">
        <v>716</v>
      </c>
      <c r="G1043" s="15" t="s">
        <v>406</v>
      </c>
      <c r="H1043" s="15" t="s">
        <v>203</v>
      </c>
      <c r="I1043" s="17" t="n">
        <v>54</v>
      </c>
      <c r="J1043" s="16" t="s">
        <v>655</v>
      </c>
      <c r="K1043" s="15" t="s">
        <v>646</v>
      </c>
      <c r="L1043" s="15" t="n">
        <f aca="false">IF(AND(OR(Search!$C$4="",Search!$C$4="All",B1043=Search!$C$4),OR(Search!$C$5="",Search!$C$5="All",C1043=Search!$C$5),OR(Search!$C$6="",Search!$C$6="All",D1043=Search!$C$6),OR(Search!$C$7="",ISNUMBER(SEARCH(Search!$C$7,D1043&amp;" "&amp;E1043&amp;" "&amp;F1043&amp;" "&amp;G1043&amp;" "&amp;H1043&amp;" "&amp;J1043))),OR(Search!$C$8="",ISNUMBER(SEARCH(Search!$C$8,G1043)))),1,0)</f>
        <v>1</v>
      </c>
      <c r="M1043" s="15" t="n">
        <f aca="false">M1042+L1043</f>
        <v>1042</v>
      </c>
    </row>
    <row r="1044" customFormat="false" ht="15" hidden="false" customHeight="false" outlineLevel="0" collapsed="false">
      <c r="A1044" s="14" t="n">
        <v>1043</v>
      </c>
      <c r="B1044" s="15" t="s">
        <v>639</v>
      </c>
      <c r="C1044" s="15" t="s">
        <v>640</v>
      </c>
      <c r="D1044" s="16" t="s">
        <v>894</v>
      </c>
      <c r="E1044" s="16" t="s">
        <v>895</v>
      </c>
      <c r="F1044" s="15" t="s">
        <v>896</v>
      </c>
      <c r="G1044" s="15" t="s">
        <v>897</v>
      </c>
      <c r="H1044" s="15" t="s">
        <v>203</v>
      </c>
      <c r="I1044" s="17" t="n">
        <v>20</v>
      </c>
      <c r="J1044" s="16" t="s">
        <v>655</v>
      </c>
      <c r="K1044" s="15" t="s">
        <v>646</v>
      </c>
      <c r="L1044" s="15" t="n">
        <f aca="false">IF(AND(OR(Search!$C$4="",Search!$C$4="All",B1044=Search!$C$4),OR(Search!$C$5="",Search!$C$5="All",C1044=Search!$C$5),OR(Search!$C$6="",Search!$C$6="All",D1044=Search!$C$6),OR(Search!$C$7="",ISNUMBER(SEARCH(Search!$C$7,D1044&amp;" "&amp;E1044&amp;" "&amp;F1044&amp;" "&amp;G1044&amp;" "&amp;H1044&amp;" "&amp;J1044))),OR(Search!$C$8="",ISNUMBER(SEARCH(Search!$C$8,G1044)))),1,0)</f>
        <v>1</v>
      </c>
      <c r="M1044" s="15" t="n">
        <f aca="false">M1043+L1044</f>
        <v>1043</v>
      </c>
    </row>
    <row r="1045" customFormat="false" ht="15" hidden="false" customHeight="false" outlineLevel="0" collapsed="false">
      <c r="A1045" s="14" t="n">
        <v>1044</v>
      </c>
      <c r="B1045" s="15" t="s">
        <v>639</v>
      </c>
      <c r="C1045" s="15" t="s">
        <v>640</v>
      </c>
      <c r="D1045" s="16" t="s">
        <v>894</v>
      </c>
      <c r="E1045" s="16" t="s">
        <v>895</v>
      </c>
      <c r="F1045" s="15" t="s">
        <v>898</v>
      </c>
      <c r="G1045" s="15" t="s">
        <v>897</v>
      </c>
      <c r="H1045" s="15" t="s">
        <v>203</v>
      </c>
      <c r="I1045" s="17" t="n">
        <v>26</v>
      </c>
      <c r="J1045" s="16" t="s">
        <v>655</v>
      </c>
      <c r="K1045" s="15" t="s">
        <v>646</v>
      </c>
      <c r="L1045" s="15" t="n">
        <f aca="false">IF(AND(OR(Search!$C$4="",Search!$C$4="All",B1045=Search!$C$4),OR(Search!$C$5="",Search!$C$5="All",C1045=Search!$C$5),OR(Search!$C$6="",Search!$C$6="All",D1045=Search!$C$6),OR(Search!$C$7="",ISNUMBER(SEARCH(Search!$C$7,D1045&amp;" "&amp;E1045&amp;" "&amp;F1045&amp;" "&amp;G1045&amp;" "&amp;H1045&amp;" "&amp;J1045))),OR(Search!$C$8="",ISNUMBER(SEARCH(Search!$C$8,G1045)))),1,0)</f>
        <v>1</v>
      </c>
      <c r="M1045" s="15" t="n">
        <f aca="false">M1044+L1045</f>
        <v>1044</v>
      </c>
    </row>
    <row r="1046" customFormat="false" ht="15" hidden="false" customHeight="false" outlineLevel="0" collapsed="false">
      <c r="A1046" s="14" t="n">
        <v>1045</v>
      </c>
      <c r="B1046" s="15" t="s">
        <v>639</v>
      </c>
      <c r="C1046" s="15" t="s">
        <v>640</v>
      </c>
      <c r="D1046" s="16" t="s">
        <v>894</v>
      </c>
      <c r="E1046" s="16" t="s">
        <v>895</v>
      </c>
      <c r="F1046" s="15" t="s">
        <v>650</v>
      </c>
      <c r="G1046" s="15" t="s">
        <v>897</v>
      </c>
      <c r="H1046" s="15" t="s">
        <v>203</v>
      </c>
      <c r="I1046" s="17" t="n">
        <v>43</v>
      </c>
      <c r="J1046" s="16" t="s">
        <v>655</v>
      </c>
      <c r="K1046" s="15" t="s">
        <v>646</v>
      </c>
      <c r="L1046" s="15" t="n">
        <f aca="false">IF(AND(OR(Search!$C$4="",Search!$C$4="All",B1046=Search!$C$4),OR(Search!$C$5="",Search!$C$5="All",C1046=Search!$C$5),OR(Search!$C$6="",Search!$C$6="All",D1046=Search!$C$6),OR(Search!$C$7="",ISNUMBER(SEARCH(Search!$C$7,D1046&amp;" "&amp;E1046&amp;" "&amp;F1046&amp;" "&amp;G1046&amp;" "&amp;H1046&amp;" "&amp;J1046))),OR(Search!$C$8="",ISNUMBER(SEARCH(Search!$C$8,G1046)))),1,0)</f>
        <v>1</v>
      </c>
      <c r="M1046" s="15" t="n">
        <f aca="false">M1045+L1046</f>
        <v>1045</v>
      </c>
    </row>
    <row r="1047" customFormat="false" ht="15" hidden="false" customHeight="false" outlineLevel="0" collapsed="false">
      <c r="A1047" s="14" t="n">
        <v>1046</v>
      </c>
      <c r="B1047" s="15" t="s">
        <v>639</v>
      </c>
      <c r="C1047" s="15" t="s">
        <v>640</v>
      </c>
      <c r="D1047" s="16" t="s">
        <v>894</v>
      </c>
      <c r="E1047" s="16" t="s">
        <v>895</v>
      </c>
      <c r="F1047" s="15" t="s">
        <v>899</v>
      </c>
      <c r="G1047" s="15" t="s">
        <v>897</v>
      </c>
      <c r="H1047" s="15" t="s">
        <v>203</v>
      </c>
      <c r="I1047" s="17" t="n">
        <v>54</v>
      </c>
      <c r="J1047" s="16" t="s">
        <v>655</v>
      </c>
      <c r="K1047" s="15" t="s">
        <v>646</v>
      </c>
      <c r="L1047" s="15" t="n">
        <f aca="false">IF(AND(OR(Search!$C$4="",Search!$C$4="All",B1047=Search!$C$4),OR(Search!$C$5="",Search!$C$5="All",C1047=Search!$C$5),OR(Search!$C$6="",Search!$C$6="All",D1047=Search!$C$6),OR(Search!$C$7="",ISNUMBER(SEARCH(Search!$C$7,D1047&amp;" "&amp;E1047&amp;" "&amp;F1047&amp;" "&amp;G1047&amp;" "&amp;H1047&amp;" "&amp;J1047))),OR(Search!$C$8="",ISNUMBER(SEARCH(Search!$C$8,G1047)))),1,0)</f>
        <v>1</v>
      </c>
      <c r="M1047" s="15" t="n">
        <f aca="false">M1046+L1047</f>
        <v>1046</v>
      </c>
    </row>
    <row r="1048" customFormat="false" ht="15" hidden="false" customHeight="false" outlineLevel="0" collapsed="false">
      <c r="A1048" s="14" t="n">
        <v>1047</v>
      </c>
      <c r="B1048" s="15" t="s">
        <v>639</v>
      </c>
      <c r="C1048" s="15" t="s">
        <v>640</v>
      </c>
      <c r="D1048" s="16" t="s">
        <v>900</v>
      </c>
      <c r="E1048" s="16" t="s">
        <v>901</v>
      </c>
      <c r="F1048" s="15" t="s">
        <v>648</v>
      </c>
      <c r="G1048" s="15" t="s">
        <v>654</v>
      </c>
      <c r="H1048" s="15" t="s">
        <v>203</v>
      </c>
      <c r="I1048" s="17" t="n">
        <v>67</v>
      </c>
      <c r="J1048" s="16" t="s">
        <v>655</v>
      </c>
      <c r="K1048" s="15" t="s">
        <v>646</v>
      </c>
      <c r="L1048" s="15" t="n">
        <f aca="false">IF(AND(OR(Search!$C$4="",Search!$C$4="All",B1048=Search!$C$4),OR(Search!$C$5="",Search!$C$5="All",C1048=Search!$C$5),OR(Search!$C$6="",Search!$C$6="All",D1048=Search!$C$6),OR(Search!$C$7="",ISNUMBER(SEARCH(Search!$C$7,D1048&amp;" "&amp;E1048&amp;" "&amp;F1048&amp;" "&amp;G1048&amp;" "&amp;H1048&amp;" "&amp;J1048))),OR(Search!$C$8="",ISNUMBER(SEARCH(Search!$C$8,G1048)))),1,0)</f>
        <v>1</v>
      </c>
      <c r="M1048" s="15" t="n">
        <f aca="false">M1047+L1048</f>
        <v>1047</v>
      </c>
    </row>
    <row r="1049" customFormat="false" ht="15" hidden="false" customHeight="false" outlineLevel="0" collapsed="false">
      <c r="A1049" s="14" t="n">
        <v>1048</v>
      </c>
      <c r="B1049" s="15" t="s">
        <v>639</v>
      </c>
      <c r="C1049" s="15" t="s">
        <v>640</v>
      </c>
      <c r="D1049" s="16" t="s">
        <v>900</v>
      </c>
      <c r="E1049" s="16" t="s">
        <v>901</v>
      </c>
      <c r="F1049" s="15" t="s">
        <v>651</v>
      </c>
      <c r="G1049" s="15" t="s">
        <v>654</v>
      </c>
      <c r="H1049" s="15" t="s">
        <v>203</v>
      </c>
      <c r="I1049" s="17" t="n">
        <v>153</v>
      </c>
      <c r="J1049" s="16" t="s">
        <v>655</v>
      </c>
      <c r="K1049" s="15" t="s">
        <v>646</v>
      </c>
      <c r="L1049" s="15" t="n">
        <f aca="false">IF(AND(OR(Search!$C$4="",Search!$C$4="All",B1049=Search!$C$4),OR(Search!$C$5="",Search!$C$5="All",C1049=Search!$C$5),OR(Search!$C$6="",Search!$C$6="All",D1049=Search!$C$6),OR(Search!$C$7="",ISNUMBER(SEARCH(Search!$C$7,D1049&amp;" "&amp;E1049&amp;" "&amp;F1049&amp;" "&amp;G1049&amp;" "&amp;H1049&amp;" "&amp;J1049))),OR(Search!$C$8="",ISNUMBER(SEARCH(Search!$C$8,G1049)))),1,0)</f>
        <v>1</v>
      </c>
      <c r="M1049" s="15" t="n">
        <f aca="false">M1048+L1049</f>
        <v>1048</v>
      </c>
    </row>
    <row r="1050" customFormat="false" ht="15" hidden="false" customHeight="false" outlineLevel="0" collapsed="false">
      <c r="A1050" s="14" t="n">
        <v>1049</v>
      </c>
      <c r="B1050" s="15" t="s">
        <v>639</v>
      </c>
      <c r="C1050" s="15" t="s">
        <v>640</v>
      </c>
      <c r="D1050" s="16" t="s">
        <v>900</v>
      </c>
      <c r="E1050" s="16" t="s">
        <v>902</v>
      </c>
      <c r="F1050" s="15" t="s">
        <v>903</v>
      </c>
      <c r="G1050" s="15" t="s">
        <v>654</v>
      </c>
      <c r="H1050" s="15" t="s">
        <v>203</v>
      </c>
      <c r="I1050" s="17" t="n">
        <v>189</v>
      </c>
      <c r="J1050" s="16" t="s">
        <v>655</v>
      </c>
      <c r="K1050" s="15" t="s">
        <v>646</v>
      </c>
      <c r="L1050" s="15" t="n">
        <f aca="false">IF(AND(OR(Search!$C$4="",Search!$C$4="All",B1050=Search!$C$4),OR(Search!$C$5="",Search!$C$5="All",C1050=Search!$C$5),OR(Search!$C$6="",Search!$C$6="All",D1050=Search!$C$6),OR(Search!$C$7="",ISNUMBER(SEARCH(Search!$C$7,D1050&amp;" "&amp;E1050&amp;" "&amp;F1050&amp;" "&amp;G1050&amp;" "&amp;H1050&amp;" "&amp;J1050))),OR(Search!$C$8="",ISNUMBER(SEARCH(Search!$C$8,G1050)))),1,0)</f>
        <v>1</v>
      </c>
      <c r="M1050" s="15" t="n">
        <f aca="false">M1049+L1050</f>
        <v>1049</v>
      </c>
    </row>
    <row r="1051" customFormat="false" ht="15" hidden="false" customHeight="false" outlineLevel="0" collapsed="false">
      <c r="A1051" s="14" t="n">
        <v>1050</v>
      </c>
      <c r="B1051" s="15" t="s">
        <v>639</v>
      </c>
      <c r="C1051" s="15" t="s">
        <v>640</v>
      </c>
      <c r="D1051" s="16" t="s">
        <v>900</v>
      </c>
      <c r="E1051" s="16" t="s">
        <v>458</v>
      </c>
      <c r="F1051" s="15" t="s">
        <v>904</v>
      </c>
      <c r="G1051" s="15" t="s">
        <v>654</v>
      </c>
      <c r="H1051" s="15" t="s">
        <v>203</v>
      </c>
      <c r="I1051" s="17" t="n">
        <v>330</v>
      </c>
      <c r="J1051" s="16" t="s">
        <v>655</v>
      </c>
      <c r="K1051" s="15" t="s">
        <v>646</v>
      </c>
      <c r="L1051" s="15" t="n">
        <f aca="false">IF(AND(OR(Search!$C$4="",Search!$C$4="All",B1051=Search!$C$4),OR(Search!$C$5="",Search!$C$5="All",C1051=Search!$C$5),OR(Search!$C$6="",Search!$C$6="All",D1051=Search!$C$6),OR(Search!$C$7="",ISNUMBER(SEARCH(Search!$C$7,D1051&amp;" "&amp;E1051&amp;" "&amp;F1051&amp;" "&amp;G1051&amp;" "&amp;H1051&amp;" "&amp;J1051))),OR(Search!$C$8="",ISNUMBER(SEARCH(Search!$C$8,G1051)))),1,0)</f>
        <v>1</v>
      </c>
      <c r="M1051" s="15" t="n">
        <f aca="false">M1050+L1051</f>
        <v>1050</v>
      </c>
    </row>
    <row r="1052" customFormat="false" ht="15" hidden="false" customHeight="false" outlineLevel="0" collapsed="false">
      <c r="A1052" s="14" t="n">
        <v>1051</v>
      </c>
      <c r="B1052" s="15" t="s">
        <v>639</v>
      </c>
      <c r="C1052" s="15" t="s">
        <v>640</v>
      </c>
      <c r="D1052" s="16" t="s">
        <v>905</v>
      </c>
      <c r="E1052" s="16" t="s">
        <v>906</v>
      </c>
      <c r="F1052" s="15" t="s">
        <v>288</v>
      </c>
      <c r="G1052" s="15" t="s">
        <v>551</v>
      </c>
      <c r="H1052" s="15" t="s">
        <v>203</v>
      </c>
      <c r="I1052" s="17" t="n">
        <v>12</v>
      </c>
      <c r="J1052" s="16" t="s">
        <v>655</v>
      </c>
      <c r="K1052" s="15" t="s">
        <v>646</v>
      </c>
      <c r="L1052" s="15" t="n">
        <f aca="false">IF(AND(OR(Search!$C$4="",Search!$C$4="All",B1052=Search!$C$4),OR(Search!$C$5="",Search!$C$5="All",C1052=Search!$C$5),OR(Search!$C$6="",Search!$C$6="All",D1052=Search!$C$6),OR(Search!$C$7="",ISNUMBER(SEARCH(Search!$C$7,D1052&amp;" "&amp;E1052&amp;" "&amp;F1052&amp;" "&amp;G1052&amp;" "&amp;H1052&amp;" "&amp;J1052))),OR(Search!$C$8="",ISNUMBER(SEARCH(Search!$C$8,G1052)))),1,0)</f>
        <v>1</v>
      </c>
      <c r="M1052" s="15" t="n">
        <f aca="false">M1051+L1052</f>
        <v>1051</v>
      </c>
    </row>
    <row r="1053" customFormat="false" ht="15" hidden="false" customHeight="false" outlineLevel="0" collapsed="false">
      <c r="A1053" s="14" t="n">
        <v>1052</v>
      </c>
      <c r="B1053" s="15" t="s">
        <v>639</v>
      </c>
      <c r="C1053" s="15" t="s">
        <v>640</v>
      </c>
      <c r="D1053" s="16" t="s">
        <v>905</v>
      </c>
      <c r="E1053" s="16" t="s">
        <v>906</v>
      </c>
      <c r="F1053" s="15" t="s">
        <v>649</v>
      </c>
      <c r="G1053" s="15" t="s">
        <v>907</v>
      </c>
      <c r="H1053" s="15" t="s">
        <v>203</v>
      </c>
      <c r="I1053" s="17" t="n">
        <v>13</v>
      </c>
      <c r="J1053" s="16" t="s">
        <v>655</v>
      </c>
      <c r="K1053" s="15" t="s">
        <v>646</v>
      </c>
      <c r="L1053" s="15" t="n">
        <f aca="false">IF(AND(OR(Search!$C$4="",Search!$C$4="All",B1053=Search!$C$4),OR(Search!$C$5="",Search!$C$5="All",C1053=Search!$C$5),OR(Search!$C$6="",Search!$C$6="All",D1053=Search!$C$6),OR(Search!$C$7="",ISNUMBER(SEARCH(Search!$C$7,D1053&amp;" "&amp;E1053&amp;" "&amp;F1053&amp;" "&amp;G1053&amp;" "&amp;H1053&amp;" "&amp;J1053))),OR(Search!$C$8="",ISNUMBER(SEARCH(Search!$C$8,G1053)))),1,0)</f>
        <v>1</v>
      </c>
      <c r="M1053" s="15" t="n">
        <f aca="false">M1052+L1053</f>
        <v>1052</v>
      </c>
    </row>
    <row r="1054" customFormat="false" ht="15" hidden="false" customHeight="false" outlineLevel="0" collapsed="false">
      <c r="A1054" s="14" t="n">
        <v>1053</v>
      </c>
      <c r="B1054" s="15" t="s">
        <v>639</v>
      </c>
      <c r="C1054" s="15" t="s">
        <v>640</v>
      </c>
      <c r="D1054" s="16" t="s">
        <v>908</v>
      </c>
      <c r="E1054" s="16" t="s">
        <v>909</v>
      </c>
      <c r="F1054" s="15" t="s">
        <v>759</v>
      </c>
      <c r="G1054" s="15" t="s">
        <v>173</v>
      </c>
      <c r="H1054" s="15" t="s">
        <v>203</v>
      </c>
      <c r="I1054" s="17" t="n">
        <v>8.5</v>
      </c>
      <c r="J1054" s="16" t="s">
        <v>655</v>
      </c>
      <c r="K1054" s="15" t="s">
        <v>646</v>
      </c>
      <c r="L1054" s="15" t="n">
        <f aca="false">IF(AND(OR(Search!$C$4="",Search!$C$4="All",B1054=Search!$C$4),OR(Search!$C$5="",Search!$C$5="All",C1054=Search!$C$5),OR(Search!$C$6="",Search!$C$6="All",D1054=Search!$C$6),OR(Search!$C$7="",ISNUMBER(SEARCH(Search!$C$7,D1054&amp;" "&amp;E1054&amp;" "&amp;F1054&amp;" "&amp;G1054&amp;" "&amp;H1054&amp;" "&amp;J1054))),OR(Search!$C$8="",ISNUMBER(SEARCH(Search!$C$8,G1054)))),1,0)</f>
        <v>1</v>
      </c>
      <c r="M1054" s="15" t="n">
        <f aca="false">M1053+L1054</f>
        <v>1053</v>
      </c>
    </row>
    <row r="1055" customFormat="false" ht="15" hidden="false" customHeight="false" outlineLevel="0" collapsed="false">
      <c r="A1055" s="14" t="n">
        <v>1054</v>
      </c>
      <c r="B1055" s="15" t="s">
        <v>639</v>
      </c>
      <c r="C1055" s="15" t="s">
        <v>640</v>
      </c>
      <c r="D1055" s="16" t="s">
        <v>908</v>
      </c>
      <c r="E1055" s="16" t="s">
        <v>910</v>
      </c>
      <c r="F1055" s="15" t="s">
        <v>759</v>
      </c>
      <c r="G1055" s="15" t="s">
        <v>173</v>
      </c>
      <c r="H1055" s="15" t="s">
        <v>203</v>
      </c>
      <c r="I1055" s="17" t="n">
        <v>9.25</v>
      </c>
      <c r="J1055" s="16" t="s">
        <v>655</v>
      </c>
      <c r="K1055" s="15" t="s">
        <v>646</v>
      </c>
      <c r="L1055" s="15" t="n">
        <f aca="false">IF(AND(OR(Search!$C$4="",Search!$C$4="All",B1055=Search!$C$4),OR(Search!$C$5="",Search!$C$5="All",C1055=Search!$C$5),OR(Search!$C$6="",Search!$C$6="All",D1055=Search!$C$6),OR(Search!$C$7="",ISNUMBER(SEARCH(Search!$C$7,D1055&amp;" "&amp;E1055&amp;" "&amp;F1055&amp;" "&amp;G1055&amp;" "&amp;H1055&amp;" "&amp;J1055))),OR(Search!$C$8="",ISNUMBER(SEARCH(Search!$C$8,G1055)))),1,0)</f>
        <v>1</v>
      </c>
      <c r="M1055" s="15" t="n">
        <f aca="false">M1054+L1055</f>
        <v>1054</v>
      </c>
    </row>
    <row r="1056" customFormat="false" ht="15" hidden="false" customHeight="false" outlineLevel="0" collapsed="false">
      <c r="A1056" s="14" t="n">
        <v>1055</v>
      </c>
      <c r="B1056" s="15" t="s">
        <v>639</v>
      </c>
      <c r="C1056" s="15" t="s">
        <v>640</v>
      </c>
      <c r="D1056" s="16" t="s">
        <v>908</v>
      </c>
      <c r="E1056" s="16" t="s">
        <v>911</v>
      </c>
      <c r="F1056" s="15" t="s">
        <v>187</v>
      </c>
      <c r="G1056" s="15" t="s">
        <v>173</v>
      </c>
      <c r="H1056" s="15" t="s">
        <v>203</v>
      </c>
      <c r="I1056" s="17" t="n">
        <v>10</v>
      </c>
      <c r="J1056" s="16" t="s">
        <v>655</v>
      </c>
      <c r="K1056" s="15" t="s">
        <v>646</v>
      </c>
      <c r="L1056" s="15" t="n">
        <f aca="false">IF(AND(OR(Search!$C$4="",Search!$C$4="All",B1056=Search!$C$4),OR(Search!$C$5="",Search!$C$5="All",C1056=Search!$C$5),OR(Search!$C$6="",Search!$C$6="All",D1056=Search!$C$6),OR(Search!$C$7="",ISNUMBER(SEARCH(Search!$C$7,D1056&amp;" "&amp;E1056&amp;" "&amp;F1056&amp;" "&amp;G1056&amp;" "&amp;H1056&amp;" "&amp;J1056))),OR(Search!$C$8="",ISNUMBER(SEARCH(Search!$C$8,G1056)))),1,0)</f>
        <v>1</v>
      </c>
      <c r="M1056" s="15" t="n">
        <f aca="false">M1055+L1056</f>
        <v>1055</v>
      </c>
    </row>
    <row r="1057" customFormat="false" ht="15" hidden="false" customHeight="false" outlineLevel="0" collapsed="false">
      <c r="A1057" s="14" t="n">
        <v>1056</v>
      </c>
      <c r="B1057" s="15" t="s">
        <v>639</v>
      </c>
      <c r="C1057" s="15" t="s">
        <v>640</v>
      </c>
      <c r="D1057" s="16" t="s">
        <v>908</v>
      </c>
      <c r="E1057" s="16" t="s">
        <v>912</v>
      </c>
      <c r="F1057" s="15" t="s">
        <v>187</v>
      </c>
      <c r="G1057" s="15" t="s">
        <v>406</v>
      </c>
      <c r="H1057" s="15" t="s">
        <v>203</v>
      </c>
      <c r="I1057" s="17" t="n">
        <v>14.5</v>
      </c>
      <c r="J1057" s="16" t="s">
        <v>655</v>
      </c>
      <c r="K1057" s="15" t="s">
        <v>646</v>
      </c>
      <c r="L1057" s="15" t="n">
        <f aca="false">IF(AND(OR(Search!$C$4="",Search!$C$4="All",B1057=Search!$C$4),OR(Search!$C$5="",Search!$C$5="All",C1057=Search!$C$5),OR(Search!$C$6="",Search!$C$6="All",D1057=Search!$C$6),OR(Search!$C$7="",ISNUMBER(SEARCH(Search!$C$7,D1057&amp;" "&amp;E1057&amp;" "&amp;F1057&amp;" "&amp;G1057&amp;" "&amp;H1057&amp;" "&amp;J1057))),OR(Search!$C$8="",ISNUMBER(SEARCH(Search!$C$8,G1057)))),1,0)</f>
        <v>1</v>
      </c>
      <c r="M1057" s="15" t="n">
        <f aca="false">M1056+L1057</f>
        <v>1056</v>
      </c>
    </row>
    <row r="1058" customFormat="false" ht="15" hidden="false" customHeight="false" outlineLevel="0" collapsed="false">
      <c r="A1058" s="14" t="n">
        <v>1057</v>
      </c>
      <c r="B1058" s="15" t="s">
        <v>639</v>
      </c>
      <c r="C1058" s="15" t="s">
        <v>913</v>
      </c>
      <c r="D1058" s="16" t="s">
        <v>914</v>
      </c>
      <c r="E1058" s="16" t="s">
        <v>915</v>
      </c>
      <c r="F1058" s="15" t="s">
        <v>192</v>
      </c>
      <c r="G1058" s="15" t="s">
        <v>699</v>
      </c>
      <c r="H1058" s="15" t="s">
        <v>203</v>
      </c>
      <c r="I1058" s="17" t="n">
        <v>35.25</v>
      </c>
      <c r="J1058" s="16" t="s">
        <v>886</v>
      </c>
      <c r="K1058" s="15" t="s">
        <v>646</v>
      </c>
      <c r="L1058" s="15" t="n">
        <f aca="false">IF(AND(OR(Search!$C$4="",Search!$C$4="All",B1058=Search!$C$4),OR(Search!$C$5="",Search!$C$5="All",C1058=Search!$C$5),OR(Search!$C$6="",Search!$C$6="All",D1058=Search!$C$6),OR(Search!$C$7="",ISNUMBER(SEARCH(Search!$C$7,D1058&amp;" "&amp;E1058&amp;" "&amp;F1058&amp;" "&amp;G1058&amp;" "&amp;H1058&amp;" "&amp;J1058))),OR(Search!$C$8="",ISNUMBER(SEARCH(Search!$C$8,G1058)))),1,0)</f>
        <v>1</v>
      </c>
      <c r="M1058" s="15" t="n">
        <f aca="false">M1057+L1058</f>
        <v>1057</v>
      </c>
    </row>
    <row r="1059" customFormat="false" ht="23.85" hidden="false" customHeight="false" outlineLevel="0" collapsed="false">
      <c r="A1059" s="14" t="n">
        <v>1058</v>
      </c>
      <c r="B1059" s="15" t="s">
        <v>639</v>
      </c>
      <c r="C1059" s="15" t="s">
        <v>913</v>
      </c>
      <c r="D1059" s="16" t="s">
        <v>914</v>
      </c>
      <c r="E1059" s="16" t="s">
        <v>916</v>
      </c>
      <c r="F1059" s="15" t="s">
        <v>192</v>
      </c>
      <c r="G1059" s="15" t="s">
        <v>917</v>
      </c>
      <c r="H1059" s="15" t="s">
        <v>203</v>
      </c>
      <c r="I1059" s="17" t="n">
        <v>60.5</v>
      </c>
      <c r="J1059" s="16" t="s">
        <v>886</v>
      </c>
      <c r="K1059" s="15" t="s">
        <v>646</v>
      </c>
      <c r="L1059" s="15" t="n">
        <f aca="false">IF(AND(OR(Search!$C$4="",Search!$C$4="All",B1059=Search!$C$4),OR(Search!$C$5="",Search!$C$5="All",C1059=Search!$C$5),OR(Search!$C$6="",Search!$C$6="All",D1059=Search!$C$6),OR(Search!$C$7="",ISNUMBER(SEARCH(Search!$C$7,D1059&amp;" "&amp;E1059&amp;" "&amp;F1059&amp;" "&amp;G1059&amp;" "&amp;H1059&amp;" "&amp;J1059))),OR(Search!$C$8="",ISNUMBER(SEARCH(Search!$C$8,G1059)))),1,0)</f>
        <v>1</v>
      </c>
      <c r="M1059" s="15" t="n">
        <f aca="false">M1058+L1059</f>
        <v>1058</v>
      </c>
    </row>
    <row r="1060" customFormat="false" ht="23.85" hidden="false" customHeight="false" outlineLevel="0" collapsed="false">
      <c r="A1060" s="14" t="n">
        <v>1059</v>
      </c>
      <c r="B1060" s="15" t="s">
        <v>639</v>
      </c>
      <c r="C1060" s="15" t="s">
        <v>913</v>
      </c>
      <c r="D1060" s="16" t="s">
        <v>914</v>
      </c>
      <c r="E1060" s="16" t="s">
        <v>918</v>
      </c>
      <c r="F1060" s="15" t="s">
        <v>192</v>
      </c>
      <c r="G1060" s="15" t="s">
        <v>919</v>
      </c>
      <c r="H1060" s="15" t="s">
        <v>82</v>
      </c>
      <c r="I1060" s="17" t="n">
        <v>7260</v>
      </c>
      <c r="J1060" s="16" t="s">
        <v>886</v>
      </c>
      <c r="K1060" s="15" t="s">
        <v>646</v>
      </c>
      <c r="L1060" s="15" t="n">
        <f aca="false">IF(AND(OR(Search!$C$4="",Search!$C$4="All",B1060=Search!$C$4),OR(Search!$C$5="",Search!$C$5="All",C1060=Search!$C$5),OR(Search!$C$6="",Search!$C$6="All",D1060=Search!$C$6),OR(Search!$C$7="",ISNUMBER(SEARCH(Search!$C$7,D1060&amp;" "&amp;E1060&amp;" "&amp;F1060&amp;" "&amp;G1060&amp;" "&amp;H1060&amp;" "&amp;J1060))),OR(Search!$C$8="",ISNUMBER(SEARCH(Search!$C$8,G1060)))),1,0)</f>
        <v>1</v>
      </c>
      <c r="M1060" s="15" t="n">
        <f aca="false">M1059+L1060</f>
        <v>1059</v>
      </c>
    </row>
    <row r="1061" customFormat="false" ht="35.05" hidden="false" customHeight="false" outlineLevel="0" collapsed="false">
      <c r="A1061" s="14" t="n">
        <v>1060</v>
      </c>
      <c r="B1061" s="15" t="s">
        <v>639</v>
      </c>
      <c r="C1061" s="15" t="s">
        <v>913</v>
      </c>
      <c r="D1061" s="16" t="s">
        <v>920</v>
      </c>
      <c r="E1061" s="16" t="s">
        <v>921</v>
      </c>
      <c r="F1061" s="15" t="s">
        <v>650</v>
      </c>
      <c r="G1061" s="15" t="s">
        <v>922</v>
      </c>
      <c r="H1061" s="15" t="s">
        <v>82</v>
      </c>
      <c r="I1061" s="17" t="n">
        <v>5600</v>
      </c>
      <c r="J1061" s="16" t="s">
        <v>655</v>
      </c>
      <c r="K1061" s="15" t="s">
        <v>646</v>
      </c>
      <c r="L1061" s="15" t="n">
        <f aca="false">IF(AND(OR(Search!$C$4="",Search!$C$4="All",B1061=Search!$C$4),OR(Search!$C$5="",Search!$C$5="All",C1061=Search!$C$5),OR(Search!$C$6="",Search!$C$6="All",D1061=Search!$C$6),OR(Search!$C$7="",ISNUMBER(SEARCH(Search!$C$7,D1061&amp;" "&amp;E1061&amp;" "&amp;F1061&amp;" "&amp;G1061&amp;" "&amp;H1061&amp;" "&amp;J1061))),OR(Search!$C$8="",ISNUMBER(SEARCH(Search!$C$8,G1061)))),1,0)</f>
        <v>1</v>
      </c>
      <c r="M1061" s="15" t="n">
        <f aca="false">M1060+L1061</f>
        <v>1060</v>
      </c>
    </row>
    <row r="1062" customFormat="false" ht="35.05" hidden="false" customHeight="false" outlineLevel="0" collapsed="false">
      <c r="A1062" s="14" t="n">
        <v>1061</v>
      </c>
      <c r="B1062" s="15" t="s">
        <v>639</v>
      </c>
      <c r="C1062" s="15" t="s">
        <v>913</v>
      </c>
      <c r="D1062" s="16" t="s">
        <v>920</v>
      </c>
      <c r="E1062" s="16" t="s">
        <v>921</v>
      </c>
      <c r="F1062" s="15" t="s">
        <v>650</v>
      </c>
      <c r="G1062" s="15" t="s">
        <v>923</v>
      </c>
      <c r="H1062" s="15" t="s">
        <v>82</v>
      </c>
      <c r="I1062" s="17" t="n">
        <v>2800</v>
      </c>
      <c r="J1062" s="16" t="s">
        <v>655</v>
      </c>
      <c r="K1062" s="15" t="s">
        <v>646</v>
      </c>
      <c r="L1062" s="15" t="n">
        <f aca="false">IF(AND(OR(Search!$C$4="",Search!$C$4="All",B1062=Search!$C$4),OR(Search!$C$5="",Search!$C$5="All",C1062=Search!$C$5),OR(Search!$C$6="",Search!$C$6="All",D1062=Search!$C$6),OR(Search!$C$7="",ISNUMBER(SEARCH(Search!$C$7,D1062&amp;" "&amp;E1062&amp;" "&amp;F1062&amp;" "&amp;G1062&amp;" "&amp;H1062&amp;" "&amp;J1062))),OR(Search!$C$8="",ISNUMBER(SEARCH(Search!$C$8,G1062)))),1,0)</f>
        <v>1</v>
      </c>
      <c r="M1062" s="15" t="n">
        <f aca="false">M1061+L1062</f>
        <v>1061</v>
      </c>
    </row>
    <row r="1063" customFormat="false" ht="35.05" hidden="false" customHeight="false" outlineLevel="0" collapsed="false">
      <c r="A1063" s="14" t="n">
        <v>1062</v>
      </c>
      <c r="B1063" s="15" t="s">
        <v>639</v>
      </c>
      <c r="C1063" s="15" t="s">
        <v>913</v>
      </c>
      <c r="D1063" s="16" t="s">
        <v>920</v>
      </c>
      <c r="E1063" s="16" t="s">
        <v>921</v>
      </c>
      <c r="F1063" s="15" t="s">
        <v>650</v>
      </c>
      <c r="G1063" s="15" t="s">
        <v>924</v>
      </c>
      <c r="H1063" s="15" t="s">
        <v>925</v>
      </c>
      <c r="I1063" s="17" t="n">
        <v>118</v>
      </c>
      <c r="J1063" s="16" t="s">
        <v>655</v>
      </c>
      <c r="K1063" s="15" t="s">
        <v>646</v>
      </c>
      <c r="L1063" s="15" t="n">
        <f aca="false">IF(AND(OR(Search!$C$4="",Search!$C$4="All",B1063=Search!$C$4),OR(Search!$C$5="",Search!$C$5="All",C1063=Search!$C$5),OR(Search!$C$6="",Search!$C$6="All",D1063=Search!$C$6),OR(Search!$C$7="",ISNUMBER(SEARCH(Search!$C$7,D1063&amp;" "&amp;E1063&amp;" "&amp;F1063&amp;" "&amp;G1063&amp;" "&amp;H1063&amp;" "&amp;J1063))),OR(Search!$C$8="",ISNUMBER(SEARCH(Search!$C$8,G1063)))),1,0)</f>
        <v>1</v>
      </c>
      <c r="M1063" s="15" t="n">
        <f aca="false">M1062+L1063</f>
        <v>1062</v>
      </c>
    </row>
    <row r="1064" customFormat="false" ht="23.85" hidden="false" customHeight="false" outlineLevel="0" collapsed="false">
      <c r="A1064" s="14" t="n">
        <v>1063</v>
      </c>
      <c r="B1064" s="15" t="s">
        <v>639</v>
      </c>
      <c r="C1064" s="15" t="s">
        <v>913</v>
      </c>
      <c r="D1064" s="16" t="s">
        <v>926</v>
      </c>
      <c r="E1064" s="16" t="s">
        <v>927</v>
      </c>
      <c r="F1064" s="15" t="s">
        <v>760</v>
      </c>
      <c r="G1064" s="15" t="s">
        <v>924</v>
      </c>
      <c r="H1064" s="15" t="s">
        <v>925</v>
      </c>
      <c r="I1064" s="17" t="n">
        <v>75</v>
      </c>
      <c r="J1064" s="16" t="s">
        <v>655</v>
      </c>
      <c r="K1064" s="15" t="s">
        <v>646</v>
      </c>
      <c r="L1064" s="15" t="n">
        <f aca="false">IF(AND(OR(Search!$C$4="",Search!$C$4="All",B1064=Search!$C$4),OR(Search!$C$5="",Search!$C$5="All",C1064=Search!$C$5),OR(Search!$C$6="",Search!$C$6="All",D1064=Search!$C$6),OR(Search!$C$7="",ISNUMBER(SEARCH(Search!$C$7,D1064&amp;" "&amp;E1064&amp;" "&amp;F1064&amp;" "&amp;G1064&amp;" "&amp;H1064&amp;" "&amp;J1064))),OR(Search!$C$8="",ISNUMBER(SEARCH(Search!$C$8,G1064)))),1,0)</f>
        <v>1</v>
      </c>
      <c r="M1064" s="15" t="n">
        <f aca="false">M1063+L1064</f>
        <v>1063</v>
      </c>
    </row>
    <row r="1065" customFormat="false" ht="15" hidden="false" customHeight="false" outlineLevel="0" collapsed="false">
      <c r="A1065" s="14" t="n">
        <v>1064</v>
      </c>
      <c r="B1065" s="15" t="s">
        <v>639</v>
      </c>
      <c r="C1065" s="15" t="s">
        <v>913</v>
      </c>
      <c r="D1065" s="16" t="s">
        <v>926</v>
      </c>
      <c r="E1065" s="16" t="s">
        <v>476</v>
      </c>
      <c r="F1065" s="15" t="s">
        <v>760</v>
      </c>
      <c r="G1065" s="15" t="s">
        <v>919</v>
      </c>
      <c r="H1065" s="15" t="s">
        <v>82</v>
      </c>
      <c r="I1065" s="17" t="n">
        <v>7250</v>
      </c>
      <c r="J1065" s="16" t="s">
        <v>655</v>
      </c>
      <c r="K1065" s="15" t="s">
        <v>646</v>
      </c>
      <c r="L1065" s="15" t="n">
        <f aca="false">IF(AND(OR(Search!$C$4="",Search!$C$4="All",B1065=Search!$C$4),OR(Search!$C$5="",Search!$C$5="All",C1065=Search!$C$5),OR(Search!$C$6="",Search!$C$6="All",D1065=Search!$C$6),OR(Search!$C$7="",ISNUMBER(SEARCH(Search!$C$7,D1065&amp;" "&amp;E1065&amp;" "&amp;F1065&amp;" "&amp;G1065&amp;" "&amp;H1065&amp;" "&amp;J1065))),OR(Search!$C$8="",ISNUMBER(SEARCH(Search!$C$8,G1065)))),1,0)</f>
        <v>1</v>
      </c>
      <c r="M1065" s="15" t="n">
        <f aca="false">M1064+L1065</f>
        <v>1064</v>
      </c>
    </row>
    <row r="1066" customFormat="false" ht="15" hidden="false" customHeight="false" outlineLevel="0" collapsed="false">
      <c r="A1066" s="14" t="n">
        <v>1065</v>
      </c>
      <c r="B1066" s="15" t="s">
        <v>639</v>
      </c>
      <c r="C1066" s="15" t="s">
        <v>928</v>
      </c>
      <c r="D1066" s="16" t="s">
        <v>929</v>
      </c>
      <c r="E1066" s="16" t="s">
        <v>930</v>
      </c>
      <c r="F1066" s="15" t="s">
        <v>931</v>
      </c>
      <c r="G1066" s="15" t="s">
        <v>932</v>
      </c>
      <c r="H1066" s="15" t="s">
        <v>203</v>
      </c>
      <c r="I1066" s="17" t="n">
        <v>40</v>
      </c>
      <c r="J1066" s="16" t="s">
        <v>655</v>
      </c>
      <c r="K1066" s="15" t="s">
        <v>646</v>
      </c>
      <c r="L1066" s="15" t="n">
        <f aca="false">IF(AND(OR(Search!$C$4="",Search!$C$4="All",B1066=Search!$C$4),OR(Search!$C$5="",Search!$C$5="All",C1066=Search!$C$5),OR(Search!$C$6="",Search!$C$6="All",D1066=Search!$C$6),OR(Search!$C$7="",ISNUMBER(SEARCH(Search!$C$7,D1066&amp;" "&amp;E1066&amp;" "&amp;F1066&amp;" "&amp;G1066&amp;" "&amp;H1066&amp;" "&amp;J1066))),OR(Search!$C$8="",ISNUMBER(SEARCH(Search!$C$8,G1066)))),1,0)</f>
        <v>1</v>
      </c>
      <c r="M1066" s="15" t="n">
        <f aca="false">M1065+L1066</f>
        <v>1065</v>
      </c>
    </row>
    <row r="1067" customFormat="false" ht="15" hidden="false" customHeight="false" outlineLevel="0" collapsed="false">
      <c r="A1067" s="14" t="n">
        <v>1066</v>
      </c>
      <c r="B1067" s="15" t="s">
        <v>639</v>
      </c>
      <c r="C1067" s="15" t="s">
        <v>928</v>
      </c>
      <c r="D1067" s="16" t="s">
        <v>933</v>
      </c>
      <c r="E1067" s="16" t="s">
        <v>930</v>
      </c>
      <c r="F1067" s="15" t="s">
        <v>750</v>
      </c>
      <c r="G1067" s="15" t="s">
        <v>932</v>
      </c>
      <c r="H1067" s="15" t="s">
        <v>203</v>
      </c>
      <c r="I1067" s="17" t="n">
        <v>41</v>
      </c>
      <c r="J1067" s="16" t="s">
        <v>655</v>
      </c>
      <c r="K1067" s="15" t="s">
        <v>646</v>
      </c>
      <c r="L1067" s="15" t="n">
        <f aca="false">IF(AND(OR(Search!$C$4="",Search!$C$4="All",B1067=Search!$C$4),OR(Search!$C$5="",Search!$C$5="All",C1067=Search!$C$5),OR(Search!$C$6="",Search!$C$6="All",D1067=Search!$C$6),OR(Search!$C$7="",ISNUMBER(SEARCH(Search!$C$7,D1067&amp;" "&amp;E1067&amp;" "&amp;F1067&amp;" "&amp;G1067&amp;" "&amp;H1067&amp;" "&amp;J1067))),OR(Search!$C$8="",ISNUMBER(SEARCH(Search!$C$8,G1067)))),1,0)</f>
        <v>1</v>
      </c>
      <c r="M1067" s="15" t="n">
        <f aca="false">M1066+L1067</f>
        <v>1066</v>
      </c>
    </row>
    <row r="1068" customFormat="false" ht="35.05" hidden="false" customHeight="false" outlineLevel="0" collapsed="false">
      <c r="A1068" s="14" t="n">
        <v>1067</v>
      </c>
      <c r="B1068" s="15" t="s">
        <v>639</v>
      </c>
      <c r="C1068" s="15" t="s">
        <v>928</v>
      </c>
      <c r="D1068" s="16" t="s">
        <v>934</v>
      </c>
      <c r="E1068" s="16" t="s">
        <v>935</v>
      </c>
      <c r="F1068" s="15" t="s">
        <v>782</v>
      </c>
      <c r="G1068" s="15" t="s">
        <v>936</v>
      </c>
      <c r="H1068" s="15" t="s">
        <v>203</v>
      </c>
      <c r="I1068" s="17" t="n">
        <v>40</v>
      </c>
      <c r="J1068" s="16" t="s">
        <v>655</v>
      </c>
      <c r="K1068" s="15" t="s">
        <v>646</v>
      </c>
      <c r="L1068" s="15" t="n">
        <f aca="false">IF(AND(OR(Search!$C$4="",Search!$C$4="All",B1068=Search!$C$4),OR(Search!$C$5="",Search!$C$5="All",C1068=Search!$C$5),OR(Search!$C$6="",Search!$C$6="All",D1068=Search!$C$6),OR(Search!$C$7="",ISNUMBER(SEARCH(Search!$C$7,D1068&amp;" "&amp;E1068&amp;" "&amp;F1068&amp;" "&amp;G1068&amp;" "&amp;H1068&amp;" "&amp;J1068))),OR(Search!$C$8="",ISNUMBER(SEARCH(Search!$C$8,G1068)))),1,0)</f>
        <v>1</v>
      </c>
      <c r="M1068" s="15" t="n">
        <f aca="false">M1067+L1068</f>
        <v>1067</v>
      </c>
    </row>
    <row r="1069" customFormat="false" ht="15" hidden="false" customHeight="false" outlineLevel="0" collapsed="false">
      <c r="A1069" s="14" t="n">
        <v>1068</v>
      </c>
      <c r="B1069" s="15" t="s">
        <v>639</v>
      </c>
      <c r="C1069" s="15" t="s">
        <v>928</v>
      </c>
      <c r="D1069" s="16" t="s">
        <v>937</v>
      </c>
      <c r="E1069" s="16" t="s">
        <v>938</v>
      </c>
      <c r="F1069" s="15" t="s">
        <v>931</v>
      </c>
      <c r="G1069" s="15" t="s">
        <v>932</v>
      </c>
      <c r="H1069" s="15" t="s">
        <v>203</v>
      </c>
      <c r="I1069" s="17" t="n">
        <v>42</v>
      </c>
      <c r="J1069" s="16" t="s">
        <v>655</v>
      </c>
      <c r="K1069" s="15" t="s">
        <v>646</v>
      </c>
      <c r="L1069" s="15" t="n">
        <f aca="false">IF(AND(OR(Search!$C$4="",Search!$C$4="All",B1069=Search!$C$4),OR(Search!$C$5="",Search!$C$5="All",C1069=Search!$C$5),OR(Search!$C$6="",Search!$C$6="All",D1069=Search!$C$6),OR(Search!$C$7="",ISNUMBER(SEARCH(Search!$C$7,D1069&amp;" "&amp;E1069&amp;" "&amp;F1069&amp;" "&amp;G1069&amp;" "&amp;H1069&amp;" "&amp;J1069))),OR(Search!$C$8="",ISNUMBER(SEARCH(Search!$C$8,G1069)))),1,0)</f>
        <v>1</v>
      </c>
      <c r="M1069" s="15" t="n">
        <f aca="false">M1068+L1069</f>
        <v>1068</v>
      </c>
    </row>
    <row r="1070" customFormat="false" ht="15" hidden="false" customHeight="false" outlineLevel="0" collapsed="false">
      <c r="A1070" s="14" t="n">
        <v>1069</v>
      </c>
      <c r="B1070" s="15" t="s">
        <v>639</v>
      </c>
      <c r="C1070" s="15" t="s">
        <v>928</v>
      </c>
      <c r="D1070" s="16" t="s">
        <v>939</v>
      </c>
      <c r="E1070" s="16" t="s">
        <v>938</v>
      </c>
      <c r="F1070" s="15" t="s">
        <v>662</v>
      </c>
      <c r="G1070" s="15" t="s">
        <v>932</v>
      </c>
      <c r="H1070" s="15" t="s">
        <v>203</v>
      </c>
      <c r="I1070" s="17" t="n">
        <v>65</v>
      </c>
      <c r="J1070" s="16" t="s">
        <v>655</v>
      </c>
      <c r="K1070" s="15" t="s">
        <v>646</v>
      </c>
      <c r="L1070" s="15" t="n">
        <f aca="false">IF(AND(OR(Search!$C$4="",Search!$C$4="All",B1070=Search!$C$4),OR(Search!$C$5="",Search!$C$5="All",C1070=Search!$C$5),OR(Search!$C$6="",Search!$C$6="All",D1070=Search!$C$6),OR(Search!$C$7="",ISNUMBER(SEARCH(Search!$C$7,D1070&amp;" "&amp;E1070&amp;" "&amp;F1070&amp;" "&amp;G1070&amp;" "&amp;H1070&amp;" "&amp;J1070))),OR(Search!$C$8="",ISNUMBER(SEARCH(Search!$C$8,G1070)))),1,0)</f>
        <v>1</v>
      </c>
      <c r="M1070" s="15" t="n">
        <f aca="false">M1069+L1070</f>
        <v>1069</v>
      </c>
    </row>
    <row r="1071" customFormat="false" ht="15" hidden="false" customHeight="false" outlineLevel="0" collapsed="false">
      <c r="A1071" s="14" t="n">
        <v>1070</v>
      </c>
      <c r="B1071" s="15" t="s">
        <v>639</v>
      </c>
      <c r="C1071" s="15" t="s">
        <v>928</v>
      </c>
      <c r="D1071" s="16" t="s">
        <v>940</v>
      </c>
      <c r="E1071" s="16" t="s">
        <v>938</v>
      </c>
      <c r="F1071" s="15" t="s">
        <v>750</v>
      </c>
      <c r="G1071" s="15" t="s">
        <v>932</v>
      </c>
      <c r="H1071" s="15" t="s">
        <v>203</v>
      </c>
      <c r="I1071" s="17" t="n">
        <v>89</v>
      </c>
      <c r="J1071" s="16" t="s">
        <v>655</v>
      </c>
      <c r="K1071" s="15" t="s">
        <v>646</v>
      </c>
      <c r="L1071" s="15" t="n">
        <f aca="false">IF(AND(OR(Search!$C$4="",Search!$C$4="All",B1071=Search!$C$4),OR(Search!$C$5="",Search!$C$5="All",C1071=Search!$C$5),OR(Search!$C$6="",Search!$C$6="All",D1071=Search!$C$6),OR(Search!$C$7="",ISNUMBER(SEARCH(Search!$C$7,D1071&amp;" "&amp;E1071&amp;" "&amp;F1071&amp;" "&amp;G1071&amp;" "&amp;H1071&amp;" "&amp;J1071))),OR(Search!$C$8="",ISNUMBER(SEARCH(Search!$C$8,G1071)))),1,0)</f>
        <v>1</v>
      </c>
      <c r="M1071" s="15" t="n">
        <f aca="false">M1070+L1071</f>
        <v>1070</v>
      </c>
    </row>
    <row r="1072" customFormat="false" ht="15" hidden="false" customHeight="false" outlineLevel="0" collapsed="false">
      <c r="A1072" s="14" t="n">
        <v>1071</v>
      </c>
      <c r="B1072" s="15" t="s">
        <v>639</v>
      </c>
      <c r="C1072" s="15" t="s">
        <v>928</v>
      </c>
      <c r="D1072" s="16" t="s">
        <v>941</v>
      </c>
      <c r="E1072" s="16" t="s">
        <v>938</v>
      </c>
      <c r="F1072" s="15" t="s">
        <v>931</v>
      </c>
      <c r="G1072" s="15" t="s">
        <v>932</v>
      </c>
      <c r="H1072" s="15" t="s">
        <v>203</v>
      </c>
      <c r="I1072" s="17" t="n">
        <v>46</v>
      </c>
      <c r="J1072" s="16" t="s">
        <v>655</v>
      </c>
      <c r="K1072" s="15" t="s">
        <v>646</v>
      </c>
      <c r="L1072" s="15" t="n">
        <f aca="false">IF(AND(OR(Search!$C$4="",Search!$C$4="All",B1072=Search!$C$4),OR(Search!$C$5="",Search!$C$5="All",C1072=Search!$C$5),OR(Search!$C$6="",Search!$C$6="All",D1072=Search!$C$6),OR(Search!$C$7="",ISNUMBER(SEARCH(Search!$C$7,D1072&amp;" "&amp;E1072&amp;" "&amp;F1072&amp;" "&amp;G1072&amp;" "&amp;H1072&amp;" "&amp;J1072))),OR(Search!$C$8="",ISNUMBER(SEARCH(Search!$C$8,G1072)))),1,0)</f>
        <v>1</v>
      </c>
      <c r="M1072" s="15" t="n">
        <f aca="false">M1071+L1072</f>
        <v>1071</v>
      </c>
    </row>
    <row r="1073" customFormat="false" ht="15" hidden="false" customHeight="false" outlineLevel="0" collapsed="false">
      <c r="A1073" s="14" t="n">
        <v>1072</v>
      </c>
      <c r="B1073" s="15" t="s">
        <v>942</v>
      </c>
      <c r="C1073" s="15" t="s">
        <v>943</v>
      </c>
      <c r="D1073" s="16" t="s">
        <v>944</v>
      </c>
      <c r="E1073" s="16" t="s">
        <v>945</v>
      </c>
      <c r="F1073" s="15" t="s">
        <v>759</v>
      </c>
      <c r="G1073" s="15" t="s">
        <v>427</v>
      </c>
      <c r="H1073" s="15" t="s">
        <v>946</v>
      </c>
      <c r="I1073" s="17" t="n">
        <v>425</v>
      </c>
      <c r="J1073" s="16"/>
      <c r="K1073" s="15" t="s">
        <v>947</v>
      </c>
      <c r="L1073" s="15" t="n">
        <f aca="false">IF(AND(OR(Search!$C$4="",Search!$C$4="All",B1073=Search!$C$4),OR(Search!$C$5="",Search!$C$5="All",C1073=Search!$C$5),OR(Search!$C$6="",Search!$C$6="All",D1073=Search!$C$6),OR(Search!$C$7="",ISNUMBER(SEARCH(Search!$C$7,D1073&amp;" "&amp;E1073&amp;" "&amp;F1073&amp;" "&amp;G1073&amp;" "&amp;H1073&amp;" "&amp;J1073))),OR(Search!$C$8="",ISNUMBER(SEARCH(Search!$C$8,G1073)))),1,0)</f>
        <v>1</v>
      </c>
      <c r="M1073" s="15" t="n">
        <f aca="false">M1072+L1073</f>
        <v>1072</v>
      </c>
    </row>
    <row r="1074" customFormat="false" ht="15" hidden="false" customHeight="false" outlineLevel="0" collapsed="false">
      <c r="A1074" s="14" t="n">
        <v>1073</v>
      </c>
      <c r="B1074" s="15" t="s">
        <v>942</v>
      </c>
      <c r="C1074" s="15" t="s">
        <v>943</v>
      </c>
      <c r="D1074" s="16" t="s">
        <v>944</v>
      </c>
      <c r="E1074" s="16" t="s">
        <v>945</v>
      </c>
      <c r="F1074" s="15" t="s">
        <v>759</v>
      </c>
      <c r="G1074" s="15" t="s">
        <v>428</v>
      </c>
      <c r="H1074" s="15" t="s">
        <v>946</v>
      </c>
      <c r="I1074" s="17" t="n">
        <v>500</v>
      </c>
      <c r="J1074" s="16"/>
      <c r="K1074" s="15" t="s">
        <v>947</v>
      </c>
      <c r="L1074" s="15" t="n">
        <f aca="false">IF(AND(OR(Search!$C$4="",Search!$C$4="All",B1074=Search!$C$4),OR(Search!$C$5="",Search!$C$5="All",C1074=Search!$C$5),OR(Search!$C$6="",Search!$C$6="All",D1074=Search!$C$6),OR(Search!$C$7="",ISNUMBER(SEARCH(Search!$C$7,D1074&amp;" "&amp;E1074&amp;" "&amp;F1074&amp;" "&amp;G1074&amp;" "&amp;H1074&amp;" "&amp;J1074))),OR(Search!$C$8="",ISNUMBER(SEARCH(Search!$C$8,G1074)))),1,0)</f>
        <v>1</v>
      </c>
      <c r="M1074" s="15" t="n">
        <f aca="false">M1073+L1074</f>
        <v>1073</v>
      </c>
    </row>
    <row r="1075" customFormat="false" ht="15" hidden="false" customHeight="false" outlineLevel="0" collapsed="false">
      <c r="A1075" s="14" t="n">
        <v>1074</v>
      </c>
      <c r="B1075" s="15" t="s">
        <v>942</v>
      </c>
      <c r="C1075" s="15" t="s">
        <v>943</v>
      </c>
      <c r="D1075" s="16" t="s">
        <v>944</v>
      </c>
      <c r="E1075" s="16" t="s">
        <v>945</v>
      </c>
      <c r="F1075" s="15" t="s">
        <v>759</v>
      </c>
      <c r="G1075" s="15" t="s">
        <v>443</v>
      </c>
      <c r="H1075" s="15" t="s">
        <v>946</v>
      </c>
      <c r="I1075" s="17" t="n">
        <v>450</v>
      </c>
      <c r="J1075" s="16"/>
      <c r="K1075" s="15" t="s">
        <v>947</v>
      </c>
      <c r="L1075" s="15" t="n">
        <f aca="false">IF(AND(OR(Search!$C$4="",Search!$C$4="All",B1075=Search!$C$4),OR(Search!$C$5="",Search!$C$5="All",C1075=Search!$C$5),OR(Search!$C$6="",Search!$C$6="All",D1075=Search!$C$6),OR(Search!$C$7="",ISNUMBER(SEARCH(Search!$C$7,D1075&amp;" "&amp;E1075&amp;" "&amp;F1075&amp;" "&amp;G1075&amp;" "&amp;H1075&amp;" "&amp;J1075))),OR(Search!$C$8="",ISNUMBER(SEARCH(Search!$C$8,G1075)))),1,0)</f>
        <v>1</v>
      </c>
      <c r="M1075" s="15" t="n">
        <f aca="false">M1074+L1075</f>
        <v>1074</v>
      </c>
    </row>
    <row r="1076" customFormat="false" ht="15" hidden="false" customHeight="false" outlineLevel="0" collapsed="false">
      <c r="A1076" s="14" t="n">
        <v>1075</v>
      </c>
      <c r="B1076" s="15" t="s">
        <v>942</v>
      </c>
      <c r="C1076" s="15" t="s">
        <v>943</v>
      </c>
      <c r="D1076" s="16" t="s">
        <v>944</v>
      </c>
      <c r="E1076" s="16" t="s">
        <v>945</v>
      </c>
      <c r="F1076" s="15" t="s">
        <v>759</v>
      </c>
      <c r="G1076" s="15" t="s">
        <v>427</v>
      </c>
      <c r="H1076" s="15" t="s">
        <v>948</v>
      </c>
      <c r="I1076" s="17" t="n">
        <v>800</v>
      </c>
      <c r="J1076" s="16"/>
      <c r="K1076" s="15" t="s">
        <v>947</v>
      </c>
      <c r="L1076" s="15" t="n">
        <f aca="false">IF(AND(OR(Search!$C$4="",Search!$C$4="All",B1076=Search!$C$4),OR(Search!$C$5="",Search!$C$5="All",C1076=Search!$C$5),OR(Search!$C$6="",Search!$C$6="All",D1076=Search!$C$6),OR(Search!$C$7="",ISNUMBER(SEARCH(Search!$C$7,D1076&amp;" "&amp;E1076&amp;" "&amp;F1076&amp;" "&amp;G1076&amp;" "&amp;H1076&amp;" "&amp;J1076))),OR(Search!$C$8="",ISNUMBER(SEARCH(Search!$C$8,G1076)))),1,0)</f>
        <v>1</v>
      </c>
      <c r="M1076" s="15" t="n">
        <f aca="false">M1075+L1076</f>
        <v>1075</v>
      </c>
    </row>
    <row r="1077" customFormat="false" ht="15" hidden="false" customHeight="false" outlineLevel="0" collapsed="false">
      <c r="A1077" s="14" t="n">
        <v>1076</v>
      </c>
      <c r="B1077" s="15" t="s">
        <v>942</v>
      </c>
      <c r="C1077" s="15" t="s">
        <v>943</v>
      </c>
      <c r="D1077" s="16" t="s">
        <v>944</v>
      </c>
      <c r="E1077" s="16" t="s">
        <v>945</v>
      </c>
      <c r="F1077" s="15" t="s">
        <v>759</v>
      </c>
      <c r="G1077" s="15" t="s">
        <v>428</v>
      </c>
      <c r="H1077" s="15" t="s">
        <v>948</v>
      </c>
      <c r="I1077" s="17" t="n">
        <v>910</v>
      </c>
      <c r="J1077" s="16"/>
      <c r="K1077" s="15" t="s">
        <v>947</v>
      </c>
      <c r="L1077" s="15" t="n">
        <f aca="false">IF(AND(OR(Search!$C$4="",Search!$C$4="All",B1077=Search!$C$4),OR(Search!$C$5="",Search!$C$5="All",C1077=Search!$C$5),OR(Search!$C$6="",Search!$C$6="All",D1077=Search!$C$6),OR(Search!$C$7="",ISNUMBER(SEARCH(Search!$C$7,D1077&amp;" "&amp;E1077&amp;" "&amp;F1077&amp;" "&amp;G1077&amp;" "&amp;H1077&amp;" "&amp;J1077))),OR(Search!$C$8="",ISNUMBER(SEARCH(Search!$C$8,G1077)))),1,0)</f>
        <v>1</v>
      </c>
      <c r="M1077" s="15" t="n">
        <f aca="false">M1076+L1077</f>
        <v>1076</v>
      </c>
    </row>
    <row r="1078" customFormat="false" ht="15" hidden="false" customHeight="false" outlineLevel="0" collapsed="false">
      <c r="A1078" s="14" t="n">
        <v>1077</v>
      </c>
      <c r="B1078" s="15" t="s">
        <v>942</v>
      </c>
      <c r="C1078" s="15" t="s">
        <v>943</v>
      </c>
      <c r="D1078" s="16" t="s">
        <v>944</v>
      </c>
      <c r="E1078" s="16" t="s">
        <v>945</v>
      </c>
      <c r="F1078" s="15" t="s">
        <v>759</v>
      </c>
      <c r="G1078" s="15" t="s">
        <v>443</v>
      </c>
      <c r="H1078" s="15" t="s">
        <v>948</v>
      </c>
      <c r="I1078" s="17" t="n">
        <v>855</v>
      </c>
      <c r="J1078" s="16"/>
      <c r="K1078" s="15" t="s">
        <v>947</v>
      </c>
      <c r="L1078" s="15" t="n">
        <f aca="false">IF(AND(OR(Search!$C$4="",Search!$C$4="All",B1078=Search!$C$4),OR(Search!$C$5="",Search!$C$5="All",C1078=Search!$C$5),OR(Search!$C$6="",Search!$C$6="All",D1078=Search!$C$6),OR(Search!$C$7="",ISNUMBER(SEARCH(Search!$C$7,D1078&amp;" "&amp;E1078&amp;" "&amp;F1078&amp;" "&amp;G1078&amp;" "&amp;H1078&amp;" "&amp;J1078))),OR(Search!$C$8="",ISNUMBER(SEARCH(Search!$C$8,G1078)))),1,0)</f>
        <v>1</v>
      </c>
      <c r="M1078" s="15" t="n">
        <f aca="false">M1077+L1078</f>
        <v>1077</v>
      </c>
    </row>
    <row r="1079" customFormat="false" ht="15" hidden="false" customHeight="false" outlineLevel="0" collapsed="false">
      <c r="A1079" s="14" t="n">
        <v>1078</v>
      </c>
      <c r="B1079" s="15" t="s">
        <v>942</v>
      </c>
      <c r="C1079" s="15" t="s">
        <v>943</v>
      </c>
      <c r="D1079" s="16" t="s">
        <v>944</v>
      </c>
      <c r="E1079" s="16" t="s">
        <v>945</v>
      </c>
      <c r="F1079" s="15" t="s">
        <v>759</v>
      </c>
      <c r="G1079" s="15" t="s">
        <v>427</v>
      </c>
      <c r="H1079" s="15" t="s">
        <v>949</v>
      </c>
      <c r="I1079" s="17" t="n">
        <v>272</v>
      </c>
      <c r="J1079" s="16"/>
      <c r="K1079" s="15" t="s">
        <v>947</v>
      </c>
      <c r="L1079" s="15" t="n">
        <f aca="false">IF(AND(OR(Search!$C$4="",Search!$C$4="All",B1079=Search!$C$4),OR(Search!$C$5="",Search!$C$5="All",C1079=Search!$C$5),OR(Search!$C$6="",Search!$C$6="All",D1079=Search!$C$6),OR(Search!$C$7="",ISNUMBER(SEARCH(Search!$C$7,D1079&amp;" "&amp;E1079&amp;" "&amp;F1079&amp;" "&amp;G1079&amp;" "&amp;H1079&amp;" "&amp;J1079))),OR(Search!$C$8="",ISNUMBER(SEARCH(Search!$C$8,G1079)))),1,0)</f>
        <v>1</v>
      </c>
      <c r="M1079" s="15" t="n">
        <f aca="false">M1078+L1079</f>
        <v>1078</v>
      </c>
    </row>
    <row r="1080" customFormat="false" ht="15" hidden="false" customHeight="false" outlineLevel="0" collapsed="false">
      <c r="A1080" s="14" t="n">
        <v>1079</v>
      </c>
      <c r="B1080" s="15" t="s">
        <v>942</v>
      </c>
      <c r="C1080" s="15" t="s">
        <v>943</v>
      </c>
      <c r="D1080" s="16" t="s">
        <v>944</v>
      </c>
      <c r="E1080" s="16" t="s">
        <v>945</v>
      </c>
      <c r="F1080" s="15" t="s">
        <v>759</v>
      </c>
      <c r="G1080" s="15" t="s">
        <v>428</v>
      </c>
      <c r="H1080" s="15" t="s">
        <v>949</v>
      </c>
      <c r="I1080" s="17" t="n">
        <v>322</v>
      </c>
      <c r="J1080" s="16"/>
      <c r="K1080" s="15" t="s">
        <v>947</v>
      </c>
      <c r="L1080" s="15" t="n">
        <f aca="false">IF(AND(OR(Search!$C$4="",Search!$C$4="All",B1080=Search!$C$4),OR(Search!$C$5="",Search!$C$5="All",C1080=Search!$C$5),OR(Search!$C$6="",Search!$C$6="All",D1080=Search!$C$6),OR(Search!$C$7="",ISNUMBER(SEARCH(Search!$C$7,D1080&amp;" "&amp;E1080&amp;" "&amp;F1080&amp;" "&amp;G1080&amp;" "&amp;H1080&amp;" "&amp;J1080))),OR(Search!$C$8="",ISNUMBER(SEARCH(Search!$C$8,G1080)))),1,0)</f>
        <v>1</v>
      </c>
      <c r="M1080" s="15" t="n">
        <f aca="false">M1079+L1080</f>
        <v>1079</v>
      </c>
    </row>
    <row r="1081" customFormat="false" ht="15" hidden="false" customHeight="false" outlineLevel="0" collapsed="false">
      <c r="A1081" s="14" t="n">
        <v>1080</v>
      </c>
      <c r="B1081" s="15" t="s">
        <v>942</v>
      </c>
      <c r="C1081" s="15" t="s">
        <v>943</v>
      </c>
      <c r="D1081" s="16" t="s">
        <v>944</v>
      </c>
      <c r="E1081" s="16" t="s">
        <v>945</v>
      </c>
      <c r="F1081" s="15" t="s">
        <v>759</v>
      </c>
      <c r="G1081" s="15" t="s">
        <v>443</v>
      </c>
      <c r="H1081" s="15" t="s">
        <v>949</v>
      </c>
      <c r="I1081" s="17" t="n">
        <v>307</v>
      </c>
      <c r="J1081" s="16"/>
      <c r="K1081" s="15" t="s">
        <v>947</v>
      </c>
      <c r="L1081" s="15" t="n">
        <f aca="false">IF(AND(OR(Search!$C$4="",Search!$C$4="All",B1081=Search!$C$4),OR(Search!$C$5="",Search!$C$5="All",C1081=Search!$C$5),OR(Search!$C$6="",Search!$C$6="All",D1081=Search!$C$6),OR(Search!$C$7="",ISNUMBER(SEARCH(Search!$C$7,D1081&amp;" "&amp;E1081&amp;" "&amp;F1081&amp;" "&amp;G1081&amp;" "&amp;H1081&amp;" "&amp;J1081))),OR(Search!$C$8="",ISNUMBER(SEARCH(Search!$C$8,G1081)))),1,0)</f>
        <v>1</v>
      </c>
      <c r="M1081" s="15" t="n">
        <f aca="false">M1080+L1081</f>
        <v>1080</v>
      </c>
    </row>
    <row r="1082" customFormat="false" ht="15" hidden="false" customHeight="false" outlineLevel="0" collapsed="false">
      <c r="A1082" s="14" t="n">
        <v>1081</v>
      </c>
      <c r="B1082" s="15" t="s">
        <v>942</v>
      </c>
      <c r="C1082" s="15" t="s">
        <v>943</v>
      </c>
      <c r="D1082" s="16" t="s">
        <v>944</v>
      </c>
      <c r="E1082" s="16" t="s">
        <v>945</v>
      </c>
      <c r="F1082" s="15" t="s">
        <v>759</v>
      </c>
      <c r="G1082" s="15" t="s">
        <v>564</v>
      </c>
      <c r="H1082" s="15" t="s">
        <v>949</v>
      </c>
      <c r="I1082" s="17" t="n">
        <v>345</v>
      </c>
      <c r="J1082" s="16"/>
      <c r="K1082" s="15" t="s">
        <v>947</v>
      </c>
      <c r="L1082" s="15" t="n">
        <f aca="false">IF(AND(OR(Search!$C$4="",Search!$C$4="All",B1082=Search!$C$4),OR(Search!$C$5="",Search!$C$5="All",C1082=Search!$C$5),OR(Search!$C$6="",Search!$C$6="All",D1082=Search!$C$6),OR(Search!$C$7="",ISNUMBER(SEARCH(Search!$C$7,D1082&amp;" "&amp;E1082&amp;" "&amp;F1082&amp;" "&amp;G1082&amp;" "&amp;H1082&amp;" "&amp;J1082))),OR(Search!$C$8="",ISNUMBER(SEARCH(Search!$C$8,G1082)))),1,0)</f>
        <v>1</v>
      </c>
      <c r="M1082" s="15" t="n">
        <f aca="false">M1081+L1082</f>
        <v>1081</v>
      </c>
    </row>
    <row r="1083" customFormat="false" ht="23.85" hidden="false" customHeight="false" outlineLevel="0" collapsed="false">
      <c r="A1083" s="14" t="n">
        <v>1082</v>
      </c>
      <c r="B1083" s="15" t="s">
        <v>942</v>
      </c>
      <c r="C1083" s="15" t="s">
        <v>943</v>
      </c>
      <c r="D1083" s="16" t="s">
        <v>950</v>
      </c>
      <c r="E1083" s="16" t="s">
        <v>951</v>
      </c>
      <c r="F1083" s="15" t="s">
        <v>759</v>
      </c>
      <c r="G1083" s="15" t="s">
        <v>427</v>
      </c>
      <c r="H1083" s="15" t="s">
        <v>946</v>
      </c>
      <c r="I1083" s="17" t="n">
        <v>375</v>
      </c>
      <c r="J1083" s="16"/>
      <c r="K1083" s="15" t="s">
        <v>947</v>
      </c>
      <c r="L1083" s="15" t="n">
        <f aca="false">IF(AND(OR(Search!$C$4="",Search!$C$4="All",B1083=Search!$C$4),OR(Search!$C$5="",Search!$C$5="All",C1083=Search!$C$5),OR(Search!$C$6="",Search!$C$6="All",D1083=Search!$C$6),OR(Search!$C$7="",ISNUMBER(SEARCH(Search!$C$7,D1083&amp;" "&amp;E1083&amp;" "&amp;F1083&amp;" "&amp;G1083&amp;" "&amp;H1083&amp;" "&amp;J1083))),OR(Search!$C$8="",ISNUMBER(SEARCH(Search!$C$8,G1083)))),1,0)</f>
        <v>1</v>
      </c>
      <c r="M1083" s="15" t="n">
        <f aca="false">M1082+L1083</f>
        <v>1082</v>
      </c>
    </row>
    <row r="1084" customFormat="false" ht="23.85" hidden="false" customHeight="false" outlineLevel="0" collapsed="false">
      <c r="A1084" s="14" t="n">
        <v>1083</v>
      </c>
      <c r="B1084" s="15" t="s">
        <v>942</v>
      </c>
      <c r="C1084" s="15" t="s">
        <v>943</v>
      </c>
      <c r="D1084" s="16" t="s">
        <v>950</v>
      </c>
      <c r="E1084" s="16" t="s">
        <v>951</v>
      </c>
      <c r="F1084" s="15" t="s">
        <v>759</v>
      </c>
      <c r="G1084" s="15" t="s">
        <v>428</v>
      </c>
      <c r="H1084" s="15" t="s">
        <v>946</v>
      </c>
      <c r="I1084" s="17" t="n">
        <v>450</v>
      </c>
      <c r="J1084" s="16"/>
      <c r="K1084" s="15" t="s">
        <v>947</v>
      </c>
      <c r="L1084" s="15" t="n">
        <f aca="false">IF(AND(OR(Search!$C$4="",Search!$C$4="All",B1084=Search!$C$4),OR(Search!$C$5="",Search!$C$5="All",C1084=Search!$C$5),OR(Search!$C$6="",Search!$C$6="All",D1084=Search!$C$6),OR(Search!$C$7="",ISNUMBER(SEARCH(Search!$C$7,D1084&amp;" "&amp;E1084&amp;" "&amp;F1084&amp;" "&amp;G1084&amp;" "&amp;H1084&amp;" "&amp;J1084))),OR(Search!$C$8="",ISNUMBER(SEARCH(Search!$C$8,G1084)))),1,0)</f>
        <v>1</v>
      </c>
      <c r="M1084" s="15" t="n">
        <f aca="false">M1083+L1084</f>
        <v>1083</v>
      </c>
    </row>
    <row r="1085" customFormat="false" ht="23.85" hidden="false" customHeight="false" outlineLevel="0" collapsed="false">
      <c r="A1085" s="14" t="n">
        <v>1084</v>
      </c>
      <c r="B1085" s="15" t="s">
        <v>942</v>
      </c>
      <c r="C1085" s="15" t="s">
        <v>943</v>
      </c>
      <c r="D1085" s="16" t="s">
        <v>950</v>
      </c>
      <c r="E1085" s="16" t="s">
        <v>951</v>
      </c>
      <c r="F1085" s="15" t="s">
        <v>759</v>
      </c>
      <c r="G1085" s="15" t="s">
        <v>443</v>
      </c>
      <c r="H1085" s="15" t="s">
        <v>946</v>
      </c>
      <c r="I1085" s="17" t="n">
        <v>400</v>
      </c>
      <c r="J1085" s="16"/>
      <c r="K1085" s="15" t="s">
        <v>947</v>
      </c>
      <c r="L1085" s="15" t="n">
        <f aca="false">IF(AND(OR(Search!$C$4="",Search!$C$4="All",B1085=Search!$C$4),OR(Search!$C$5="",Search!$C$5="All",C1085=Search!$C$5),OR(Search!$C$6="",Search!$C$6="All",D1085=Search!$C$6),OR(Search!$C$7="",ISNUMBER(SEARCH(Search!$C$7,D1085&amp;" "&amp;E1085&amp;" "&amp;F1085&amp;" "&amp;G1085&amp;" "&amp;H1085&amp;" "&amp;J1085))),OR(Search!$C$8="",ISNUMBER(SEARCH(Search!$C$8,G1085)))),1,0)</f>
        <v>1</v>
      </c>
      <c r="M1085" s="15" t="n">
        <f aca="false">M1084+L1085</f>
        <v>1084</v>
      </c>
    </row>
    <row r="1086" customFormat="false" ht="35.05" hidden="false" customHeight="false" outlineLevel="0" collapsed="false">
      <c r="A1086" s="14" t="n">
        <v>1085</v>
      </c>
      <c r="B1086" s="15" t="s">
        <v>942</v>
      </c>
      <c r="C1086" s="15" t="s">
        <v>943</v>
      </c>
      <c r="D1086" s="16" t="s">
        <v>952</v>
      </c>
      <c r="E1086" s="16" t="s">
        <v>953</v>
      </c>
      <c r="F1086" s="15" t="s">
        <v>192</v>
      </c>
      <c r="G1086" s="15" t="s">
        <v>443</v>
      </c>
      <c r="H1086" s="15" t="s">
        <v>954</v>
      </c>
      <c r="I1086" s="17" t="n">
        <v>34</v>
      </c>
      <c r="J1086" s="16"/>
      <c r="K1086" s="15" t="s">
        <v>947</v>
      </c>
      <c r="L1086" s="15" t="n">
        <f aca="false">IF(AND(OR(Search!$C$4="",Search!$C$4="All",B1086=Search!$C$4),OR(Search!$C$5="",Search!$C$5="All",C1086=Search!$C$5),OR(Search!$C$6="",Search!$C$6="All",D1086=Search!$C$6),OR(Search!$C$7="",ISNUMBER(SEARCH(Search!$C$7,D1086&amp;" "&amp;E1086&amp;" "&amp;F1086&amp;" "&amp;G1086&amp;" "&amp;H1086&amp;" "&amp;J1086))),OR(Search!$C$8="",ISNUMBER(SEARCH(Search!$C$8,G1086)))),1,0)</f>
        <v>1</v>
      </c>
      <c r="M1086" s="15" t="n">
        <f aca="false">M1085+L1086</f>
        <v>1085</v>
      </c>
    </row>
    <row r="1087" customFormat="false" ht="35.05" hidden="false" customHeight="false" outlineLevel="0" collapsed="false">
      <c r="A1087" s="14" t="n">
        <v>1086</v>
      </c>
      <c r="B1087" s="15" t="s">
        <v>942</v>
      </c>
      <c r="C1087" s="15" t="s">
        <v>943</v>
      </c>
      <c r="D1087" s="16" t="s">
        <v>952</v>
      </c>
      <c r="E1087" s="16" t="s">
        <v>953</v>
      </c>
      <c r="F1087" s="15" t="s">
        <v>650</v>
      </c>
      <c r="G1087" s="15" t="s">
        <v>443</v>
      </c>
      <c r="H1087" s="15" t="s">
        <v>955</v>
      </c>
      <c r="I1087" s="17" t="n">
        <v>39</v>
      </c>
      <c r="J1087" s="16"/>
      <c r="K1087" s="15" t="s">
        <v>947</v>
      </c>
      <c r="L1087" s="15" t="n">
        <f aca="false">IF(AND(OR(Search!$C$4="",Search!$C$4="All",B1087=Search!$C$4),OR(Search!$C$5="",Search!$C$5="All",C1087=Search!$C$5),OR(Search!$C$6="",Search!$C$6="All",D1087=Search!$C$6),OR(Search!$C$7="",ISNUMBER(SEARCH(Search!$C$7,D1087&amp;" "&amp;E1087&amp;" "&amp;F1087&amp;" "&amp;G1087&amp;" "&amp;H1087&amp;" "&amp;J1087))),OR(Search!$C$8="",ISNUMBER(SEARCH(Search!$C$8,G1087)))),1,0)</f>
        <v>1</v>
      </c>
      <c r="M1087" s="15" t="n">
        <f aca="false">M1086+L1087</f>
        <v>1086</v>
      </c>
    </row>
    <row r="1088" customFormat="false" ht="35.05" hidden="false" customHeight="false" outlineLevel="0" collapsed="false">
      <c r="A1088" s="14" t="n">
        <v>1087</v>
      </c>
      <c r="B1088" s="15" t="s">
        <v>942</v>
      </c>
      <c r="C1088" s="15" t="s">
        <v>532</v>
      </c>
      <c r="D1088" s="16" t="s">
        <v>956</v>
      </c>
      <c r="E1088" s="16" t="s">
        <v>953</v>
      </c>
      <c r="F1088" s="15"/>
      <c r="G1088" s="15"/>
      <c r="H1088" s="15" t="s">
        <v>957</v>
      </c>
      <c r="I1088" s="17" t="n">
        <v>49</v>
      </c>
      <c r="J1088" s="16"/>
      <c r="K1088" s="15" t="s">
        <v>947</v>
      </c>
      <c r="L1088" s="15" t="n">
        <f aca="false">IF(AND(OR(Search!$C$4="",Search!$C$4="All",B1088=Search!$C$4),OR(Search!$C$5="",Search!$C$5="All",C1088=Search!$C$5),OR(Search!$C$6="",Search!$C$6="All",D1088=Search!$C$6),OR(Search!$C$7="",ISNUMBER(SEARCH(Search!$C$7,D1088&amp;" "&amp;E1088&amp;" "&amp;F1088&amp;" "&amp;G1088&amp;" "&amp;H1088&amp;" "&amp;J1088))),OR(Search!$C$8="",ISNUMBER(SEARCH(Search!$C$8,G1088)))),1,0)</f>
        <v>1</v>
      </c>
      <c r="M1088" s="15" t="n">
        <f aca="false">M1087+L1088</f>
        <v>1087</v>
      </c>
    </row>
    <row r="1089" customFormat="false" ht="23.85" hidden="false" customHeight="false" outlineLevel="0" collapsed="false">
      <c r="A1089" s="14" t="n">
        <v>1088</v>
      </c>
      <c r="B1089" s="15" t="s">
        <v>942</v>
      </c>
      <c r="C1089" s="15" t="s">
        <v>532</v>
      </c>
      <c r="D1089" s="16" t="s">
        <v>958</v>
      </c>
      <c r="E1089" s="16" t="s">
        <v>959</v>
      </c>
      <c r="F1089" s="15"/>
      <c r="G1089" s="15" t="s">
        <v>960</v>
      </c>
      <c r="H1089" s="15" t="s">
        <v>957</v>
      </c>
      <c r="I1089" s="17" t="n">
        <v>80</v>
      </c>
      <c r="J1089" s="16"/>
      <c r="K1089" s="15" t="s">
        <v>947</v>
      </c>
      <c r="L1089" s="15" t="n">
        <f aca="false">IF(AND(OR(Search!$C$4="",Search!$C$4="All",B1089=Search!$C$4),OR(Search!$C$5="",Search!$C$5="All",C1089=Search!$C$5),OR(Search!$C$6="",Search!$C$6="All",D1089=Search!$C$6),OR(Search!$C$7="",ISNUMBER(SEARCH(Search!$C$7,D1089&amp;" "&amp;E1089&amp;" "&amp;F1089&amp;" "&amp;G1089&amp;" "&amp;H1089&amp;" "&amp;J1089))),OR(Search!$C$8="",ISNUMBER(SEARCH(Search!$C$8,G1089)))),1,0)</f>
        <v>1</v>
      </c>
      <c r="M1089" s="15" t="n">
        <f aca="false">M1088+L1089</f>
        <v>1088</v>
      </c>
    </row>
    <row r="1090" customFormat="false" ht="15" hidden="false" customHeight="false" outlineLevel="0" collapsed="false">
      <c r="A1090" s="14" t="n">
        <v>1089</v>
      </c>
      <c r="B1090" s="15" t="s">
        <v>942</v>
      </c>
      <c r="C1090" s="15" t="s">
        <v>565</v>
      </c>
      <c r="D1090" s="16" t="s">
        <v>961</v>
      </c>
      <c r="E1090" s="16" t="s">
        <v>962</v>
      </c>
      <c r="F1090" s="15"/>
      <c r="G1090" s="15" t="s">
        <v>963</v>
      </c>
      <c r="H1090" s="15" t="s">
        <v>964</v>
      </c>
      <c r="I1090" s="17" t="n">
        <v>775</v>
      </c>
      <c r="J1090" s="16"/>
      <c r="K1090" s="15" t="s">
        <v>947</v>
      </c>
      <c r="L1090" s="15" t="n">
        <f aca="false">IF(AND(OR(Search!$C$4="",Search!$C$4="All",B1090=Search!$C$4),OR(Search!$C$5="",Search!$C$5="All",C1090=Search!$C$5),OR(Search!$C$6="",Search!$C$6="All",D1090=Search!$C$6),OR(Search!$C$7="",ISNUMBER(SEARCH(Search!$C$7,D1090&amp;" "&amp;E1090&amp;" "&amp;F1090&amp;" "&amp;G1090&amp;" "&amp;H1090&amp;" "&amp;J1090))),OR(Search!$C$8="",ISNUMBER(SEARCH(Search!$C$8,G1090)))),1,0)</f>
        <v>1</v>
      </c>
      <c r="M1090" s="15" t="n">
        <f aca="false">M1089+L1090</f>
        <v>1089</v>
      </c>
    </row>
    <row r="1091" customFormat="false" ht="15" hidden="false" customHeight="false" outlineLevel="0" collapsed="false">
      <c r="A1091" s="14" t="n">
        <v>1090</v>
      </c>
      <c r="B1091" s="15" t="s">
        <v>942</v>
      </c>
      <c r="C1091" s="15" t="s">
        <v>565</v>
      </c>
      <c r="D1091" s="16" t="s">
        <v>961</v>
      </c>
      <c r="E1091" s="16" t="s">
        <v>962</v>
      </c>
      <c r="F1091" s="15"/>
      <c r="G1091" s="15" t="s">
        <v>963</v>
      </c>
      <c r="H1091" s="15" t="s">
        <v>631</v>
      </c>
      <c r="I1091" s="17" t="n">
        <v>31</v>
      </c>
      <c r="J1091" s="16"/>
      <c r="K1091" s="15" t="s">
        <v>947</v>
      </c>
      <c r="L1091" s="15" t="n">
        <f aca="false">IF(AND(OR(Search!$C$4="",Search!$C$4="All",B1091=Search!$C$4),OR(Search!$C$5="",Search!$C$5="All",C1091=Search!$C$5),OR(Search!$C$6="",Search!$C$6="All",D1091=Search!$C$6),OR(Search!$C$7="",ISNUMBER(SEARCH(Search!$C$7,D1091&amp;" "&amp;E1091&amp;" "&amp;F1091&amp;" "&amp;G1091&amp;" "&amp;H1091&amp;" "&amp;J1091))),OR(Search!$C$8="",ISNUMBER(SEARCH(Search!$C$8,G1091)))),1,0)</f>
        <v>1</v>
      </c>
      <c r="M1091" s="15" t="n">
        <f aca="false">M1090+L1091</f>
        <v>1090</v>
      </c>
    </row>
    <row r="1092" customFormat="false" ht="15" hidden="false" customHeight="false" outlineLevel="0" collapsed="false">
      <c r="A1092" s="14" t="n">
        <v>1091</v>
      </c>
      <c r="B1092" s="15" t="s">
        <v>942</v>
      </c>
      <c r="C1092" s="15" t="s">
        <v>565</v>
      </c>
      <c r="D1092" s="16" t="s">
        <v>965</v>
      </c>
      <c r="E1092" s="16" t="s">
        <v>962</v>
      </c>
      <c r="F1092" s="15"/>
      <c r="G1092" s="15" t="s">
        <v>966</v>
      </c>
      <c r="H1092" s="15" t="s">
        <v>964</v>
      </c>
      <c r="I1092" s="17" t="n">
        <v>950</v>
      </c>
      <c r="J1092" s="16"/>
      <c r="K1092" s="15" t="s">
        <v>947</v>
      </c>
      <c r="L1092" s="15" t="n">
        <f aca="false">IF(AND(OR(Search!$C$4="",Search!$C$4="All",B1092=Search!$C$4),OR(Search!$C$5="",Search!$C$5="All",C1092=Search!$C$5),OR(Search!$C$6="",Search!$C$6="All",D1092=Search!$C$6),OR(Search!$C$7="",ISNUMBER(SEARCH(Search!$C$7,D1092&amp;" "&amp;E1092&amp;" "&amp;F1092&amp;" "&amp;G1092&amp;" "&amp;H1092&amp;" "&amp;J1092))),OR(Search!$C$8="",ISNUMBER(SEARCH(Search!$C$8,G1092)))),1,0)</f>
        <v>1</v>
      </c>
      <c r="M1092" s="15" t="n">
        <f aca="false">M1091+L1092</f>
        <v>1091</v>
      </c>
    </row>
    <row r="1093" customFormat="false" ht="15" hidden="false" customHeight="false" outlineLevel="0" collapsed="false">
      <c r="A1093" s="14" t="n">
        <v>1092</v>
      </c>
      <c r="B1093" s="15" t="s">
        <v>942</v>
      </c>
      <c r="C1093" s="15" t="s">
        <v>565</v>
      </c>
      <c r="D1093" s="16" t="s">
        <v>965</v>
      </c>
      <c r="E1093" s="16" t="s">
        <v>962</v>
      </c>
      <c r="F1093" s="15"/>
      <c r="G1093" s="15" t="s">
        <v>966</v>
      </c>
      <c r="H1093" s="15" t="s">
        <v>631</v>
      </c>
      <c r="I1093" s="17" t="n">
        <v>38</v>
      </c>
      <c r="J1093" s="16"/>
      <c r="K1093" s="15" t="s">
        <v>947</v>
      </c>
      <c r="L1093" s="15" t="n">
        <f aca="false">IF(AND(OR(Search!$C$4="",Search!$C$4="All",B1093=Search!$C$4),OR(Search!$C$5="",Search!$C$5="All",C1093=Search!$C$5),OR(Search!$C$6="",Search!$C$6="All",D1093=Search!$C$6),OR(Search!$C$7="",ISNUMBER(SEARCH(Search!$C$7,D1093&amp;" "&amp;E1093&amp;" "&amp;F1093&amp;" "&amp;G1093&amp;" "&amp;H1093&amp;" "&amp;J1093))),OR(Search!$C$8="",ISNUMBER(SEARCH(Search!$C$8,G1093)))),1,0)</f>
        <v>1</v>
      </c>
      <c r="M1093" s="15" t="n">
        <f aca="false">M1092+L1093</f>
        <v>1092</v>
      </c>
    </row>
    <row r="1094" customFormat="false" ht="15" hidden="false" customHeight="false" outlineLevel="0" collapsed="false">
      <c r="A1094" s="14" t="n">
        <v>1093</v>
      </c>
      <c r="B1094" s="15" t="s">
        <v>942</v>
      </c>
      <c r="C1094" s="15" t="s">
        <v>565</v>
      </c>
      <c r="D1094" s="16" t="s">
        <v>967</v>
      </c>
      <c r="E1094" s="16" t="s">
        <v>962</v>
      </c>
      <c r="F1094" s="15"/>
      <c r="G1094" s="15" t="s">
        <v>968</v>
      </c>
      <c r="H1094" s="15" t="s">
        <v>964</v>
      </c>
      <c r="I1094" s="17" t="n">
        <v>975</v>
      </c>
      <c r="J1094" s="16"/>
      <c r="K1094" s="15" t="s">
        <v>947</v>
      </c>
      <c r="L1094" s="15" t="n">
        <f aca="false">IF(AND(OR(Search!$C$4="",Search!$C$4="All",B1094=Search!$C$4),OR(Search!$C$5="",Search!$C$5="All",C1094=Search!$C$5),OR(Search!$C$6="",Search!$C$6="All",D1094=Search!$C$6),OR(Search!$C$7="",ISNUMBER(SEARCH(Search!$C$7,D1094&amp;" "&amp;E1094&amp;" "&amp;F1094&amp;" "&amp;G1094&amp;" "&amp;H1094&amp;" "&amp;J1094))),OR(Search!$C$8="",ISNUMBER(SEARCH(Search!$C$8,G1094)))),1,0)</f>
        <v>1</v>
      </c>
      <c r="M1094" s="15" t="n">
        <f aca="false">M1093+L1094</f>
        <v>1093</v>
      </c>
    </row>
    <row r="1095" customFormat="false" ht="15" hidden="false" customHeight="false" outlineLevel="0" collapsed="false">
      <c r="A1095" s="14" t="n">
        <v>1094</v>
      </c>
      <c r="B1095" s="15" t="s">
        <v>942</v>
      </c>
      <c r="C1095" s="15" t="s">
        <v>565</v>
      </c>
      <c r="D1095" s="16" t="s">
        <v>967</v>
      </c>
      <c r="E1095" s="16" t="s">
        <v>962</v>
      </c>
      <c r="F1095" s="15"/>
      <c r="G1095" s="15" t="s">
        <v>968</v>
      </c>
      <c r="H1095" s="15" t="s">
        <v>631</v>
      </c>
      <c r="I1095" s="17" t="n">
        <v>39</v>
      </c>
      <c r="J1095" s="16"/>
      <c r="K1095" s="15" t="s">
        <v>947</v>
      </c>
      <c r="L1095" s="15" t="n">
        <f aca="false">IF(AND(OR(Search!$C$4="",Search!$C$4="All",B1095=Search!$C$4),OR(Search!$C$5="",Search!$C$5="All",C1095=Search!$C$5),OR(Search!$C$6="",Search!$C$6="All",D1095=Search!$C$6),OR(Search!$C$7="",ISNUMBER(SEARCH(Search!$C$7,D1095&amp;" "&amp;E1095&amp;" "&amp;F1095&amp;" "&amp;G1095&amp;" "&amp;H1095&amp;" "&amp;J1095))),OR(Search!$C$8="",ISNUMBER(SEARCH(Search!$C$8,G1095)))),1,0)</f>
        <v>1</v>
      </c>
      <c r="M1095" s="15" t="n">
        <f aca="false">M1094+L1095</f>
        <v>1094</v>
      </c>
    </row>
    <row r="1096" customFormat="false" ht="15" hidden="false" customHeight="false" outlineLevel="0" collapsed="false">
      <c r="A1096" s="14" t="n">
        <v>1095</v>
      </c>
      <c r="B1096" s="15" t="s">
        <v>942</v>
      </c>
      <c r="C1096" s="15" t="s">
        <v>565</v>
      </c>
      <c r="D1096" s="16" t="s">
        <v>969</v>
      </c>
      <c r="E1096" s="16" t="s">
        <v>962</v>
      </c>
      <c r="F1096" s="15"/>
      <c r="G1096" s="15" t="s">
        <v>970</v>
      </c>
      <c r="H1096" s="15" t="s">
        <v>964</v>
      </c>
      <c r="I1096" s="17" t="n">
        <v>1025</v>
      </c>
      <c r="J1096" s="16"/>
      <c r="K1096" s="15" t="s">
        <v>947</v>
      </c>
      <c r="L1096" s="15" t="n">
        <f aca="false">IF(AND(OR(Search!$C$4="",Search!$C$4="All",B1096=Search!$C$4),OR(Search!$C$5="",Search!$C$5="All",C1096=Search!$C$5),OR(Search!$C$6="",Search!$C$6="All",D1096=Search!$C$6),OR(Search!$C$7="",ISNUMBER(SEARCH(Search!$C$7,D1096&amp;" "&amp;E1096&amp;" "&amp;F1096&amp;" "&amp;G1096&amp;" "&amp;H1096&amp;" "&amp;J1096))),OR(Search!$C$8="",ISNUMBER(SEARCH(Search!$C$8,G1096)))),1,0)</f>
        <v>1</v>
      </c>
      <c r="M1096" s="15" t="n">
        <f aca="false">M1095+L1096</f>
        <v>1095</v>
      </c>
    </row>
    <row r="1097" customFormat="false" ht="15" hidden="false" customHeight="false" outlineLevel="0" collapsed="false">
      <c r="A1097" s="14" t="n">
        <v>1096</v>
      </c>
      <c r="B1097" s="15" t="s">
        <v>942</v>
      </c>
      <c r="C1097" s="15" t="s">
        <v>565</v>
      </c>
      <c r="D1097" s="16" t="s">
        <v>969</v>
      </c>
      <c r="E1097" s="16" t="s">
        <v>962</v>
      </c>
      <c r="F1097" s="15"/>
      <c r="G1097" s="15" t="s">
        <v>970</v>
      </c>
      <c r="H1097" s="15" t="s">
        <v>631</v>
      </c>
      <c r="I1097" s="17" t="n">
        <v>41</v>
      </c>
      <c r="J1097" s="16"/>
      <c r="K1097" s="15" t="s">
        <v>947</v>
      </c>
      <c r="L1097" s="15" t="n">
        <f aca="false">IF(AND(OR(Search!$C$4="",Search!$C$4="All",B1097=Search!$C$4),OR(Search!$C$5="",Search!$C$5="All",C1097=Search!$C$5),OR(Search!$C$6="",Search!$C$6="All",D1097=Search!$C$6),OR(Search!$C$7="",ISNUMBER(SEARCH(Search!$C$7,D1097&amp;" "&amp;E1097&amp;" "&amp;F1097&amp;" "&amp;G1097&amp;" "&amp;H1097&amp;" "&amp;J1097))),OR(Search!$C$8="",ISNUMBER(SEARCH(Search!$C$8,G1097)))),1,0)</f>
        <v>1</v>
      </c>
      <c r="M1097" s="15" t="n">
        <f aca="false">M1096+L1097</f>
        <v>1096</v>
      </c>
    </row>
    <row r="1098" customFormat="false" ht="23.85" hidden="false" customHeight="false" outlineLevel="0" collapsed="false">
      <c r="A1098" s="14" t="n">
        <v>1097</v>
      </c>
      <c r="B1098" s="15" t="s">
        <v>942</v>
      </c>
      <c r="C1098" s="15" t="s">
        <v>943</v>
      </c>
      <c r="D1098" s="16" t="s">
        <v>674</v>
      </c>
      <c r="E1098" s="16" t="s">
        <v>971</v>
      </c>
      <c r="F1098" s="15" t="s">
        <v>643</v>
      </c>
      <c r="G1098" s="15" t="s">
        <v>427</v>
      </c>
      <c r="H1098" s="15" t="s">
        <v>972</v>
      </c>
      <c r="I1098" s="17" t="n">
        <v>1225</v>
      </c>
      <c r="J1098" s="16"/>
      <c r="K1098" s="15" t="s">
        <v>947</v>
      </c>
      <c r="L1098" s="15" t="n">
        <f aca="false">IF(AND(OR(Search!$C$4="",Search!$C$4="All",B1098=Search!$C$4),OR(Search!$C$5="",Search!$C$5="All",C1098=Search!$C$5),OR(Search!$C$6="",Search!$C$6="All",D1098=Search!$C$6),OR(Search!$C$7="",ISNUMBER(SEARCH(Search!$C$7,D1098&amp;" "&amp;E1098&amp;" "&amp;F1098&amp;" "&amp;G1098&amp;" "&amp;H1098&amp;" "&amp;J1098))),OR(Search!$C$8="",ISNUMBER(SEARCH(Search!$C$8,G1098)))),1,0)</f>
        <v>1</v>
      </c>
      <c r="M1098" s="15" t="n">
        <f aca="false">M1097+L1098</f>
        <v>1097</v>
      </c>
    </row>
    <row r="1099" customFormat="false" ht="23.85" hidden="false" customHeight="false" outlineLevel="0" collapsed="false">
      <c r="A1099" s="14" t="n">
        <v>1098</v>
      </c>
      <c r="B1099" s="15" t="s">
        <v>942</v>
      </c>
      <c r="C1099" s="15" t="s">
        <v>943</v>
      </c>
      <c r="D1099" s="16" t="s">
        <v>674</v>
      </c>
      <c r="E1099" s="16" t="s">
        <v>971</v>
      </c>
      <c r="F1099" s="15" t="s">
        <v>643</v>
      </c>
      <c r="G1099" s="15" t="s">
        <v>427</v>
      </c>
      <c r="H1099" s="15" t="s">
        <v>161</v>
      </c>
      <c r="I1099" s="17" t="n">
        <v>1177</v>
      </c>
      <c r="J1099" s="16"/>
      <c r="K1099" s="15" t="s">
        <v>947</v>
      </c>
      <c r="L1099" s="15" t="n">
        <f aca="false">IF(AND(OR(Search!$C$4="",Search!$C$4="All",B1099=Search!$C$4),OR(Search!$C$5="",Search!$C$5="All",C1099=Search!$C$5),OR(Search!$C$6="",Search!$C$6="All",D1099=Search!$C$6),OR(Search!$C$7="",ISNUMBER(SEARCH(Search!$C$7,D1099&amp;" "&amp;E1099&amp;" "&amp;F1099&amp;" "&amp;G1099&amp;" "&amp;H1099&amp;" "&amp;J1099))),OR(Search!$C$8="",ISNUMBER(SEARCH(Search!$C$8,G1099)))),1,0)</f>
        <v>1</v>
      </c>
      <c r="M1099" s="15" t="n">
        <f aca="false">M1098+L1099</f>
        <v>1098</v>
      </c>
    </row>
    <row r="1100" customFormat="false" ht="23.85" hidden="false" customHeight="false" outlineLevel="0" collapsed="false">
      <c r="A1100" s="14" t="n">
        <v>1099</v>
      </c>
      <c r="B1100" s="15" t="s">
        <v>942</v>
      </c>
      <c r="C1100" s="15" t="s">
        <v>943</v>
      </c>
      <c r="D1100" s="16" t="s">
        <v>674</v>
      </c>
      <c r="E1100" s="16" t="s">
        <v>971</v>
      </c>
      <c r="F1100" s="15" t="s">
        <v>643</v>
      </c>
      <c r="G1100" s="15" t="s">
        <v>428</v>
      </c>
      <c r="H1100" s="15" t="s">
        <v>972</v>
      </c>
      <c r="I1100" s="17" t="n">
        <v>1500</v>
      </c>
      <c r="J1100" s="16"/>
      <c r="K1100" s="15" t="s">
        <v>947</v>
      </c>
      <c r="L1100" s="15" t="n">
        <f aca="false">IF(AND(OR(Search!$C$4="",Search!$C$4="All",B1100=Search!$C$4),OR(Search!$C$5="",Search!$C$5="All",C1100=Search!$C$5),OR(Search!$C$6="",Search!$C$6="All",D1100=Search!$C$6),OR(Search!$C$7="",ISNUMBER(SEARCH(Search!$C$7,D1100&amp;" "&amp;E1100&amp;" "&amp;F1100&amp;" "&amp;G1100&amp;" "&amp;H1100&amp;" "&amp;J1100))),OR(Search!$C$8="",ISNUMBER(SEARCH(Search!$C$8,G1100)))),1,0)</f>
        <v>1</v>
      </c>
      <c r="M1100" s="15" t="n">
        <f aca="false">M1099+L1100</f>
        <v>1099</v>
      </c>
    </row>
    <row r="1101" customFormat="false" ht="23.85" hidden="false" customHeight="false" outlineLevel="0" collapsed="false">
      <c r="A1101" s="14" t="n">
        <v>1100</v>
      </c>
      <c r="B1101" s="15" t="s">
        <v>942</v>
      </c>
      <c r="C1101" s="15" t="s">
        <v>943</v>
      </c>
      <c r="D1101" s="16" t="s">
        <v>674</v>
      </c>
      <c r="E1101" s="16" t="s">
        <v>971</v>
      </c>
      <c r="F1101" s="15" t="s">
        <v>643</v>
      </c>
      <c r="G1101" s="15" t="s">
        <v>428</v>
      </c>
      <c r="H1101" s="15" t="s">
        <v>161</v>
      </c>
      <c r="I1101" s="17" t="n">
        <v>1375</v>
      </c>
      <c r="J1101" s="16"/>
      <c r="K1101" s="15" t="s">
        <v>947</v>
      </c>
      <c r="L1101" s="15" t="n">
        <f aca="false">IF(AND(OR(Search!$C$4="",Search!$C$4="All",B1101=Search!$C$4),OR(Search!$C$5="",Search!$C$5="All",C1101=Search!$C$5),OR(Search!$C$6="",Search!$C$6="All",D1101=Search!$C$6),OR(Search!$C$7="",ISNUMBER(SEARCH(Search!$C$7,D1101&amp;" "&amp;E1101&amp;" "&amp;F1101&amp;" "&amp;G1101&amp;" "&amp;H1101&amp;" "&amp;J1101))),OR(Search!$C$8="",ISNUMBER(SEARCH(Search!$C$8,G1101)))),1,0)</f>
        <v>1</v>
      </c>
      <c r="M1101" s="15" t="n">
        <f aca="false">M1100+L1101</f>
        <v>1100</v>
      </c>
    </row>
    <row r="1102" customFormat="false" ht="23.85" hidden="false" customHeight="false" outlineLevel="0" collapsed="false">
      <c r="A1102" s="14" t="n">
        <v>1101</v>
      </c>
      <c r="B1102" s="15" t="s">
        <v>942</v>
      </c>
      <c r="C1102" s="15" t="s">
        <v>943</v>
      </c>
      <c r="D1102" s="16" t="s">
        <v>674</v>
      </c>
      <c r="E1102" s="16" t="s">
        <v>971</v>
      </c>
      <c r="F1102" s="15" t="s">
        <v>643</v>
      </c>
      <c r="G1102" s="15" t="s">
        <v>443</v>
      </c>
      <c r="H1102" s="15" t="s">
        <v>972</v>
      </c>
      <c r="I1102" s="17" t="n">
        <v>1350</v>
      </c>
      <c r="J1102" s="16"/>
      <c r="K1102" s="15" t="s">
        <v>947</v>
      </c>
      <c r="L1102" s="15" t="n">
        <f aca="false">IF(AND(OR(Search!$C$4="",Search!$C$4="All",B1102=Search!$C$4),OR(Search!$C$5="",Search!$C$5="All",C1102=Search!$C$5),OR(Search!$C$6="",Search!$C$6="All",D1102=Search!$C$6),OR(Search!$C$7="",ISNUMBER(SEARCH(Search!$C$7,D1102&amp;" "&amp;E1102&amp;" "&amp;F1102&amp;" "&amp;G1102&amp;" "&amp;H1102&amp;" "&amp;J1102))),OR(Search!$C$8="",ISNUMBER(SEARCH(Search!$C$8,G1102)))),1,0)</f>
        <v>1</v>
      </c>
      <c r="M1102" s="15" t="n">
        <f aca="false">M1101+L1102</f>
        <v>1101</v>
      </c>
    </row>
    <row r="1103" customFormat="false" ht="23.85" hidden="false" customHeight="false" outlineLevel="0" collapsed="false">
      <c r="A1103" s="14" t="n">
        <v>1102</v>
      </c>
      <c r="B1103" s="15" t="s">
        <v>942</v>
      </c>
      <c r="C1103" s="15" t="s">
        <v>943</v>
      </c>
      <c r="D1103" s="16" t="s">
        <v>674</v>
      </c>
      <c r="E1103" s="16" t="s">
        <v>971</v>
      </c>
      <c r="F1103" s="15" t="s">
        <v>643</v>
      </c>
      <c r="G1103" s="15" t="s">
        <v>443</v>
      </c>
      <c r="H1103" s="15" t="s">
        <v>161</v>
      </c>
      <c r="I1103" s="17" t="n">
        <v>1265</v>
      </c>
      <c r="J1103" s="16"/>
      <c r="K1103" s="15" t="s">
        <v>947</v>
      </c>
      <c r="L1103" s="15" t="n">
        <f aca="false">IF(AND(OR(Search!$C$4="",Search!$C$4="All",B1103=Search!$C$4),OR(Search!$C$5="",Search!$C$5="All",C1103=Search!$C$5),OR(Search!$C$6="",Search!$C$6="All",D1103=Search!$C$6),OR(Search!$C$7="",ISNUMBER(SEARCH(Search!$C$7,D1103&amp;" "&amp;E1103&amp;" "&amp;F1103&amp;" "&amp;G1103&amp;" "&amp;H1103&amp;" "&amp;J1103))),OR(Search!$C$8="",ISNUMBER(SEARCH(Search!$C$8,G1103)))),1,0)</f>
        <v>1</v>
      </c>
      <c r="M1103" s="15" t="n">
        <f aca="false">M1102+L1103</f>
        <v>1102</v>
      </c>
    </row>
    <row r="1104" customFormat="false" ht="23.85" hidden="false" customHeight="false" outlineLevel="0" collapsed="false">
      <c r="A1104" s="14" t="n">
        <v>1103</v>
      </c>
      <c r="B1104" s="15" t="s">
        <v>942</v>
      </c>
      <c r="C1104" s="15" t="s">
        <v>943</v>
      </c>
      <c r="D1104" s="16" t="s">
        <v>674</v>
      </c>
      <c r="E1104" s="16" t="s">
        <v>971</v>
      </c>
      <c r="F1104" s="15" t="s">
        <v>676</v>
      </c>
      <c r="G1104" s="15" t="s">
        <v>427</v>
      </c>
      <c r="H1104" s="15" t="s">
        <v>946</v>
      </c>
      <c r="I1104" s="17" t="n">
        <v>1400</v>
      </c>
      <c r="J1104" s="16"/>
      <c r="K1104" s="15" t="s">
        <v>947</v>
      </c>
      <c r="L1104" s="15" t="n">
        <f aca="false">IF(AND(OR(Search!$C$4="",Search!$C$4="All",B1104=Search!$C$4),OR(Search!$C$5="",Search!$C$5="All",C1104=Search!$C$5),OR(Search!$C$6="",Search!$C$6="All",D1104=Search!$C$6),OR(Search!$C$7="",ISNUMBER(SEARCH(Search!$C$7,D1104&amp;" "&amp;E1104&amp;" "&amp;F1104&amp;" "&amp;G1104&amp;" "&amp;H1104&amp;" "&amp;J1104))),OR(Search!$C$8="",ISNUMBER(SEARCH(Search!$C$8,G1104)))),1,0)</f>
        <v>1</v>
      </c>
      <c r="M1104" s="15" t="n">
        <f aca="false">M1103+L1104</f>
        <v>1103</v>
      </c>
    </row>
    <row r="1105" customFormat="false" ht="23.85" hidden="false" customHeight="false" outlineLevel="0" collapsed="false">
      <c r="A1105" s="14" t="n">
        <v>1104</v>
      </c>
      <c r="B1105" s="15" t="s">
        <v>942</v>
      </c>
      <c r="C1105" s="15" t="s">
        <v>943</v>
      </c>
      <c r="D1105" s="16" t="s">
        <v>674</v>
      </c>
      <c r="E1105" s="16" t="s">
        <v>971</v>
      </c>
      <c r="F1105" s="15" t="s">
        <v>676</v>
      </c>
      <c r="G1105" s="15" t="s">
        <v>443</v>
      </c>
      <c r="H1105" s="15" t="s">
        <v>946</v>
      </c>
      <c r="I1105" s="17" t="n">
        <v>1475</v>
      </c>
      <c r="J1105" s="16"/>
      <c r="K1105" s="15" t="s">
        <v>947</v>
      </c>
      <c r="L1105" s="15" t="n">
        <f aca="false">IF(AND(OR(Search!$C$4="",Search!$C$4="All",B1105=Search!$C$4),OR(Search!$C$5="",Search!$C$5="All",C1105=Search!$C$5),OR(Search!$C$6="",Search!$C$6="All",D1105=Search!$C$6),OR(Search!$C$7="",ISNUMBER(SEARCH(Search!$C$7,D1105&amp;" "&amp;E1105&amp;" "&amp;F1105&amp;" "&amp;G1105&amp;" "&amp;H1105&amp;" "&amp;J1105))),OR(Search!$C$8="",ISNUMBER(SEARCH(Search!$C$8,G1105)))),1,0)</f>
        <v>1</v>
      </c>
      <c r="M1105" s="15" t="n">
        <f aca="false">M1104+L1105</f>
        <v>1104</v>
      </c>
    </row>
    <row r="1106" customFormat="false" ht="23.85" hidden="false" customHeight="false" outlineLevel="0" collapsed="false">
      <c r="A1106" s="14" t="n">
        <v>1105</v>
      </c>
      <c r="B1106" s="15" t="s">
        <v>942</v>
      </c>
      <c r="C1106" s="15" t="s">
        <v>943</v>
      </c>
      <c r="D1106" s="16" t="s">
        <v>674</v>
      </c>
      <c r="E1106" s="16" t="s">
        <v>971</v>
      </c>
      <c r="F1106" s="15" t="s">
        <v>676</v>
      </c>
      <c r="G1106" s="15" t="s">
        <v>428</v>
      </c>
      <c r="H1106" s="15" t="s">
        <v>946</v>
      </c>
      <c r="I1106" s="17" t="n">
        <v>1650</v>
      </c>
      <c r="J1106" s="16"/>
      <c r="K1106" s="15" t="s">
        <v>947</v>
      </c>
      <c r="L1106" s="15" t="n">
        <f aca="false">IF(AND(OR(Search!$C$4="",Search!$C$4="All",B1106=Search!$C$4),OR(Search!$C$5="",Search!$C$5="All",C1106=Search!$C$5),OR(Search!$C$6="",Search!$C$6="All",D1106=Search!$C$6),OR(Search!$C$7="",ISNUMBER(SEARCH(Search!$C$7,D1106&amp;" "&amp;E1106&amp;" "&amp;F1106&amp;" "&amp;G1106&amp;" "&amp;H1106&amp;" "&amp;J1106))),OR(Search!$C$8="",ISNUMBER(SEARCH(Search!$C$8,G1106)))),1,0)</f>
        <v>1</v>
      </c>
      <c r="M1106" s="15" t="n">
        <f aca="false">M1105+L1106</f>
        <v>1105</v>
      </c>
    </row>
    <row r="1107" customFormat="false" ht="23.85" hidden="false" customHeight="false" outlineLevel="0" collapsed="false">
      <c r="A1107" s="14" t="n">
        <v>1106</v>
      </c>
      <c r="B1107" s="15" t="s">
        <v>942</v>
      </c>
      <c r="C1107" s="15" t="s">
        <v>565</v>
      </c>
      <c r="D1107" s="16" t="s">
        <v>973</v>
      </c>
      <c r="E1107" s="16" t="s">
        <v>971</v>
      </c>
      <c r="F1107" s="15"/>
      <c r="G1107" s="15" t="s">
        <v>974</v>
      </c>
      <c r="H1107" s="15" t="s">
        <v>946</v>
      </c>
      <c r="I1107" s="17" t="n">
        <v>550</v>
      </c>
      <c r="J1107" s="16"/>
      <c r="K1107" s="15" t="s">
        <v>947</v>
      </c>
      <c r="L1107" s="15" t="n">
        <f aca="false">IF(AND(OR(Search!$C$4="",Search!$C$4="All",B1107=Search!$C$4),OR(Search!$C$5="",Search!$C$5="All",C1107=Search!$C$5),OR(Search!$C$6="",Search!$C$6="All",D1107=Search!$C$6),OR(Search!$C$7="",ISNUMBER(SEARCH(Search!$C$7,D1107&amp;" "&amp;E1107&amp;" "&amp;F1107&amp;" "&amp;G1107&amp;" "&amp;H1107&amp;" "&amp;J1107))),OR(Search!$C$8="",ISNUMBER(SEARCH(Search!$C$8,G1107)))),1,0)</f>
        <v>1</v>
      </c>
      <c r="M1107" s="15" t="n">
        <f aca="false">M1106+L1107</f>
        <v>1106</v>
      </c>
    </row>
    <row r="1108" customFormat="false" ht="23.85" hidden="false" customHeight="false" outlineLevel="0" collapsed="false">
      <c r="A1108" s="14" t="n">
        <v>1107</v>
      </c>
      <c r="B1108" s="15" t="s">
        <v>942</v>
      </c>
      <c r="C1108" s="15" t="s">
        <v>565</v>
      </c>
      <c r="D1108" s="16" t="s">
        <v>975</v>
      </c>
      <c r="E1108" s="16" t="s">
        <v>971</v>
      </c>
      <c r="F1108" s="15"/>
      <c r="G1108" s="15" t="s">
        <v>963</v>
      </c>
      <c r="H1108" s="15" t="s">
        <v>946</v>
      </c>
      <c r="I1108" s="17" t="n">
        <v>750</v>
      </c>
      <c r="J1108" s="16"/>
      <c r="K1108" s="15" t="s">
        <v>947</v>
      </c>
      <c r="L1108" s="15" t="n">
        <f aca="false">IF(AND(OR(Search!$C$4="",Search!$C$4="All",B1108=Search!$C$4),OR(Search!$C$5="",Search!$C$5="All",C1108=Search!$C$5),OR(Search!$C$6="",Search!$C$6="All",D1108=Search!$C$6),OR(Search!$C$7="",ISNUMBER(SEARCH(Search!$C$7,D1108&amp;" "&amp;E1108&amp;" "&amp;F1108&amp;" "&amp;G1108&amp;" "&amp;H1108&amp;" "&amp;J1108))),OR(Search!$C$8="",ISNUMBER(SEARCH(Search!$C$8,G1108)))),1,0)</f>
        <v>1</v>
      </c>
      <c r="M1108" s="15" t="n">
        <f aca="false">M1107+L1108</f>
        <v>1107</v>
      </c>
    </row>
    <row r="1109" customFormat="false" ht="23.85" hidden="false" customHeight="false" outlineLevel="0" collapsed="false">
      <c r="A1109" s="14" t="n">
        <v>1108</v>
      </c>
      <c r="B1109" s="15" t="s">
        <v>942</v>
      </c>
      <c r="C1109" s="15" t="s">
        <v>565</v>
      </c>
      <c r="D1109" s="16" t="s">
        <v>976</v>
      </c>
      <c r="E1109" s="16" t="s">
        <v>971</v>
      </c>
      <c r="F1109" s="15"/>
      <c r="G1109" s="15" t="s">
        <v>966</v>
      </c>
      <c r="H1109" s="15" t="s">
        <v>946</v>
      </c>
      <c r="I1109" s="17" t="n">
        <v>1025</v>
      </c>
      <c r="J1109" s="16"/>
      <c r="K1109" s="15" t="s">
        <v>947</v>
      </c>
      <c r="L1109" s="15" t="n">
        <f aca="false">IF(AND(OR(Search!$C$4="",Search!$C$4="All",B1109=Search!$C$4),OR(Search!$C$5="",Search!$C$5="All",C1109=Search!$C$5),OR(Search!$C$6="",Search!$C$6="All",D1109=Search!$C$6),OR(Search!$C$7="",ISNUMBER(SEARCH(Search!$C$7,D1109&amp;" "&amp;E1109&amp;" "&amp;F1109&amp;" "&amp;G1109&amp;" "&amp;H1109&amp;" "&amp;J1109))),OR(Search!$C$8="",ISNUMBER(SEARCH(Search!$C$8,G1109)))),1,0)</f>
        <v>1</v>
      </c>
      <c r="M1109" s="15" t="n">
        <f aca="false">M1108+L1109</f>
        <v>1108</v>
      </c>
    </row>
    <row r="1110" customFormat="false" ht="23.85" hidden="false" customHeight="false" outlineLevel="0" collapsed="false">
      <c r="A1110" s="14" t="n">
        <v>1109</v>
      </c>
      <c r="B1110" s="15" t="s">
        <v>942</v>
      </c>
      <c r="C1110" s="15" t="s">
        <v>565</v>
      </c>
      <c r="D1110" s="16" t="s">
        <v>977</v>
      </c>
      <c r="E1110" s="16" t="s">
        <v>971</v>
      </c>
      <c r="F1110" s="15"/>
      <c r="G1110" s="15" t="s">
        <v>978</v>
      </c>
      <c r="H1110" s="15" t="s">
        <v>946</v>
      </c>
      <c r="I1110" s="17" t="n">
        <v>1175</v>
      </c>
      <c r="J1110" s="16"/>
      <c r="K1110" s="15" t="s">
        <v>947</v>
      </c>
      <c r="L1110" s="15" t="n">
        <f aca="false">IF(AND(OR(Search!$C$4="",Search!$C$4="All",B1110=Search!$C$4),OR(Search!$C$5="",Search!$C$5="All",C1110=Search!$C$5),OR(Search!$C$6="",Search!$C$6="All",D1110=Search!$C$6),OR(Search!$C$7="",ISNUMBER(SEARCH(Search!$C$7,D1110&amp;" "&amp;E1110&amp;" "&amp;F1110&amp;" "&amp;G1110&amp;" "&amp;H1110&amp;" "&amp;J1110))),OR(Search!$C$8="",ISNUMBER(SEARCH(Search!$C$8,G1110)))),1,0)</f>
        <v>1</v>
      </c>
      <c r="M1110" s="15" t="n">
        <f aca="false">M1109+L1110</f>
        <v>1109</v>
      </c>
    </row>
    <row r="1111" customFormat="false" ht="23.85" hidden="false" customHeight="false" outlineLevel="0" collapsed="false">
      <c r="A1111" s="14" t="n">
        <v>1110</v>
      </c>
      <c r="B1111" s="15" t="s">
        <v>942</v>
      </c>
      <c r="C1111" s="15" t="s">
        <v>565</v>
      </c>
      <c r="D1111" s="16" t="s">
        <v>979</v>
      </c>
      <c r="E1111" s="16" t="s">
        <v>971</v>
      </c>
      <c r="F1111" s="15"/>
      <c r="G1111" s="15" t="s">
        <v>970</v>
      </c>
      <c r="H1111" s="15" t="s">
        <v>946</v>
      </c>
      <c r="I1111" s="17" t="n">
        <v>1175</v>
      </c>
      <c r="J1111" s="16"/>
      <c r="K1111" s="15" t="s">
        <v>947</v>
      </c>
      <c r="L1111" s="15" t="n">
        <f aca="false">IF(AND(OR(Search!$C$4="",Search!$C$4="All",B1111=Search!$C$4),OR(Search!$C$5="",Search!$C$5="All",C1111=Search!$C$5),OR(Search!$C$6="",Search!$C$6="All",D1111=Search!$C$6),OR(Search!$C$7="",ISNUMBER(SEARCH(Search!$C$7,D1111&amp;" "&amp;E1111&amp;" "&amp;F1111&amp;" "&amp;G1111&amp;" "&amp;H1111&amp;" "&amp;J1111))),OR(Search!$C$8="",ISNUMBER(SEARCH(Search!$C$8,G1111)))),1,0)</f>
        <v>1</v>
      </c>
      <c r="M1111" s="15" t="n">
        <f aca="false">M1110+L1111</f>
        <v>1110</v>
      </c>
    </row>
    <row r="1112" customFormat="false" ht="15" hidden="false" customHeight="false" outlineLevel="0" collapsed="false">
      <c r="A1112" s="14" t="n">
        <v>1111</v>
      </c>
      <c r="B1112" s="15" t="s">
        <v>942</v>
      </c>
      <c r="C1112" s="15" t="s">
        <v>943</v>
      </c>
      <c r="D1112" s="16" t="s">
        <v>677</v>
      </c>
      <c r="E1112" s="16" t="s">
        <v>980</v>
      </c>
      <c r="F1112" s="15" t="s">
        <v>192</v>
      </c>
      <c r="G1112" s="15" t="s">
        <v>427</v>
      </c>
      <c r="H1112" s="15" t="s">
        <v>946</v>
      </c>
      <c r="I1112" s="17" t="n">
        <v>850</v>
      </c>
      <c r="J1112" s="16"/>
      <c r="K1112" s="15" t="s">
        <v>947</v>
      </c>
      <c r="L1112" s="15" t="n">
        <f aca="false">IF(AND(OR(Search!$C$4="",Search!$C$4="All",B1112=Search!$C$4),OR(Search!$C$5="",Search!$C$5="All",C1112=Search!$C$5),OR(Search!$C$6="",Search!$C$6="All",D1112=Search!$C$6),OR(Search!$C$7="",ISNUMBER(SEARCH(Search!$C$7,D1112&amp;" "&amp;E1112&amp;" "&amp;F1112&amp;" "&amp;G1112&amp;" "&amp;H1112&amp;" "&amp;J1112))),OR(Search!$C$8="",ISNUMBER(SEARCH(Search!$C$8,G1112)))),1,0)</f>
        <v>1</v>
      </c>
      <c r="M1112" s="15" t="n">
        <f aca="false">M1111+L1112</f>
        <v>1111</v>
      </c>
    </row>
    <row r="1113" customFormat="false" ht="15" hidden="false" customHeight="false" outlineLevel="0" collapsed="false">
      <c r="A1113" s="14" t="n">
        <v>1112</v>
      </c>
      <c r="B1113" s="15" t="s">
        <v>942</v>
      </c>
      <c r="C1113" s="15" t="s">
        <v>943</v>
      </c>
      <c r="D1113" s="16" t="s">
        <v>677</v>
      </c>
      <c r="E1113" s="16" t="s">
        <v>980</v>
      </c>
      <c r="F1113" s="15" t="s">
        <v>192</v>
      </c>
      <c r="G1113" s="15" t="s">
        <v>428</v>
      </c>
      <c r="H1113" s="15" t="s">
        <v>946</v>
      </c>
      <c r="I1113" s="17" t="n">
        <v>1025</v>
      </c>
      <c r="J1113" s="16"/>
      <c r="K1113" s="15" t="s">
        <v>947</v>
      </c>
      <c r="L1113" s="15" t="n">
        <f aca="false">IF(AND(OR(Search!$C$4="",Search!$C$4="All",B1113=Search!$C$4),OR(Search!$C$5="",Search!$C$5="All",C1113=Search!$C$5),OR(Search!$C$6="",Search!$C$6="All",D1113=Search!$C$6),OR(Search!$C$7="",ISNUMBER(SEARCH(Search!$C$7,D1113&amp;" "&amp;E1113&amp;" "&amp;F1113&amp;" "&amp;G1113&amp;" "&amp;H1113&amp;" "&amp;J1113))),OR(Search!$C$8="",ISNUMBER(SEARCH(Search!$C$8,G1113)))),1,0)</f>
        <v>1</v>
      </c>
      <c r="M1113" s="15" t="n">
        <f aca="false">M1112+L1113</f>
        <v>1112</v>
      </c>
    </row>
    <row r="1114" customFormat="false" ht="15" hidden="false" customHeight="false" outlineLevel="0" collapsed="false">
      <c r="A1114" s="14" t="n">
        <v>1113</v>
      </c>
      <c r="B1114" s="15" t="s">
        <v>942</v>
      </c>
      <c r="C1114" s="15" t="s">
        <v>943</v>
      </c>
      <c r="D1114" s="16" t="s">
        <v>677</v>
      </c>
      <c r="E1114" s="16" t="s">
        <v>980</v>
      </c>
      <c r="F1114" s="15" t="s">
        <v>649</v>
      </c>
      <c r="G1114" s="15" t="s">
        <v>427</v>
      </c>
      <c r="H1114" s="15" t="s">
        <v>946</v>
      </c>
      <c r="I1114" s="17" t="n">
        <v>1350</v>
      </c>
      <c r="J1114" s="16"/>
      <c r="K1114" s="15" t="s">
        <v>947</v>
      </c>
      <c r="L1114" s="15" t="n">
        <f aca="false">IF(AND(OR(Search!$C$4="",Search!$C$4="All",B1114=Search!$C$4),OR(Search!$C$5="",Search!$C$5="All",C1114=Search!$C$5),OR(Search!$C$6="",Search!$C$6="All",D1114=Search!$C$6),OR(Search!$C$7="",ISNUMBER(SEARCH(Search!$C$7,D1114&amp;" "&amp;E1114&amp;" "&amp;F1114&amp;" "&amp;G1114&amp;" "&amp;H1114&amp;" "&amp;J1114))),OR(Search!$C$8="",ISNUMBER(SEARCH(Search!$C$8,G1114)))),1,0)</f>
        <v>1</v>
      </c>
      <c r="M1114" s="15" t="n">
        <f aca="false">M1113+L1114</f>
        <v>1113</v>
      </c>
    </row>
    <row r="1115" customFormat="false" ht="15" hidden="false" customHeight="false" outlineLevel="0" collapsed="false">
      <c r="A1115" s="14" t="n">
        <v>1114</v>
      </c>
      <c r="B1115" s="15" t="s">
        <v>942</v>
      </c>
      <c r="C1115" s="15" t="s">
        <v>943</v>
      </c>
      <c r="D1115" s="16" t="s">
        <v>677</v>
      </c>
      <c r="E1115" s="16" t="s">
        <v>980</v>
      </c>
      <c r="F1115" s="15" t="s">
        <v>649</v>
      </c>
      <c r="G1115" s="15" t="s">
        <v>428</v>
      </c>
      <c r="H1115" s="15" t="s">
        <v>946</v>
      </c>
      <c r="I1115" s="17" t="n">
        <v>1550</v>
      </c>
      <c r="J1115" s="16"/>
      <c r="K1115" s="15" t="s">
        <v>947</v>
      </c>
      <c r="L1115" s="15" t="n">
        <f aca="false">IF(AND(OR(Search!$C$4="",Search!$C$4="All",B1115=Search!$C$4),OR(Search!$C$5="",Search!$C$5="All",C1115=Search!$C$5),OR(Search!$C$6="",Search!$C$6="All",D1115=Search!$C$6),OR(Search!$C$7="",ISNUMBER(SEARCH(Search!$C$7,D1115&amp;" "&amp;E1115&amp;" "&amp;F1115&amp;" "&amp;G1115&amp;" "&amp;H1115&amp;" "&amp;J1115))),OR(Search!$C$8="",ISNUMBER(SEARCH(Search!$C$8,G1115)))),1,0)</f>
        <v>1</v>
      </c>
      <c r="M1115" s="15" t="n">
        <f aca="false">M1114+L1115</f>
        <v>1114</v>
      </c>
    </row>
    <row r="1116" customFormat="false" ht="15" hidden="false" customHeight="false" outlineLevel="0" collapsed="false">
      <c r="A1116" s="14" t="n">
        <v>1115</v>
      </c>
      <c r="B1116" s="15" t="s">
        <v>942</v>
      </c>
      <c r="C1116" s="15" t="s">
        <v>943</v>
      </c>
      <c r="D1116" s="16" t="s">
        <v>981</v>
      </c>
      <c r="E1116" s="16" t="s">
        <v>982</v>
      </c>
      <c r="F1116" s="15" t="s">
        <v>192</v>
      </c>
      <c r="G1116" s="15" t="s">
        <v>427</v>
      </c>
      <c r="H1116" s="15" t="s">
        <v>946</v>
      </c>
      <c r="I1116" s="17" t="n">
        <v>850</v>
      </c>
      <c r="J1116" s="16"/>
      <c r="K1116" s="15" t="s">
        <v>947</v>
      </c>
      <c r="L1116" s="15" t="n">
        <f aca="false">IF(AND(OR(Search!$C$4="",Search!$C$4="All",B1116=Search!$C$4),OR(Search!$C$5="",Search!$C$5="All",C1116=Search!$C$5),OR(Search!$C$6="",Search!$C$6="All",D1116=Search!$C$6),OR(Search!$C$7="",ISNUMBER(SEARCH(Search!$C$7,D1116&amp;" "&amp;E1116&amp;" "&amp;F1116&amp;" "&amp;G1116&amp;" "&amp;H1116&amp;" "&amp;J1116))),OR(Search!$C$8="",ISNUMBER(SEARCH(Search!$C$8,G1116)))),1,0)</f>
        <v>1</v>
      </c>
      <c r="M1116" s="15" t="n">
        <f aca="false">M1115+L1116</f>
        <v>1115</v>
      </c>
    </row>
    <row r="1117" customFormat="false" ht="15" hidden="false" customHeight="false" outlineLevel="0" collapsed="false">
      <c r="A1117" s="14" t="n">
        <v>1116</v>
      </c>
      <c r="B1117" s="15" t="s">
        <v>942</v>
      </c>
      <c r="C1117" s="15" t="s">
        <v>943</v>
      </c>
      <c r="D1117" s="16" t="s">
        <v>981</v>
      </c>
      <c r="E1117" s="16" t="s">
        <v>982</v>
      </c>
      <c r="F1117" s="15" t="s">
        <v>192</v>
      </c>
      <c r="G1117" s="15" t="s">
        <v>428</v>
      </c>
      <c r="H1117" s="15" t="s">
        <v>946</v>
      </c>
      <c r="I1117" s="17" t="n">
        <v>1025</v>
      </c>
      <c r="J1117" s="16"/>
      <c r="K1117" s="15" t="s">
        <v>947</v>
      </c>
      <c r="L1117" s="15" t="n">
        <f aca="false">IF(AND(OR(Search!$C$4="",Search!$C$4="All",B1117=Search!$C$4),OR(Search!$C$5="",Search!$C$5="All",C1117=Search!$C$5),OR(Search!$C$6="",Search!$C$6="All",D1117=Search!$C$6),OR(Search!$C$7="",ISNUMBER(SEARCH(Search!$C$7,D1117&amp;" "&amp;E1117&amp;" "&amp;F1117&amp;" "&amp;G1117&amp;" "&amp;H1117&amp;" "&amp;J1117))),OR(Search!$C$8="",ISNUMBER(SEARCH(Search!$C$8,G1117)))),1,0)</f>
        <v>1</v>
      </c>
      <c r="M1117" s="15" t="n">
        <f aca="false">M1116+L1117</f>
        <v>1116</v>
      </c>
    </row>
    <row r="1118" customFormat="false" ht="15" hidden="false" customHeight="false" outlineLevel="0" collapsed="false">
      <c r="A1118" s="14" t="n">
        <v>1117</v>
      </c>
      <c r="B1118" s="15" t="s">
        <v>942</v>
      </c>
      <c r="C1118" s="15" t="s">
        <v>943</v>
      </c>
      <c r="D1118" s="16" t="s">
        <v>981</v>
      </c>
      <c r="E1118" s="16" t="s">
        <v>982</v>
      </c>
      <c r="F1118" s="15" t="s">
        <v>649</v>
      </c>
      <c r="G1118" s="15" t="s">
        <v>427</v>
      </c>
      <c r="H1118" s="15" t="s">
        <v>946</v>
      </c>
      <c r="I1118" s="17" t="n">
        <v>1350</v>
      </c>
      <c r="J1118" s="16"/>
      <c r="K1118" s="15" t="s">
        <v>947</v>
      </c>
      <c r="L1118" s="15" t="n">
        <f aca="false">IF(AND(OR(Search!$C$4="",Search!$C$4="All",B1118=Search!$C$4),OR(Search!$C$5="",Search!$C$5="All",C1118=Search!$C$5),OR(Search!$C$6="",Search!$C$6="All",D1118=Search!$C$6),OR(Search!$C$7="",ISNUMBER(SEARCH(Search!$C$7,D1118&amp;" "&amp;E1118&amp;" "&amp;F1118&amp;" "&amp;G1118&amp;" "&amp;H1118&amp;" "&amp;J1118))),OR(Search!$C$8="",ISNUMBER(SEARCH(Search!$C$8,G1118)))),1,0)</f>
        <v>1</v>
      </c>
      <c r="M1118" s="15" t="n">
        <f aca="false">M1117+L1118</f>
        <v>1117</v>
      </c>
    </row>
    <row r="1119" customFormat="false" ht="15" hidden="false" customHeight="false" outlineLevel="0" collapsed="false">
      <c r="A1119" s="14" t="n">
        <v>1118</v>
      </c>
      <c r="B1119" s="15" t="s">
        <v>942</v>
      </c>
      <c r="C1119" s="15" t="s">
        <v>943</v>
      </c>
      <c r="D1119" s="16" t="s">
        <v>981</v>
      </c>
      <c r="E1119" s="16" t="s">
        <v>982</v>
      </c>
      <c r="F1119" s="15" t="s">
        <v>649</v>
      </c>
      <c r="G1119" s="15" t="s">
        <v>428</v>
      </c>
      <c r="H1119" s="15" t="s">
        <v>946</v>
      </c>
      <c r="I1119" s="17" t="n">
        <v>1550</v>
      </c>
      <c r="J1119" s="16"/>
      <c r="K1119" s="15" t="s">
        <v>947</v>
      </c>
      <c r="L1119" s="15" t="n">
        <f aca="false">IF(AND(OR(Search!$C$4="",Search!$C$4="All",B1119=Search!$C$4),OR(Search!$C$5="",Search!$C$5="All",C1119=Search!$C$5),OR(Search!$C$6="",Search!$C$6="All",D1119=Search!$C$6),OR(Search!$C$7="",ISNUMBER(SEARCH(Search!$C$7,D1119&amp;" "&amp;E1119&amp;" "&amp;F1119&amp;" "&amp;G1119&amp;" "&amp;H1119&amp;" "&amp;J1119))),OR(Search!$C$8="",ISNUMBER(SEARCH(Search!$C$8,G1119)))),1,0)</f>
        <v>1</v>
      </c>
      <c r="M1119" s="15" t="n">
        <f aca="false">M1118+L1119</f>
        <v>1118</v>
      </c>
    </row>
    <row r="1120" customFormat="false" ht="15" hidden="false" customHeight="false" outlineLevel="0" collapsed="false">
      <c r="A1120" s="14" t="n">
        <v>1119</v>
      </c>
      <c r="B1120" s="15" t="s">
        <v>942</v>
      </c>
      <c r="C1120" s="15" t="s">
        <v>943</v>
      </c>
      <c r="D1120" s="16" t="s">
        <v>679</v>
      </c>
      <c r="E1120" s="16" t="s">
        <v>983</v>
      </c>
      <c r="F1120" s="15" t="s">
        <v>192</v>
      </c>
      <c r="G1120" s="15" t="s">
        <v>427</v>
      </c>
      <c r="H1120" s="15" t="s">
        <v>946</v>
      </c>
      <c r="I1120" s="17" t="n">
        <v>850</v>
      </c>
      <c r="J1120" s="16"/>
      <c r="K1120" s="15" t="s">
        <v>947</v>
      </c>
      <c r="L1120" s="15" t="n">
        <f aca="false">IF(AND(OR(Search!$C$4="",Search!$C$4="All",B1120=Search!$C$4),OR(Search!$C$5="",Search!$C$5="All",C1120=Search!$C$5),OR(Search!$C$6="",Search!$C$6="All",D1120=Search!$C$6),OR(Search!$C$7="",ISNUMBER(SEARCH(Search!$C$7,D1120&amp;" "&amp;E1120&amp;" "&amp;F1120&amp;" "&amp;G1120&amp;" "&amp;H1120&amp;" "&amp;J1120))),OR(Search!$C$8="",ISNUMBER(SEARCH(Search!$C$8,G1120)))),1,0)</f>
        <v>1</v>
      </c>
      <c r="M1120" s="15" t="n">
        <f aca="false">M1119+L1120</f>
        <v>1119</v>
      </c>
    </row>
    <row r="1121" customFormat="false" ht="15" hidden="false" customHeight="false" outlineLevel="0" collapsed="false">
      <c r="A1121" s="14" t="n">
        <v>1120</v>
      </c>
      <c r="B1121" s="15" t="s">
        <v>942</v>
      </c>
      <c r="C1121" s="15" t="s">
        <v>943</v>
      </c>
      <c r="D1121" s="16" t="s">
        <v>679</v>
      </c>
      <c r="E1121" s="16" t="s">
        <v>983</v>
      </c>
      <c r="F1121" s="15" t="s">
        <v>192</v>
      </c>
      <c r="G1121" s="15" t="s">
        <v>428</v>
      </c>
      <c r="H1121" s="15" t="s">
        <v>946</v>
      </c>
      <c r="I1121" s="17" t="n">
        <v>1025</v>
      </c>
      <c r="J1121" s="16"/>
      <c r="K1121" s="15" t="s">
        <v>947</v>
      </c>
      <c r="L1121" s="15" t="n">
        <f aca="false">IF(AND(OR(Search!$C$4="",Search!$C$4="All",B1121=Search!$C$4),OR(Search!$C$5="",Search!$C$5="All",C1121=Search!$C$5),OR(Search!$C$6="",Search!$C$6="All",D1121=Search!$C$6),OR(Search!$C$7="",ISNUMBER(SEARCH(Search!$C$7,D1121&amp;" "&amp;E1121&amp;" "&amp;F1121&amp;" "&amp;G1121&amp;" "&amp;H1121&amp;" "&amp;J1121))),OR(Search!$C$8="",ISNUMBER(SEARCH(Search!$C$8,G1121)))),1,0)</f>
        <v>1</v>
      </c>
      <c r="M1121" s="15" t="n">
        <f aca="false">M1120+L1121</f>
        <v>1120</v>
      </c>
    </row>
    <row r="1122" customFormat="false" ht="15" hidden="false" customHeight="false" outlineLevel="0" collapsed="false">
      <c r="A1122" s="14" t="n">
        <v>1121</v>
      </c>
      <c r="B1122" s="15" t="s">
        <v>942</v>
      </c>
      <c r="C1122" s="15" t="s">
        <v>943</v>
      </c>
      <c r="D1122" s="16" t="s">
        <v>679</v>
      </c>
      <c r="E1122" s="16" t="s">
        <v>983</v>
      </c>
      <c r="F1122" s="15" t="s">
        <v>649</v>
      </c>
      <c r="G1122" s="15" t="s">
        <v>427</v>
      </c>
      <c r="H1122" s="15" t="s">
        <v>946</v>
      </c>
      <c r="I1122" s="17" t="n">
        <v>1350</v>
      </c>
      <c r="J1122" s="16"/>
      <c r="K1122" s="15" t="s">
        <v>947</v>
      </c>
      <c r="L1122" s="15" t="n">
        <f aca="false">IF(AND(OR(Search!$C$4="",Search!$C$4="All",B1122=Search!$C$4),OR(Search!$C$5="",Search!$C$5="All",C1122=Search!$C$5),OR(Search!$C$6="",Search!$C$6="All",D1122=Search!$C$6),OR(Search!$C$7="",ISNUMBER(SEARCH(Search!$C$7,D1122&amp;" "&amp;E1122&amp;" "&amp;F1122&amp;" "&amp;G1122&amp;" "&amp;H1122&amp;" "&amp;J1122))),OR(Search!$C$8="",ISNUMBER(SEARCH(Search!$C$8,G1122)))),1,0)</f>
        <v>1</v>
      </c>
      <c r="M1122" s="15" t="n">
        <f aca="false">M1121+L1122</f>
        <v>1121</v>
      </c>
    </row>
    <row r="1123" customFormat="false" ht="15" hidden="false" customHeight="false" outlineLevel="0" collapsed="false">
      <c r="A1123" s="14" t="n">
        <v>1122</v>
      </c>
      <c r="B1123" s="15" t="s">
        <v>942</v>
      </c>
      <c r="C1123" s="15" t="s">
        <v>943</v>
      </c>
      <c r="D1123" s="16" t="s">
        <v>679</v>
      </c>
      <c r="E1123" s="16" t="s">
        <v>983</v>
      </c>
      <c r="F1123" s="15" t="s">
        <v>649</v>
      </c>
      <c r="G1123" s="15" t="s">
        <v>428</v>
      </c>
      <c r="H1123" s="15" t="s">
        <v>946</v>
      </c>
      <c r="I1123" s="17" t="n">
        <v>1550</v>
      </c>
      <c r="J1123" s="16"/>
      <c r="K1123" s="15" t="s">
        <v>947</v>
      </c>
      <c r="L1123" s="15" t="n">
        <f aca="false">IF(AND(OR(Search!$C$4="",Search!$C$4="All",B1123=Search!$C$4),OR(Search!$C$5="",Search!$C$5="All",C1123=Search!$C$5),OR(Search!$C$6="",Search!$C$6="All",D1123=Search!$C$6),OR(Search!$C$7="",ISNUMBER(SEARCH(Search!$C$7,D1123&amp;" "&amp;E1123&amp;" "&amp;F1123&amp;" "&amp;G1123&amp;" "&amp;H1123&amp;" "&amp;J1123))),OR(Search!$C$8="",ISNUMBER(SEARCH(Search!$C$8,G1123)))),1,0)</f>
        <v>1</v>
      </c>
      <c r="M1123" s="15" t="n">
        <f aca="false">M1122+L1123</f>
        <v>1122</v>
      </c>
    </row>
    <row r="1124" customFormat="false" ht="23.85" hidden="false" customHeight="false" outlineLevel="0" collapsed="false">
      <c r="A1124" s="14" t="n">
        <v>1123</v>
      </c>
      <c r="B1124" s="15" t="s">
        <v>942</v>
      </c>
      <c r="C1124" s="15" t="s">
        <v>943</v>
      </c>
      <c r="D1124" s="16" t="s">
        <v>984</v>
      </c>
      <c r="E1124" s="16" t="s">
        <v>985</v>
      </c>
      <c r="F1124" s="15" t="s">
        <v>759</v>
      </c>
      <c r="G1124" s="15" t="s">
        <v>427</v>
      </c>
      <c r="H1124" s="15" t="s">
        <v>946</v>
      </c>
      <c r="I1124" s="17" t="n">
        <v>875</v>
      </c>
      <c r="J1124" s="16"/>
      <c r="K1124" s="15" t="s">
        <v>947</v>
      </c>
      <c r="L1124" s="15" t="n">
        <f aca="false">IF(AND(OR(Search!$C$4="",Search!$C$4="All",B1124=Search!$C$4),OR(Search!$C$5="",Search!$C$5="All",C1124=Search!$C$5),OR(Search!$C$6="",Search!$C$6="All",D1124=Search!$C$6),OR(Search!$C$7="",ISNUMBER(SEARCH(Search!$C$7,D1124&amp;" "&amp;E1124&amp;" "&amp;F1124&amp;" "&amp;G1124&amp;" "&amp;H1124&amp;" "&amp;J1124))),OR(Search!$C$8="",ISNUMBER(SEARCH(Search!$C$8,G1124)))),1,0)</f>
        <v>1</v>
      </c>
      <c r="M1124" s="15" t="n">
        <f aca="false">M1123+L1124</f>
        <v>1123</v>
      </c>
    </row>
    <row r="1125" customFormat="false" ht="23.85" hidden="false" customHeight="false" outlineLevel="0" collapsed="false">
      <c r="A1125" s="14" t="n">
        <v>1124</v>
      </c>
      <c r="B1125" s="15" t="s">
        <v>942</v>
      </c>
      <c r="C1125" s="15" t="s">
        <v>943</v>
      </c>
      <c r="D1125" s="16" t="s">
        <v>984</v>
      </c>
      <c r="E1125" s="16" t="s">
        <v>985</v>
      </c>
      <c r="F1125" s="15" t="s">
        <v>759</v>
      </c>
      <c r="G1125" s="15" t="s">
        <v>428</v>
      </c>
      <c r="H1125" s="15" t="s">
        <v>946</v>
      </c>
      <c r="I1125" s="17" t="n">
        <v>1050</v>
      </c>
      <c r="J1125" s="16"/>
      <c r="K1125" s="15" t="s">
        <v>947</v>
      </c>
      <c r="L1125" s="15" t="n">
        <f aca="false">IF(AND(OR(Search!$C$4="",Search!$C$4="All",B1125=Search!$C$4),OR(Search!$C$5="",Search!$C$5="All",C1125=Search!$C$5),OR(Search!$C$6="",Search!$C$6="All",D1125=Search!$C$6),OR(Search!$C$7="",ISNUMBER(SEARCH(Search!$C$7,D1125&amp;" "&amp;E1125&amp;" "&amp;F1125&amp;" "&amp;G1125&amp;" "&amp;H1125&amp;" "&amp;J1125))),OR(Search!$C$8="",ISNUMBER(SEARCH(Search!$C$8,G1125)))),1,0)</f>
        <v>1</v>
      </c>
      <c r="M1125" s="15" t="n">
        <f aca="false">M1124+L1125</f>
        <v>1124</v>
      </c>
    </row>
    <row r="1126" customFormat="false" ht="23.85" hidden="false" customHeight="false" outlineLevel="0" collapsed="false">
      <c r="A1126" s="14" t="n">
        <v>1125</v>
      </c>
      <c r="B1126" s="15" t="s">
        <v>942</v>
      </c>
      <c r="C1126" s="15" t="s">
        <v>943</v>
      </c>
      <c r="D1126" s="16" t="s">
        <v>984</v>
      </c>
      <c r="E1126" s="16" t="s">
        <v>985</v>
      </c>
      <c r="F1126" s="15" t="s">
        <v>703</v>
      </c>
      <c r="G1126" s="15" t="s">
        <v>427</v>
      </c>
      <c r="H1126" s="15" t="s">
        <v>946</v>
      </c>
      <c r="I1126" s="17" t="n">
        <v>1775</v>
      </c>
      <c r="J1126" s="16"/>
      <c r="K1126" s="15" t="s">
        <v>947</v>
      </c>
      <c r="L1126" s="15" t="n">
        <f aca="false">IF(AND(OR(Search!$C$4="",Search!$C$4="All",B1126=Search!$C$4),OR(Search!$C$5="",Search!$C$5="All",C1126=Search!$C$5),OR(Search!$C$6="",Search!$C$6="All",D1126=Search!$C$6),OR(Search!$C$7="",ISNUMBER(SEARCH(Search!$C$7,D1126&amp;" "&amp;E1126&amp;" "&amp;F1126&amp;" "&amp;G1126&amp;" "&amp;H1126&amp;" "&amp;J1126))),OR(Search!$C$8="",ISNUMBER(SEARCH(Search!$C$8,G1126)))),1,0)</f>
        <v>1</v>
      </c>
      <c r="M1126" s="15" t="n">
        <f aca="false">M1125+L1126</f>
        <v>1125</v>
      </c>
    </row>
    <row r="1127" customFormat="false" ht="23.85" hidden="false" customHeight="false" outlineLevel="0" collapsed="false">
      <c r="A1127" s="14" t="n">
        <v>1126</v>
      </c>
      <c r="B1127" s="15" t="s">
        <v>942</v>
      </c>
      <c r="C1127" s="15" t="s">
        <v>943</v>
      </c>
      <c r="D1127" s="16" t="s">
        <v>984</v>
      </c>
      <c r="E1127" s="16" t="s">
        <v>985</v>
      </c>
      <c r="F1127" s="15" t="s">
        <v>703</v>
      </c>
      <c r="G1127" s="15" t="s">
        <v>428</v>
      </c>
      <c r="H1127" s="15" t="s">
        <v>946</v>
      </c>
      <c r="I1127" s="17" t="n">
        <v>2025</v>
      </c>
      <c r="J1127" s="16"/>
      <c r="K1127" s="15" t="s">
        <v>947</v>
      </c>
      <c r="L1127" s="15" t="n">
        <f aca="false">IF(AND(OR(Search!$C$4="",Search!$C$4="All",B1127=Search!$C$4),OR(Search!$C$5="",Search!$C$5="All",C1127=Search!$C$5),OR(Search!$C$6="",Search!$C$6="All",D1127=Search!$C$6),OR(Search!$C$7="",ISNUMBER(SEARCH(Search!$C$7,D1127&amp;" "&amp;E1127&amp;" "&amp;F1127&amp;" "&amp;G1127&amp;" "&amp;H1127&amp;" "&amp;J1127))),OR(Search!$C$8="",ISNUMBER(SEARCH(Search!$C$8,G1127)))),1,0)</f>
        <v>1</v>
      </c>
      <c r="M1127" s="15" t="n">
        <f aca="false">M1126+L1127</f>
        <v>1126</v>
      </c>
    </row>
    <row r="1128" customFormat="false" ht="23.85" hidden="false" customHeight="false" outlineLevel="0" collapsed="false">
      <c r="A1128" s="14" t="n">
        <v>1127</v>
      </c>
      <c r="B1128" s="15" t="s">
        <v>942</v>
      </c>
      <c r="C1128" s="15" t="s">
        <v>943</v>
      </c>
      <c r="D1128" s="16" t="s">
        <v>707</v>
      </c>
      <c r="E1128" s="16" t="s">
        <v>986</v>
      </c>
      <c r="F1128" s="15" t="s">
        <v>686</v>
      </c>
      <c r="G1128" s="15" t="s">
        <v>427</v>
      </c>
      <c r="H1128" s="15" t="s">
        <v>161</v>
      </c>
      <c r="I1128" s="17" t="n">
        <v>2750</v>
      </c>
      <c r="J1128" s="16"/>
      <c r="K1128" s="15" t="s">
        <v>947</v>
      </c>
      <c r="L1128" s="15" t="n">
        <f aca="false">IF(AND(OR(Search!$C$4="",Search!$C$4="All",B1128=Search!$C$4),OR(Search!$C$5="",Search!$C$5="All",C1128=Search!$C$5),OR(Search!$C$6="",Search!$C$6="All",D1128=Search!$C$6),OR(Search!$C$7="",ISNUMBER(SEARCH(Search!$C$7,D1128&amp;" "&amp;E1128&amp;" "&amp;F1128&amp;" "&amp;G1128&amp;" "&amp;H1128&amp;" "&amp;J1128))),OR(Search!$C$8="",ISNUMBER(SEARCH(Search!$C$8,G1128)))),1,0)</f>
        <v>1</v>
      </c>
      <c r="M1128" s="15" t="n">
        <f aca="false">M1127+L1128</f>
        <v>1127</v>
      </c>
    </row>
    <row r="1129" customFormat="false" ht="23.85" hidden="false" customHeight="false" outlineLevel="0" collapsed="false">
      <c r="A1129" s="14" t="n">
        <v>1128</v>
      </c>
      <c r="B1129" s="15" t="s">
        <v>942</v>
      </c>
      <c r="C1129" s="15" t="s">
        <v>943</v>
      </c>
      <c r="D1129" s="16" t="s">
        <v>707</v>
      </c>
      <c r="E1129" s="16" t="s">
        <v>986</v>
      </c>
      <c r="F1129" s="15" t="s">
        <v>686</v>
      </c>
      <c r="G1129" s="15" t="s">
        <v>428</v>
      </c>
      <c r="H1129" s="15" t="s">
        <v>161</v>
      </c>
      <c r="I1129" s="17" t="n">
        <v>3000</v>
      </c>
      <c r="J1129" s="16"/>
      <c r="K1129" s="15" t="s">
        <v>947</v>
      </c>
      <c r="L1129" s="15" t="n">
        <f aca="false">IF(AND(OR(Search!$C$4="",Search!$C$4="All",B1129=Search!$C$4),OR(Search!$C$5="",Search!$C$5="All",C1129=Search!$C$5),OR(Search!$C$6="",Search!$C$6="All",D1129=Search!$C$6),OR(Search!$C$7="",ISNUMBER(SEARCH(Search!$C$7,D1129&amp;" "&amp;E1129&amp;" "&amp;F1129&amp;" "&amp;G1129&amp;" "&amp;H1129&amp;" "&amp;J1129))),OR(Search!$C$8="",ISNUMBER(SEARCH(Search!$C$8,G1129)))),1,0)</f>
        <v>1</v>
      </c>
      <c r="M1129" s="15" t="n">
        <f aca="false">M1128+L1129</f>
        <v>1128</v>
      </c>
    </row>
    <row r="1130" customFormat="false" ht="15" hidden="false" customHeight="false" outlineLevel="0" collapsed="false">
      <c r="A1130" s="14" t="n">
        <v>1129</v>
      </c>
      <c r="B1130" s="15" t="s">
        <v>942</v>
      </c>
      <c r="C1130" s="15" t="s">
        <v>943</v>
      </c>
      <c r="D1130" s="16" t="s">
        <v>707</v>
      </c>
      <c r="E1130" s="16" t="s">
        <v>987</v>
      </c>
      <c r="F1130" s="15" t="s">
        <v>686</v>
      </c>
      <c r="G1130" s="15" t="s">
        <v>443</v>
      </c>
      <c r="H1130" s="15" t="s">
        <v>161</v>
      </c>
      <c r="I1130" s="17" t="n">
        <v>2860</v>
      </c>
      <c r="J1130" s="16"/>
      <c r="K1130" s="15" t="s">
        <v>947</v>
      </c>
      <c r="L1130" s="15" t="n">
        <f aca="false">IF(AND(OR(Search!$C$4="",Search!$C$4="All",B1130=Search!$C$4),OR(Search!$C$5="",Search!$C$5="All",C1130=Search!$C$5),OR(Search!$C$6="",Search!$C$6="All",D1130=Search!$C$6),OR(Search!$C$7="",ISNUMBER(SEARCH(Search!$C$7,D1130&amp;" "&amp;E1130&amp;" "&amp;F1130&amp;" "&amp;G1130&amp;" "&amp;H1130&amp;" "&amp;J1130))),OR(Search!$C$8="",ISNUMBER(SEARCH(Search!$C$8,G1130)))),1,0)</f>
        <v>1</v>
      </c>
      <c r="M1130" s="15" t="n">
        <f aca="false">M1129+L1130</f>
        <v>1129</v>
      </c>
    </row>
    <row r="1131" customFormat="false" ht="15" hidden="false" customHeight="false" outlineLevel="0" collapsed="false">
      <c r="A1131" s="14" t="n">
        <v>1130</v>
      </c>
      <c r="B1131" s="15" t="s">
        <v>942</v>
      </c>
      <c r="C1131" s="15" t="s">
        <v>943</v>
      </c>
      <c r="D1131" s="16" t="s">
        <v>707</v>
      </c>
      <c r="E1131" s="16" t="s">
        <v>700</v>
      </c>
      <c r="F1131" s="15" t="s">
        <v>187</v>
      </c>
      <c r="G1131" s="15" t="s">
        <v>443</v>
      </c>
      <c r="H1131" s="15" t="s">
        <v>161</v>
      </c>
      <c r="I1131" s="17" t="n">
        <v>1780</v>
      </c>
      <c r="J1131" s="16"/>
      <c r="K1131" s="15" t="s">
        <v>947</v>
      </c>
      <c r="L1131" s="15" t="n">
        <f aca="false">IF(AND(OR(Search!$C$4="",Search!$C$4="All",B1131=Search!$C$4),OR(Search!$C$5="",Search!$C$5="All",C1131=Search!$C$5),OR(Search!$C$6="",Search!$C$6="All",D1131=Search!$C$6),OR(Search!$C$7="",ISNUMBER(SEARCH(Search!$C$7,D1131&amp;" "&amp;E1131&amp;" "&amp;F1131&amp;" "&amp;G1131&amp;" "&amp;H1131&amp;" "&amp;J1131))),OR(Search!$C$8="",ISNUMBER(SEARCH(Search!$C$8,G1131)))),1,0)</f>
        <v>1</v>
      </c>
      <c r="M1131" s="15" t="n">
        <f aca="false">M1130+L1131</f>
        <v>1130</v>
      </c>
    </row>
    <row r="1132" customFormat="false" ht="15" hidden="false" customHeight="false" outlineLevel="0" collapsed="false">
      <c r="A1132" s="14" t="n">
        <v>1131</v>
      </c>
      <c r="B1132" s="15" t="s">
        <v>942</v>
      </c>
      <c r="C1132" s="15" t="s">
        <v>943</v>
      </c>
      <c r="D1132" s="16" t="s">
        <v>707</v>
      </c>
      <c r="E1132" s="16" t="s">
        <v>700</v>
      </c>
      <c r="F1132" s="15" t="s">
        <v>187</v>
      </c>
      <c r="G1132" s="15" t="s">
        <v>428</v>
      </c>
      <c r="H1132" s="15" t="s">
        <v>161</v>
      </c>
      <c r="I1132" s="17" t="n">
        <v>1500</v>
      </c>
      <c r="J1132" s="16"/>
      <c r="K1132" s="15" t="s">
        <v>947</v>
      </c>
      <c r="L1132" s="15" t="n">
        <f aca="false">IF(AND(OR(Search!$C$4="",Search!$C$4="All",B1132=Search!$C$4),OR(Search!$C$5="",Search!$C$5="All",C1132=Search!$C$5),OR(Search!$C$6="",Search!$C$6="All",D1132=Search!$C$6),OR(Search!$C$7="",ISNUMBER(SEARCH(Search!$C$7,D1132&amp;" "&amp;E1132&amp;" "&amp;F1132&amp;" "&amp;G1132&amp;" "&amp;H1132&amp;" "&amp;J1132))),OR(Search!$C$8="",ISNUMBER(SEARCH(Search!$C$8,G1132)))),1,0)</f>
        <v>1</v>
      </c>
      <c r="M1132" s="15" t="n">
        <f aca="false">M1131+L1132</f>
        <v>1131</v>
      </c>
    </row>
    <row r="1133" customFormat="false" ht="15" hidden="false" customHeight="false" outlineLevel="0" collapsed="false">
      <c r="A1133" s="14" t="n">
        <v>1132</v>
      </c>
      <c r="B1133" s="15" t="s">
        <v>942</v>
      </c>
      <c r="C1133" s="15" t="s">
        <v>943</v>
      </c>
      <c r="D1133" s="16" t="s">
        <v>707</v>
      </c>
      <c r="E1133" s="16" t="s">
        <v>988</v>
      </c>
      <c r="F1133" s="15" t="s">
        <v>703</v>
      </c>
      <c r="G1133" s="15" t="s">
        <v>427</v>
      </c>
      <c r="H1133" s="15" t="s">
        <v>989</v>
      </c>
      <c r="I1133" s="17" t="n">
        <v>1750</v>
      </c>
      <c r="J1133" s="16"/>
      <c r="K1133" s="15" t="s">
        <v>947</v>
      </c>
      <c r="L1133" s="15" t="n">
        <f aca="false">IF(AND(OR(Search!$C$4="",Search!$C$4="All",B1133=Search!$C$4),OR(Search!$C$5="",Search!$C$5="All",C1133=Search!$C$5),OR(Search!$C$6="",Search!$C$6="All",D1133=Search!$C$6),OR(Search!$C$7="",ISNUMBER(SEARCH(Search!$C$7,D1133&amp;" "&amp;E1133&amp;" "&amp;F1133&amp;" "&amp;G1133&amp;" "&amp;H1133&amp;" "&amp;J1133))),OR(Search!$C$8="",ISNUMBER(SEARCH(Search!$C$8,G1133)))),1,0)</f>
        <v>1</v>
      </c>
      <c r="M1133" s="15" t="n">
        <f aca="false">M1132+L1133</f>
        <v>1132</v>
      </c>
    </row>
    <row r="1134" customFormat="false" ht="15" hidden="false" customHeight="false" outlineLevel="0" collapsed="false">
      <c r="A1134" s="14" t="n">
        <v>1133</v>
      </c>
      <c r="B1134" s="15" t="s">
        <v>942</v>
      </c>
      <c r="C1134" s="15" t="s">
        <v>943</v>
      </c>
      <c r="D1134" s="16" t="s">
        <v>692</v>
      </c>
      <c r="E1134" s="16" t="s">
        <v>990</v>
      </c>
      <c r="F1134" s="15" t="s">
        <v>686</v>
      </c>
      <c r="G1134" s="15" t="s">
        <v>427</v>
      </c>
      <c r="H1134" s="15" t="s">
        <v>161</v>
      </c>
      <c r="I1134" s="17" t="n">
        <v>2750</v>
      </c>
      <c r="J1134" s="16"/>
      <c r="K1134" s="15" t="s">
        <v>947</v>
      </c>
      <c r="L1134" s="15" t="n">
        <f aca="false">IF(AND(OR(Search!$C$4="",Search!$C$4="All",B1134=Search!$C$4),OR(Search!$C$5="",Search!$C$5="All",C1134=Search!$C$5),OR(Search!$C$6="",Search!$C$6="All",D1134=Search!$C$6),OR(Search!$C$7="",ISNUMBER(SEARCH(Search!$C$7,D1134&amp;" "&amp;E1134&amp;" "&amp;F1134&amp;" "&amp;G1134&amp;" "&amp;H1134&amp;" "&amp;J1134))),OR(Search!$C$8="",ISNUMBER(SEARCH(Search!$C$8,G1134)))),1,0)</f>
        <v>1</v>
      </c>
      <c r="M1134" s="15" t="n">
        <f aca="false">M1133+L1134</f>
        <v>1133</v>
      </c>
    </row>
    <row r="1135" customFormat="false" ht="15" hidden="false" customHeight="false" outlineLevel="0" collapsed="false">
      <c r="A1135" s="14" t="n">
        <v>1134</v>
      </c>
      <c r="B1135" s="15" t="s">
        <v>942</v>
      </c>
      <c r="C1135" s="15" t="s">
        <v>943</v>
      </c>
      <c r="D1135" s="16" t="s">
        <v>692</v>
      </c>
      <c r="E1135" s="16" t="s">
        <v>990</v>
      </c>
      <c r="F1135" s="15" t="s">
        <v>686</v>
      </c>
      <c r="G1135" s="15" t="s">
        <v>428</v>
      </c>
      <c r="H1135" s="15" t="s">
        <v>161</v>
      </c>
      <c r="I1135" s="17" t="n">
        <v>3000</v>
      </c>
      <c r="J1135" s="16"/>
      <c r="K1135" s="15" t="s">
        <v>947</v>
      </c>
      <c r="L1135" s="15" t="n">
        <f aca="false">IF(AND(OR(Search!$C$4="",Search!$C$4="All",B1135=Search!$C$4),OR(Search!$C$5="",Search!$C$5="All",C1135=Search!$C$5),OR(Search!$C$6="",Search!$C$6="All",D1135=Search!$C$6),OR(Search!$C$7="",ISNUMBER(SEARCH(Search!$C$7,D1135&amp;" "&amp;E1135&amp;" "&amp;F1135&amp;" "&amp;G1135&amp;" "&amp;H1135&amp;" "&amp;J1135))),OR(Search!$C$8="",ISNUMBER(SEARCH(Search!$C$8,G1135)))),1,0)</f>
        <v>1</v>
      </c>
      <c r="M1135" s="15" t="n">
        <f aca="false">M1134+L1135</f>
        <v>1134</v>
      </c>
    </row>
    <row r="1136" customFormat="false" ht="15" hidden="false" customHeight="false" outlineLevel="0" collapsed="false">
      <c r="A1136" s="14" t="n">
        <v>1135</v>
      </c>
      <c r="B1136" s="15" t="s">
        <v>942</v>
      </c>
      <c r="C1136" s="15" t="s">
        <v>565</v>
      </c>
      <c r="D1136" s="16" t="s">
        <v>991</v>
      </c>
      <c r="E1136" s="16" t="s">
        <v>992</v>
      </c>
      <c r="F1136" s="15"/>
      <c r="G1136" s="15" t="s">
        <v>993</v>
      </c>
      <c r="H1136" s="15" t="s">
        <v>994</v>
      </c>
      <c r="I1136" s="17" t="n">
        <v>550</v>
      </c>
      <c r="J1136" s="16"/>
      <c r="K1136" s="15" t="s">
        <v>947</v>
      </c>
      <c r="L1136" s="15" t="n">
        <f aca="false">IF(AND(OR(Search!$C$4="",Search!$C$4="All",B1136=Search!$C$4),OR(Search!$C$5="",Search!$C$5="All",C1136=Search!$C$5),OR(Search!$C$6="",Search!$C$6="All",D1136=Search!$C$6),OR(Search!$C$7="",ISNUMBER(SEARCH(Search!$C$7,D1136&amp;" "&amp;E1136&amp;" "&amp;F1136&amp;" "&amp;G1136&amp;" "&amp;H1136&amp;" "&amp;J1136))),OR(Search!$C$8="",ISNUMBER(SEARCH(Search!$C$8,G1136)))),1,0)</f>
        <v>1</v>
      </c>
      <c r="M1136" s="15" t="n">
        <f aca="false">M1135+L1136</f>
        <v>1135</v>
      </c>
    </row>
    <row r="1137" customFormat="false" ht="15" hidden="false" customHeight="false" outlineLevel="0" collapsed="false">
      <c r="A1137" s="14" t="n">
        <v>1136</v>
      </c>
      <c r="B1137" s="15" t="s">
        <v>942</v>
      </c>
      <c r="C1137" s="15" t="s">
        <v>565</v>
      </c>
      <c r="D1137" s="16" t="s">
        <v>991</v>
      </c>
      <c r="E1137" s="16" t="s">
        <v>992</v>
      </c>
      <c r="F1137" s="15"/>
      <c r="G1137" s="15" t="s">
        <v>993</v>
      </c>
      <c r="H1137" s="15" t="s">
        <v>995</v>
      </c>
      <c r="I1137" s="17" t="n">
        <v>55</v>
      </c>
      <c r="J1137" s="16"/>
      <c r="K1137" s="15" t="s">
        <v>947</v>
      </c>
      <c r="L1137" s="15" t="n">
        <f aca="false">IF(AND(OR(Search!$C$4="",Search!$C$4="All",B1137=Search!$C$4),OR(Search!$C$5="",Search!$C$5="All",C1137=Search!$C$5),OR(Search!$C$6="",Search!$C$6="All",D1137=Search!$C$6),OR(Search!$C$7="",ISNUMBER(SEARCH(Search!$C$7,D1137&amp;" "&amp;E1137&amp;" "&amp;F1137&amp;" "&amp;G1137&amp;" "&amp;H1137&amp;" "&amp;J1137))),OR(Search!$C$8="",ISNUMBER(SEARCH(Search!$C$8,G1137)))),1,0)</f>
        <v>1</v>
      </c>
      <c r="M1137" s="15" t="n">
        <f aca="false">M1136+L1137</f>
        <v>1136</v>
      </c>
    </row>
    <row r="1138" customFormat="false" ht="15" hidden="false" customHeight="false" outlineLevel="0" collapsed="false">
      <c r="A1138" s="14" t="n">
        <v>1137</v>
      </c>
      <c r="B1138" s="15" t="s">
        <v>942</v>
      </c>
      <c r="C1138" s="15" t="s">
        <v>565</v>
      </c>
      <c r="D1138" s="16" t="s">
        <v>996</v>
      </c>
      <c r="E1138" s="16" t="s">
        <v>992</v>
      </c>
      <c r="F1138" s="15"/>
      <c r="G1138" s="15" t="s">
        <v>997</v>
      </c>
      <c r="H1138" s="15" t="s">
        <v>994</v>
      </c>
      <c r="I1138" s="17" t="n">
        <v>680</v>
      </c>
      <c r="J1138" s="16"/>
      <c r="K1138" s="15" t="s">
        <v>947</v>
      </c>
      <c r="L1138" s="15" t="n">
        <f aca="false">IF(AND(OR(Search!$C$4="",Search!$C$4="All",B1138=Search!$C$4),OR(Search!$C$5="",Search!$C$5="All",C1138=Search!$C$5),OR(Search!$C$6="",Search!$C$6="All",D1138=Search!$C$6),OR(Search!$C$7="",ISNUMBER(SEARCH(Search!$C$7,D1138&amp;" "&amp;E1138&amp;" "&amp;F1138&amp;" "&amp;G1138&amp;" "&amp;H1138&amp;" "&amp;J1138))),OR(Search!$C$8="",ISNUMBER(SEARCH(Search!$C$8,G1138)))),1,0)</f>
        <v>1</v>
      </c>
      <c r="M1138" s="15" t="n">
        <f aca="false">M1137+L1138</f>
        <v>1137</v>
      </c>
    </row>
    <row r="1139" customFormat="false" ht="15" hidden="false" customHeight="false" outlineLevel="0" collapsed="false">
      <c r="A1139" s="14" t="n">
        <v>1138</v>
      </c>
      <c r="B1139" s="15" t="s">
        <v>942</v>
      </c>
      <c r="C1139" s="15" t="s">
        <v>565</v>
      </c>
      <c r="D1139" s="16" t="s">
        <v>996</v>
      </c>
      <c r="E1139" s="16" t="s">
        <v>992</v>
      </c>
      <c r="F1139" s="15"/>
      <c r="G1139" s="15" t="s">
        <v>997</v>
      </c>
      <c r="H1139" s="15" t="s">
        <v>995</v>
      </c>
      <c r="I1139" s="17" t="n">
        <v>68</v>
      </c>
      <c r="J1139" s="16"/>
      <c r="K1139" s="15" t="s">
        <v>947</v>
      </c>
      <c r="L1139" s="15" t="n">
        <f aca="false">IF(AND(OR(Search!$C$4="",Search!$C$4="All",B1139=Search!$C$4),OR(Search!$C$5="",Search!$C$5="All",C1139=Search!$C$5),OR(Search!$C$6="",Search!$C$6="All",D1139=Search!$C$6),OR(Search!$C$7="",ISNUMBER(SEARCH(Search!$C$7,D1139&amp;" "&amp;E1139&amp;" "&amp;F1139&amp;" "&amp;G1139&amp;" "&amp;H1139&amp;" "&amp;J1139))),OR(Search!$C$8="",ISNUMBER(SEARCH(Search!$C$8,G1139)))),1,0)</f>
        <v>1</v>
      </c>
      <c r="M1139" s="15" t="n">
        <f aca="false">M1138+L1139</f>
        <v>1138</v>
      </c>
    </row>
    <row r="1140" customFormat="false" ht="15" hidden="false" customHeight="false" outlineLevel="0" collapsed="false">
      <c r="A1140" s="14" t="n">
        <v>1139</v>
      </c>
      <c r="B1140" s="15" t="s">
        <v>942</v>
      </c>
      <c r="C1140" s="15" t="s">
        <v>565</v>
      </c>
      <c r="D1140" s="16" t="s">
        <v>998</v>
      </c>
      <c r="E1140" s="16" t="s">
        <v>992</v>
      </c>
      <c r="F1140" s="15"/>
      <c r="G1140" s="15" t="s">
        <v>999</v>
      </c>
      <c r="H1140" s="15" t="s">
        <v>994</v>
      </c>
      <c r="I1140" s="17" t="n">
        <v>960</v>
      </c>
      <c r="J1140" s="16"/>
      <c r="K1140" s="15" t="s">
        <v>947</v>
      </c>
      <c r="L1140" s="15" t="n">
        <f aca="false">IF(AND(OR(Search!$C$4="",Search!$C$4="All",B1140=Search!$C$4),OR(Search!$C$5="",Search!$C$5="All",C1140=Search!$C$5),OR(Search!$C$6="",Search!$C$6="All",D1140=Search!$C$6),OR(Search!$C$7="",ISNUMBER(SEARCH(Search!$C$7,D1140&amp;" "&amp;E1140&amp;" "&amp;F1140&amp;" "&amp;G1140&amp;" "&amp;H1140&amp;" "&amp;J1140))),OR(Search!$C$8="",ISNUMBER(SEARCH(Search!$C$8,G1140)))),1,0)</f>
        <v>1</v>
      </c>
      <c r="M1140" s="15" t="n">
        <f aca="false">M1139+L1140</f>
        <v>1139</v>
      </c>
    </row>
    <row r="1141" customFormat="false" ht="15" hidden="false" customHeight="false" outlineLevel="0" collapsed="false">
      <c r="A1141" s="14" t="n">
        <v>1140</v>
      </c>
      <c r="B1141" s="15" t="s">
        <v>942</v>
      </c>
      <c r="C1141" s="15" t="s">
        <v>565</v>
      </c>
      <c r="D1141" s="16" t="s">
        <v>998</v>
      </c>
      <c r="E1141" s="16" t="s">
        <v>992</v>
      </c>
      <c r="F1141" s="15"/>
      <c r="G1141" s="15" t="s">
        <v>999</v>
      </c>
      <c r="H1141" s="15" t="s">
        <v>995</v>
      </c>
      <c r="I1141" s="17" t="n">
        <v>96</v>
      </c>
      <c r="J1141" s="16"/>
      <c r="K1141" s="15" t="s">
        <v>947</v>
      </c>
      <c r="L1141" s="15" t="n">
        <f aca="false">IF(AND(OR(Search!$C$4="",Search!$C$4="All",B1141=Search!$C$4),OR(Search!$C$5="",Search!$C$5="All",C1141=Search!$C$5),OR(Search!$C$6="",Search!$C$6="All",D1141=Search!$C$6),OR(Search!$C$7="",ISNUMBER(SEARCH(Search!$C$7,D1141&amp;" "&amp;E1141&amp;" "&amp;F1141&amp;" "&amp;G1141&amp;" "&amp;H1141&amp;" "&amp;J1141))),OR(Search!$C$8="",ISNUMBER(SEARCH(Search!$C$8,G1141)))),1,0)</f>
        <v>1</v>
      </c>
      <c r="M1141" s="15" t="n">
        <f aca="false">M1140+L1141</f>
        <v>1140</v>
      </c>
    </row>
    <row r="1142" customFormat="false" ht="23.85" hidden="false" customHeight="false" outlineLevel="0" collapsed="false">
      <c r="A1142" s="14" t="n">
        <v>1141</v>
      </c>
      <c r="B1142" s="15" t="s">
        <v>942</v>
      </c>
      <c r="C1142" s="15" t="s">
        <v>943</v>
      </c>
      <c r="D1142" s="16" t="s">
        <v>1000</v>
      </c>
      <c r="E1142" s="16" t="s">
        <v>1001</v>
      </c>
      <c r="F1142" s="15" t="s">
        <v>759</v>
      </c>
      <c r="G1142" s="15" t="s">
        <v>427</v>
      </c>
      <c r="H1142" s="15" t="s">
        <v>946</v>
      </c>
      <c r="I1142" s="17" t="n">
        <v>875</v>
      </c>
      <c r="J1142" s="16"/>
      <c r="K1142" s="15" t="s">
        <v>947</v>
      </c>
      <c r="L1142" s="15" t="n">
        <f aca="false">IF(AND(OR(Search!$C$4="",Search!$C$4="All",B1142=Search!$C$4),OR(Search!$C$5="",Search!$C$5="All",C1142=Search!$C$5),OR(Search!$C$6="",Search!$C$6="All",D1142=Search!$C$6),OR(Search!$C$7="",ISNUMBER(SEARCH(Search!$C$7,D1142&amp;" "&amp;E1142&amp;" "&amp;F1142&amp;" "&amp;G1142&amp;" "&amp;H1142&amp;" "&amp;J1142))),OR(Search!$C$8="",ISNUMBER(SEARCH(Search!$C$8,G1142)))),1,0)</f>
        <v>1</v>
      </c>
      <c r="M1142" s="15" t="n">
        <f aca="false">M1141+L1142</f>
        <v>1141</v>
      </c>
    </row>
    <row r="1143" customFormat="false" ht="23.85" hidden="false" customHeight="false" outlineLevel="0" collapsed="false">
      <c r="A1143" s="14" t="n">
        <v>1142</v>
      </c>
      <c r="B1143" s="15" t="s">
        <v>942</v>
      </c>
      <c r="C1143" s="15" t="s">
        <v>943</v>
      </c>
      <c r="D1143" s="16" t="s">
        <v>1000</v>
      </c>
      <c r="E1143" s="16" t="s">
        <v>1001</v>
      </c>
      <c r="F1143" s="15" t="s">
        <v>759</v>
      </c>
      <c r="G1143" s="15" t="s">
        <v>428</v>
      </c>
      <c r="H1143" s="15" t="s">
        <v>946</v>
      </c>
      <c r="I1143" s="17" t="n">
        <v>950</v>
      </c>
      <c r="J1143" s="16"/>
      <c r="K1143" s="15" t="s">
        <v>947</v>
      </c>
      <c r="L1143" s="15" t="n">
        <f aca="false">IF(AND(OR(Search!$C$4="",Search!$C$4="All",B1143=Search!$C$4),OR(Search!$C$5="",Search!$C$5="All",C1143=Search!$C$5),OR(Search!$C$6="",Search!$C$6="All",D1143=Search!$C$6),OR(Search!$C$7="",ISNUMBER(SEARCH(Search!$C$7,D1143&amp;" "&amp;E1143&amp;" "&amp;F1143&amp;" "&amp;G1143&amp;" "&amp;H1143&amp;" "&amp;J1143))),OR(Search!$C$8="",ISNUMBER(SEARCH(Search!$C$8,G1143)))),1,0)</f>
        <v>1</v>
      </c>
      <c r="M1143" s="15" t="n">
        <f aca="false">M1142+L1143</f>
        <v>1142</v>
      </c>
    </row>
    <row r="1144" customFormat="false" ht="23.85" hidden="false" customHeight="false" outlineLevel="0" collapsed="false">
      <c r="A1144" s="14" t="n">
        <v>1143</v>
      </c>
      <c r="B1144" s="15" t="s">
        <v>942</v>
      </c>
      <c r="C1144" s="15" t="s">
        <v>943</v>
      </c>
      <c r="D1144" s="16" t="s">
        <v>1000</v>
      </c>
      <c r="E1144" s="16" t="s">
        <v>1002</v>
      </c>
      <c r="F1144" s="15" t="s">
        <v>759</v>
      </c>
      <c r="G1144" s="15" t="s">
        <v>427</v>
      </c>
      <c r="H1144" s="15" t="s">
        <v>946</v>
      </c>
      <c r="I1144" s="17" t="n">
        <v>875</v>
      </c>
      <c r="J1144" s="16"/>
      <c r="K1144" s="15" t="s">
        <v>947</v>
      </c>
      <c r="L1144" s="15" t="n">
        <f aca="false">IF(AND(OR(Search!$C$4="",Search!$C$4="All",B1144=Search!$C$4),OR(Search!$C$5="",Search!$C$5="All",C1144=Search!$C$5),OR(Search!$C$6="",Search!$C$6="All",D1144=Search!$C$6),OR(Search!$C$7="",ISNUMBER(SEARCH(Search!$C$7,D1144&amp;" "&amp;E1144&amp;" "&amp;F1144&amp;" "&amp;G1144&amp;" "&amp;H1144&amp;" "&amp;J1144))),OR(Search!$C$8="",ISNUMBER(SEARCH(Search!$C$8,G1144)))),1,0)</f>
        <v>1</v>
      </c>
      <c r="M1144" s="15" t="n">
        <f aca="false">M1143+L1144</f>
        <v>1143</v>
      </c>
    </row>
    <row r="1145" customFormat="false" ht="23.85" hidden="false" customHeight="false" outlineLevel="0" collapsed="false">
      <c r="A1145" s="14" t="n">
        <v>1144</v>
      </c>
      <c r="B1145" s="15" t="s">
        <v>942</v>
      </c>
      <c r="C1145" s="15" t="s">
        <v>943</v>
      </c>
      <c r="D1145" s="16" t="s">
        <v>1000</v>
      </c>
      <c r="E1145" s="16" t="s">
        <v>1002</v>
      </c>
      <c r="F1145" s="15" t="s">
        <v>759</v>
      </c>
      <c r="G1145" s="15" t="s">
        <v>428</v>
      </c>
      <c r="H1145" s="15" t="s">
        <v>946</v>
      </c>
      <c r="I1145" s="17" t="n">
        <v>1050</v>
      </c>
      <c r="J1145" s="16"/>
      <c r="K1145" s="15" t="s">
        <v>947</v>
      </c>
      <c r="L1145" s="15" t="n">
        <f aca="false">IF(AND(OR(Search!$C$4="",Search!$C$4="All",B1145=Search!$C$4),OR(Search!$C$5="",Search!$C$5="All",C1145=Search!$C$5),OR(Search!$C$6="",Search!$C$6="All",D1145=Search!$C$6),OR(Search!$C$7="",ISNUMBER(SEARCH(Search!$C$7,D1145&amp;" "&amp;E1145&amp;" "&amp;F1145&amp;" "&amp;G1145&amp;" "&amp;H1145&amp;" "&amp;J1145))),OR(Search!$C$8="",ISNUMBER(SEARCH(Search!$C$8,G1145)))),1,0)</f>
        <v>1</v>
      </c>
      <c r="M1145" s="15" t="n">
        <f aca="false">M1144+L1145</f>
        <v>1144</v>
      </c>
    </row>
    <row r="1146" customFormat="false" ht="23.85" hidden="false" customHeight="false" outlineLevel="0" collapsed="false">
      <c r="A1146" s="14" t="n">
        <v>1145</v>
      </c>
      <c r="B1146" s="15" t="s">
        <v>942</v>
      </c>
      <c r="C1146" s="15" t="s">
        <v>943</v>
      </c>
      <c r="D1146" s="16" t="s">
        <v>1000</v>
      </c>
      <c r="E1146" s="16" t="s">
        <v>1001</v>
      </c>
      <c r="F1146" s="15" t="s">
        <v>1003</v>
      </c>
      <c r="G1146" s="15" t="s">
        <v>427</v>
      </c>
      <c r="H1146" s="15" t="s">
        <v>946</v>
      </c>
      <c r="I1146" s="17" t="n">
        <v>1725</v>
      </c>
      <c r="J1146" s="16"/>
      <c r="K1146" s="15" t="s">
        <v>947</v>
      </c>
      <c r="L1146" s="15" t="n">
        <f aca="false">IF(AND(OR(Search!$C$4="",Search!$C$4="All",B1146=Search!$C$4),OR(Search!$C$5="",Search!$C$5="All",C1146=Search!$C$5),OR(Search!$C$6="",Search!$C$6="All",D1146=Search!$C$6),OR(Search!$C$7="",ISNUMBER(SEARCH(Search!$C$7,D1146&amp;" "&amp;E1146&amp;" "&amp;F1146&amp;" "&amp;G1146&amp;" "&amp;H1146&amp;" "&amp;J1146))),OR(Search!$C$8="",ISNUMBER(SEARCH(Search!$C$8,G1146)))),1,0)</f>
        <v>1</v>
      </c>
      <c r="M1146" s="15" t="n">
        <f aca="false">M1145+L1146</f>
        <v>1145</v>
      </c>
    </row>
    <row r="1147" customFormat="false" ht="23.85" hidden="false" customHeight="false" outlineLevel="0" collapsed="false">
      <c r="A1147" s="14" t="n">
        <v>1146</v>
      </c>
      <c r="B1147" s="15" t="s">
        <v>942</v>
      </c>
      <c r="C1147" s="15" t="s">
        <v>943</v>
      </c>
      <c r="D1147" s="16" t="s">
        <v>1000</v>
      </c>
      <c r="E1147" s="16" t="s">
        <v>1001</v>
      </c>
      <c r="F1147" s="15" t="s">
        <v>1003</v>
      </c>
      <c r="G1147" s="15" t="s">
        <v>428</v>
      </c>
      <c r="H1147" s="15" t="s">
        <v>946</v>
      </c>
      <c r="I1147" s="17" t="n">
        <v>2025</v>
      </c>
      <c r="J1147" s="16"/>
      <c r="K1147" s="15" t="s">
        <v>947</v>
      </c>
      <c r="L1147" s="15" t="n">
        <f aca="false">IF(AND(OR(Search!$C$4="",Search!$C$4="All",B1147=Search!$C$4),OR(Search!$C$5="",Search!$C$5="All",C1147=Search!$C$5),OR(Search!$C$6="",Search!$C$6="All",D1147=Search!$C$6),OR(Search!$C$7="",ISNUMBER(SEARCH(Search!$C$7,D1147&amp;" "&amp;E1147&amp;" "&amp;F1147&amp;" "&amp;G1147&amp;" "&amp;H1147&amp;" "&amp;J1147))),OR(Search!$C$8="",ISNUMBER(SEARCH(Search!$C$8,G1147)))),1,0)</f>
        <v>1</v>
      </c>
      <c r="M1147" s="15" t="n">
        <f aca="false">M1146+L1147</f>
        <v>1146</v>
      </c>
    </row>
    <row r="1148" customFormat="false" ht="23.85" hidden="false" customHeight="false" outlineLevel="0" collapsed="false">
      <c r="A1148" s="14" t="n">
        <v>1147</v>
      </c>
      <c r="B1148" s="15" t="s">
        <v>942</v>
      </c>
      <c r="C1148" s="15" t="s">
        <v>943</v>
      </c>
      <c r="D1148" s="16" t="s">
        <v>1000</v>
      </c>
      <c r="E1148" s="16" t="s">
        <v>1002</v>
      </c>
      <c r="F1148" s="15" t="s">
        <v>1003</v>
      </c>
      <c r="G1148" s="15" t="s">
        <v>427</v>
      </c>
      <c r="H1148" s="15" t="s">
        <v>946</v>
      </c>
      <c r="I1148" s="17" t="n">
        <v>1725</v>
      </c>
      <c r="J1148" s="16"/>
      <c r="K1148" s="15" t="s">
        <v>947</v>
      </c>
      <c r="L1148" s="15" t="n">
        <f aca="false">IF(AND(OR(Search!$C$4="",Search!$C$4="All",B1148=Search!$C$4),OR(Search!$C$5="",Search!$C$5="All",C1148=Search!$C$5),OR(Search!$C$6="",Search!$C$6="All",D1148=Search!$C$6),OR(Search!$C$7="",ISNUMBER(SEARCH(Search!$C$7,D1148&amp;" "&amp;E1148&amp;" "&amp;F1148&amp;" "&amp;G1148&amp;" "&amp;H1148&amp;" "&amp;J1148))),OR(Search!$C$8="",ISNUMBER(SEARCH(Search!$C$8,G1148)))),1,0)</f>
        <v>1</v>
      </c>
      <c r="M1148" s="15" t="n">
        <f aca="false">M1147+L1148</f>
        <v>1147</v>
      </c>
    </row>
    <row r="1149" customFormat="false" ht="23.85" hidden="false" customHeight="false" outlineLevel="0" collapsed="false">
      <c r="A1149" s="14" t="n">
        <v>1148</v>
      </c>
      <c r="B1149" s="15" t="s">
        <v>942</v>
      </c>
      <c r="C1149" s="15" t="s">
        <v>943</v>
      </c>
      <c r="D1149" s="16" t="s">
        <v>1000</v>
      </c>
      <c r="E1149" s="16" t="s">
        <v>1002</v>
      </c>
      <c r="F1149" s="15" t="s">
        <v>1003</v>
      </c>
      <c r="G1149" s="15" t="s">
        <v>428</v>
      </c>
      <c r="H1149" s="15" t="s">
        <v>946</v>
      </c>
      <c r="I1149" s="17" t="n">
        <v>2025</v>
      </c>
      <c r="J1149" s="16"/>
      <c r="K1149" s="15" t="s">
        <v>947</v>
      </c>
      <c r="L1149" s="15" t="n">
        <f aca="false">IF(AND(OR(Search!$C$4="",Search!$C$4="All",B1149=Search!$C$4),OR(Search!$C$5="",Search!$C$5="All",C1149=Search!$C$5),OR(Search!$C$6="",Search!$C$6="All",D1149=Search!$C$6),OR(Search!$C$7="",ISNUMBER(SEARCH(Search!$C$7,D1149&amp;" "&amp;E1149&amp;" "&amp;F1149&amp;" "&amp;G1149&amp;" "&amp;H1149&amp;" "&amp;J1149))),OR(Search!$C$8="",ISNUMBER(SEARCH(Search!$C$8,G1149)))),1,0)</f>
        <v>1</v>
      </c>
      <c r="M1149" s="15" t="n">
        <f aca="false">M1148+L1149</f>
        <v>1148</v>
      </c>
    </row>
    <row r="1150" customFormat="false" ht="23.85" hidden="false" customHeight="false" outlineLevel="0" collapsed="false">
      <c r="A1150" s="14" t="n">
        <v>1149</v>
      </c>
      <c r="B1150" s="15" t="s">
        <v>942</v>
      </c>
      <c r="C1150" s="15" t="s">
        <v>565</v>
      </c>
      <c r="D1150" s="16" t="s">
        <v>1004</v>
      </c>
      <c r="E1150" s="16" t="s">
        <v>1005</v>
      </c>
      <c r="F1150" s="15" t="s">
        <v>759</v>
      </c>
      <c r="G1150" s="15" t="s">
        <v>974</v>
      </c>
      <c r="H1150" s="15" t="s">
        <v>1006</v>
      </c>
      <c r="I1150" s="17" t="n">
        <v>400</v>
      </c>
      <c r="J1150" s="16"/>
      <c r="K1150" s="15" t="s">
        <v>947</v>
      </c>
      <c r="L1150" s="15" t="n">
        <f aca="false">IF(AND(OR(Search!$C$4="",Search!$C$4="All",B1150=Search!$C$4),OR(Search!$C$5="",Search!$C$5="All",C1150=Search!$C$5),OR(Search!$C$6="",Search!$C$6="All",D1150=Search!$C$6),OR(Search!$C$7="",ISNUMBER(SEARCH(Search!$C$7,D1150&amp;" "&amp;E1150&amp;" "&amp;F1150&amp;" "&amp;G1150&amp;" "&amp;H1150&amp;" "&amp;J1150))),OR(Search!$C$8="",ISNUMBER(SEARCH(Search!$C$8,G1150)))),1,0)</f>
        <v>1</v>
      </c>
      <c r="M1150" s="15" t="n">
        <f aca="false">M1149+L1150</f>
        <v>1149</v>
      </c>
    </row>
    <row r="1151" customFormat="false" ht="23.85" hidden="false" customHeight="false" outlineLevel="0" collapsed="false">
      <c r="A1151" s="14" t="n">
        <v>1150</v>
      </c>
      <c r="B1151" s="15" t="s">
        <v>942</v>
      </c>
      <c r="C1151" s="15" t="s">
        <v>565</v>
      </c>
      <c r="D1151" s="16" t="s">
        <v>1007</v>
      </c>
      <c r="E1151" s="16" t="s">
        <v>1005</v>
      </c>
      <c r="F1151" s="15" t="s">
        <v>759</v>
      </c>
      <c r="G1151" s="15" t="s">
        <v>1008</v>
      </c>
      <c r="H1151" s="15" t="s">
        <v>1006</v>
      </c>
      <c r="I1151" s="17" t="n">
        <v>525</v>
      </c>
      <c r="J1151" s="16"/>
      <c r="K1151" s="15" t="s">
        <v>947</v>
      </c>
      <c r="L1151" s="15" t="n">
        <f aca="false">IF(AND(OR(Search!$C$4="",Search!$C$4="All",B1151=Search!$C$4),OR(Search!$C$5="",Search!$C$5="All",C1151=Search!$C$5),OR(Search!$C$6="",Search!$C$6="All",D1151=Search!$C$6),OR(Search!$C$7="",ISNUMBER(SEARCH(Search!$C$7,D1151&amp;" "&amp;E1151&amp;" "&amp;F1151&amp;" "&amp;G1151&amp;" "&amp;H1151&amp;" "&amp;J1151))),OR(Search!$C$8="",ISNUMBER(SEARCH(Search!$C$8,G1151)))),1,0)</f>
        <v>1</v>
      </c>
      <c r="M1151" s="15" t="n">
        <f aca="false">M1150+L1151</f>
        <v>1150</v>
      </c>
    </row>
    <row r="1152" customFormat="false" ht="23.85" hidden="false" customHeight="false" outlineLevel="0" collapsed="false">
      <c r="A1152" s="14" t="n">
        <v>1151</v>
      </c>
      <c r="B1152" s="15" t="s">
        <v>942</v>
      </c>
      <c r="C1152" s="15" t="s">
        <v>565</v>
      </c>
      <c r="D1152" s="16" t="s">
        <v>1009</v>
      </c>
      <c r="E1152" s="16" t="s">
        <v>1005</v>
      </c>
      <c r="F1152" s="15" t="s">
        <v>759</v>
      </c>
      <c r="G1152" s="15" t="s">
        <v>966</v>
      </c>
      <c r="H1152" s="15" t="s">
        <v>1006</v>
      </c>
      <c r="I1152" s="17" t="n">
        <v>625</v>
      </c>
      <c r="J1152" s="16"/>
      <c r="K1152" s="15" t="s">
        <v>947</v>
      </c>
      <c r="L1152" s="15" t="n">
        <f aca="false">IF(AND(OR(Search!$C$4="",Search!$C$4="All",B1152=Search!$C$4),OR(Search!$C$5="",Search!$C$5="All",C1152=Search!$C$5),OR(Search!$C$6="",Search!$C$6="All",D1152=Search!$C$6),OR(Search!$C$7="",ISNUMBER(SEARCH(Search!$C$7,D1152&amp;" "&amp;E1152&amp;" "&amp;F1152&amp;" "&amp;G1152&amp;" "&amp;H1152&amp;" "&amp;J1152))),OR(Search!$C$8="",ISNUMBER(SEARCH(Search!$C$8,G1152)))),1,0)</f>
        <v>1</v>
      </c>
      <c r="M1152" s="15" t="n">
        <f aca="false">M1151+L1152</f>
        <v>1151</v>
      </c>
    </row>
    <row r="1153" customFormat="false" ht="23.85" hidden="false" customHeight="false" outlineLevel="0" collapsed="false">
      <c r="A1153" s="14" t="n">
        <v>1152</v>
      </c>
      <c r="B1153" s="15" t="s">
        <v>942</v>
      </c>
      <c r="C1153" s="15" t="s">
        <v>565</v>
      </c>
      <c r="D1153" s="16" t="s">
        <v>1010</v>
      </c>
      <c r="E1153" s="16" t="s">
        <v>1005</v>
      </c>
      <c r="F1153" s="15" t="s">
        <v>759</v>
      </c>
      <c r="G1153" s="15" t="s">
        <v>978</v>
      </c>
      <c r="H1153" s="15" t="s">
        <v>1006</v>
      </c>
      <c r="I1153" s="17" t="n">
        <v>850</v>
      </c>
      <c r="J1153" s="16"/>
      <c r="K1153" s="15" t="s">
        <v>947</v>
      </c>
      <c r="L1153" s="15" t="n">
        <f aca="false">IF(AND(OR(Search!$C$4="",Search!$C$4="All",B1153=Search!$C$4),OR(Search!$C$5="",Search!$C$5="All",C1153=Search!$C$5),OR(Search!$C$6="",Search!$C$6="All",D1153=Search!$C$6),OR(Search!$C$7="",ISNUMBER(SEARCH(Search!$C$7,D1153&amp;" "&amp;E1153&amp;" "&amp;F1153&amp;" "&amp;G1153&amp;" "&amp;H1153&amp;" "&amp;J1153))),OR(Search!$C$8="",ISNUMBER(SEARCH(Search!$C$8,G1153)))),1,0)</f>
        <v>1</v>
      </c>
      <c r="M1153" s="15" t="n">
        <f aca="false">M1152+L1153</f>
        <v>1152</v>
      </c>
    </row>
    <row r="1154" customFormat="false" ht="23.85" hidden="false" customHeight="false" outlineLevel="0" collapsed="false">
      <c r="A1154" s="14" t="n">
        <v>1153</v>
      </c>
      <c r="B1154" s="15" t="s">
        <v>942</v>
      </c>
      <c r="C1154" s="15" t="s">
        <v>565</v>
      </c>
      <c r="D1154" s="16" t="s">
        <v>1011</v>
      </c>
      <c r="E1154" s="16" t="s">
        <v>1005</v>
      </c>
      <c r="F1154" s="15" t="s">
        <v>759</v>
      </c>
      <c r="G1154" s="15" t="s">
        <v>1012</v>
      </c>
      <c r="H1154" s="15" t="s">
        <v>1006</v>
      </c>
      <c r="I1154" s="17" t="n">
        <v>1025</v>
      </c>
      <c r="J1154" s="16"/>
      <c r="K1154" s="15" t="s">
        <v>947</v>
      </c>
      <c r="L1154" s="15" t="n">
        <f aca="false">IF(AND(OR(Search!$C$4="",Search!$C$4="All",B1154=Search!$C$4),OR(Search!$C$5="",Search!$C$5="All",C1154=Search!$C$5),OR(Search!$C$6="",Search!$C$6="All",D1154=Search!$C$6),OR(Search!$C$7="",ISNUMBER(SEARCH(Search!$C$7,D1154&amp;" "&amp;E1154&amp;" "&amp;F1154&amp;" "&amp;G1154&amp;" "&amp;H1154&amp;" "&amp;J1154))),OR(Search!$C$8="",ISNUMBER(SEARCH(Search!$C$8,G1154)))),1,0)</f>
        <v>1</v>
      </c>
      <c r="M1154" s="15" t="n">
        <f aca="false">M1153+L1154</f>
        <v>1153</v>
      </c>
    </row>
    <row r="1155" customFormat="false" ht="23.85" hidden="false" customHeight="false" outlineLevel="0" collapsed="false">
      <c r="A1155" s="14" t="n">
        <v>1154</v>
      </c>
      <c r="B1155" s="15" t="s">
        <v>942</v>
      </c>
      <c r="C1155" s="15" t="s">
        <v>565</v>
      </c>
      <c r="D1155" s="16" t="s">
        <v>1013</v>
      </c>
      <c r="E1155" s="16" t="s">
        <v>1005</v>
      </c>
      <c r="F1155" s="15" t="s">
        <v>759</v>
      </c>
      <c r="G1155" s="15" t="s">
        <v>1014</v>
      </c>
      <c r="H1155" s="15" t="s">
        <v>1006</v>
      </c>
      <c r="I1155" s="17" t="n">
        <v>1050</v>
      </c>
      <c r="J1155" s="16"/>
      <c r="K1155" s="15" t="s">
        <v>947</v>
      </c>
      <c r="L1155" s="15" t="n">
        <f aca="false">IF(AND(OR(Search!$C$4="",Search!$C$4="All",B1155=Search!$C$4),OR(Search!$C$5="",Search!$C$5="All",C1155=Search!$C$5),OR(Search!$C$6="",Search!$C$6="All",D1155=Search!$C$6),OR(Search!$C$7="",ISNUMBER(SEARCH(Search!$C$7,D1155&amp;" "&amp;E1155&amp;" "&amp;F1155&amp;" "&amp;G1155&amp;" "&amp;H1155&amp;" "&amp;J1155))),OR(Search!$C$8="",ISNUMBER(SEARCH(Search!$C$8,G1155)))),1,0)</f>
        <v>1</v>
      </c>
      <c r="M1155" s="15" t="n">
        <f aca="false">M1154+L1155</f>
        <v>1154</v>
      </c>
    </row>
    <row r="1156" customFormat="false" ht="23.85" hidden="false" customHeight="false" outlineLevel="0" collapsed="false">
      <c r="A1156" s="14" t="n">
        <v>1155</v>
      </c>
      <c r="B1156" s="15" t="s">
        <v>942</v>
      </c>
      <c r="C1156" s="15" t="s">
        <v>943</v>
      </c>
      <c r="D1156" s="16" t="s">
        <v>1015</v>
      </c>
      <c r="E1156" s="16" t="s">
        <v>1016</v>
      </c>
      <c r="F1156" s="15"/>
      <c r="G1156" s="15" t="s">
        <v>427</v>
      </c>
      <c r="H1156" s="15" t="s">
        <v>1017</v>
      </c>
      <c r="I1156" s="17" t="n">
        <v>975</v>
      </c>
      <c r="J1156" s="16"/>
      <c r="K1156" s="15" t="s">
        <v>947</v>
      </c>
      <c r="L1156" s="15" t="n">
        <f aca="false">IF(AND(OR(Search!$C$4="",Search!$C$4="All",B1156=Search!$C$4),OR(Search!$C$5="",Search!$C$5="All",C1156=Search!$C$5),OR(Search!$C$6="",Search!$C$6="All",D1156=Search!$C$6),OR(Search!$C$7="",ISNUMBER(SEARCH(Search!$C$7,D1156&amp;" "&amp;E1156&amp;" "&amp;F1156&amp;" "&amp;G1156&amp;" "&amp;H1156&amp;" "&amp;J1156))),OR(Search!$C$8="",ISNUMBER(SEARCH(Search!$C$8,G1156)))),1,0)</f>
        <v>1</v>
      </c>
      <c r="M1156" s="15" t="n">
        <f aca="false">M1155+L1156</f>
        <v>1155</v>
      </c>
    </row>
    <row r="1157" customFormat="false" ht="23.85" hidden="false" customHeight="false" outlineLevel="0" collapsed="false">
      <c r="A1157" s="14" t="n">
        <v>1156</v>
      </c>
      <c r="B1157" s="15" t="s">
        <v>942</v>
      </c>
      <c r="C1157" s="15" t="s">
        <v>943</v>
      </c>
      <c r="D1157" s="16" t="s">
        <v>1015</v>
      </c>
      <c r="E1157" s="16" t="s">
        <v>1016</v>
      </c>
      <c r="F1157" s="15"/>
      <c r="G1157" s="15" t="s">
        <v>428</v>
      </c>
      <c r="H1157" s="15" t="s">
        <v>1017</v>
      </c>
      <c r="I1157" s="17" t="n">
        <v>1200</v>
      </c>
      <c r="J1157" s="16"/>
      <c r="K1157" s="15" t="s">
        <v>947</v>
      </c>
      <c r="L1157" s="15" t="n">
        <f aca="false">IF(AND(OR(Search!$C$4="",Search!$C$4="All",B1157=Search!$C$4),OR(Search!$C$5="",Search!$C$5="All",C1157=Search!$C$5),OR(Search!$C$6="",Search!$C$6="All",D1157=Search!$C$6),OR(Search!$C$7="",ISNUMBER(SEARCH(Search!$C$7,D1157&amp;" "&amp;E1157&amp;" "&amp;F1157&amp;" "&amp;G1157&amp;" "&amp;H1157&amp;" "&amp;J1157))),OR(Search!$C$8="",ISNUMBER(SEARCH(Search!$C$8,G1157)))),1,0)</f>
        <v>1</v>
      </c>
      <c r="M1157" s="15" t="n">
        <f aca="false">M1156+L1157</f>
        <v>1156</v>
      </c>
    </row>
    <row r="1158" customFormat="false" ht="15" hidden="false" customHeight="false" outlineLevel="0" collapsed="false">
      <c r="A1158" s="14" t="n">
        <v>1157</v>
      </c>
      <c r="B1158" s="15" t="s">
        <v>942</v>
      </c>
      <c r="C1158" s="15" t="s">
        <v>943</v>
      </c>
      <c r="D1158" s="16" t="s">
        <v>1018</v>
      </c>
      <c r="E1158" s="16" t="s">
        <v>1019</v>
      </c>
      <c r="F1158" s="15"/>
      <c r="G1158" s="15" t="s">
        <v>427</v>
      </c>
      <c r="H1158" s="15" t="s">
        <v>1020</v>
      </c>
      <c r="I1158" s="17" t="n">
        <v>1100</v>
      </c>
      <c r="J1158" s="16"/>
      <c r="K1158" s="15" t="s">
        <v>947</v>
      </c>
      <c r="L1158" s="15" t="n">
        <f aca="false">IF(AND(OR(Search!$C$4="",Search!$C$4="All",B1158=Search!$C$4),OR(Search!$C$5="",Search!$C$5="All",C1158=Search!$C$5),OR(Search!$C$6="",Search!$C$6="All",D1158=Search!$C$6),OR(Search!$C$7="",ISNUMBER(SEARCH(Search!$C$7,D1158&amp;" "&amp;E1158&amp;" "&amp;F1158&amp;" "&amp;G1158&amp;" "&amp;H1158&amp;" "&amp;J1158))),OR(Search!$C$8="",ISNUMBER(SEARCH(Search!$C$8,G1158)))),1,0)</f>
        <v>1</v>
      </c>
      <c r="M1158" s="15" t="n">
        <f aca="false">M1157+L1158</f>
        <v>1157</v>
      </c>
    </row>
    <row r="1159" customFormat="false" ht="15" hidden="false" customHeight="false" outlineLevel="0" collapsed="false">
      <c r="A1159" s="14" t="n">
        <v>1158</v>
      </c>
      <c r="B1159" s="15" t="s">
        <v>942</v>
      </c>
      <c r="C1159" s="15" t="s">
        <v>943</v>
      </c>
      <c r="D1159" s="16" t="s">
        <v>1018</v>
      </c>
      <c r="E1159" s="16" t="s">
        <v>1019</v>
      </c>
      <c r="F1159" s="15"/>
      <c r="G1159" s="15" t="s">
        <v>428</v>
      </c>
      <c r="H1159" s="15" t="s">
        <v>1020</v>
      </c>
      <c r="I1159" s="17" t="n">
        <v>1275</v>
      </c>
      <c r="J1159" s="16"/>
      <c r="K1159" s="15" t="s">
        <v>947</v>
      </c>
      <c r="L1159" s="15" t="n">
        <f aca="false">IF(AND(OR(Search!$C$4="",Search!$C$4="All",B1159=Search!$C$4),OR(Search!$C$5="",Search!$C$5="All",C1159=Search!$C$5),OR(Search!$C$6="",Search!$C$6="All",D1159=Search!$C$6),OR(Search!$C$7="",ISNUMBER(SEARCH(Search!$C$7,D1159&amp;" "&amp;E1159&amp;" "&amp;F1159&amp;" "&amp;G1159&amp;" "&amp;H1159&amp;" "&amp;J1159))),OR(Search!$C$8="",ISNUMBER(SEARCH(Search!$C$8,G1159)))),1,0)</f>
        <v>1</v>
      </c>
      <c r="M1159" s="15" t="n">
        <f aca="false">M1158+L1159</f>
        <v>1158</v>
      </c>
    </row>
    <row r="1160" customFormat="false" ht="23.85" hidden="false" customHeight="false" outlineLevel="0" collapsed="false">
      <c r="A1160" s="14" t="n">
        <v>1159</v>
      </c>
      <c r="B1160" s="15" t="s">
        <v>942</v>
      </c>
      <c r="C1160" s="15" t="s">
        <v>943</v>
      </c>
      <c r="D1160" s="16" t="s">
        <v>1021</v>
      </c>
      <c r="E1160" s="16" t="s">
        <v>1022</v>
      </c>
      <c r="F1160" s="15" t="s">
        <v>289</v>
      </c>
      <c r="G1160" s="15" t="s">
        <v>427</v>
      </c>
      <c r="H1160" s="15" t="s">
        <v>1023</v>
      </c>
      <c r="I1160" s="17" t="n">
        <v>424</v>
      </c>
      <c r="J1160" s="16"/>
      <c r="K1160" s="15" t="s">
        <v>947</v>
      </c>
      <c r="L1160" s="15" t="n">
        <f aca="false">IF(AND(OR(Search!$C$4="",Search!$C$4="All",B1160=Search!$C$4),OR(Search!$C$5="",Search!$C$5="All",C1160=Search!$C$5),OR(Search!$C$6="",Search!$C$6="All",D1160=Search!$C$6),OR(Search!$C$7="",ISNUMBER(SEARCH(Search!$C$7,D1160&amp;" "&amp;E1160&amp;" "&amp;F1160&amp;" "&amp;G1160&amp;" "&amp;H1160&amp;" "&amp;J1160))),OR(Search!$C$8="",ISNUMBER(SEARCH(Search!$C$8,G1160)))),1,0)</f>
        <v>1</v>
      </c>
      <c r="M1160" s="15" t="n">
        <f aca="false">M1159+L1160</f>
        <v>1159</v>
      </c>
    </row>
    <row r="1161" customFormat="false" ht="23.85" hidden="false" customHeight="false" outlineLevel="0" collapsed="false">
      <c r="A1161" s="14" t="n">
        <v>1160</v>
      </c>
      <c r="B1161" s="15" t="s">
        <v>942</v>
      </c>
      <c r="C1161" s="15" t="s">
        <v>943</v>
      </c>
      <c r="D1161" s="16" t="s">
        <v>1021</v>
      </c>
      <c r="E1161" s="16" t="s">
        <v>1022</v>
      </c>
      <c r="F1161" s="15" t="s">
        <v>289</v>
      </c>
      <c r="G1161" s="15" t="s">
        <v>428</v>
      </c>
      <c r="H1161" s="15" t="s">
        <v>1023</v>
      </c>
      <c r="I1161" s="17" t="n">
        <v>479</v>
      </c>
      <c r="J1161" s="16"/>
      <c r="K1161" s="15" t="s">
        <v>947</v>
      </c>
      <c r="L1161" s="15" t="n">
        <f aca="false">IF(AND(OR(Search!$C$4="",Search!$C$4="All",B1161=Search!$C$4),OR(Search!$C$5="",Search!$C$5="All",C1161=Search!$C$5),OR(Search!$C$6="",Search!$C$6="All",D1161=Search!$C$6),OR(Search!$C$7="",ISNUMBER(SEARCH(Search!$C$7,D1161&amp;" "&amp;E1161&amp;" "&amp;F1161&amp;" "&amp;G1161&amp;" "&amp;H1161&amp;" "&amp;J1161))),OR(Search!$C$8="",ISNUMBER(SEARCH(Search!$C$8,G1161)))),1,0)</f>
        <v>1</v>
      </c>
      <c r="M1161" s="15" t="n">
        <f aca="false">M1160+L1161</f>
        <v>1160</v>
      </c>
    </row>
    <row r="1162" customFormat="false" ht="23.85" hidden="false" customHeight="false" outlineLevel="0" collapsed="false">
      <c r="A1162" s="14" t="n">
        <v>1161</v>
      </c>
      <c r="B1162" s="15" t="s">
        <v>942</v>
      </c>
      <c r="C1162" s="15" t="s">
        <v>943</v>
      </c>
      <c r="D1162" s="16" t="s">
        <v>1021</v>
      </c>
      <c r="E1162" s="16" t="s">
        <v>1022</v>
      </c>
      <c r="F1162" s="15" t="s">
        <v>289</v>
      </c>
      <c r="G1162" s="15" t="s">
        <v>427</v>
      </c>
      <c r="H1162" s="15" t="s">
        <v>946</v>
      </c>
      <c r="I1162" s="17" t="n">
        <v>1150</v>
      </c>
      <c r="J1162" s="16"/>
      <c r="K1162" s="15" t="s">
        <v>947</v>
      </c>
      <c r="L1162" s="15" t="n">
        <f aca="false">IF(AND(OR(Search!$C$4="",Search!$C$4="All",B1162=Search!$C$4),OR(Search!$C$5="",Search!$C$5="All",C1162=Search!$C$5),OR(Search!$C$6="",Search!$C$6="All",D1162=Search!$C$6),OR(Search!$C$7="",ISNUMBER(SEARCH(Search!$C$7,D1162&amp;" "&amp;E1162&amp;" "&amp;F1162&amp;" "&amp;G1162&amp;" "&amp;H1162&amp;" "&amp;J1162))),OR(Search!$C$8="",ISNUMBER(SEARCH(Search!$C$8,G1162)))),1,0)</f>
        <v>1</v>
      </c>
      <c r="M1162" s="15" t="n">
        <f aca="false">M1161+L1162</f>
        <v>1161</v>
      </c>
    </row>
    <row r="1163" customFormat="false" ht="23.85" hidden="false" customHeight="false" outlineLevel="0" collapsed="false">
      <c r="A1163" s="14" t="n">
        <v>1162</v>
      </c>
      <c r="B1163" s="15" t="s">
        <v>942</v>
      </c>
      <c r="C1163" s="15" t="s">
        <v>943</v>
      </c>
      <c r="D1163" s="16" t="s">
        <v>1021</v>
      </c>
      <c r="E1163" s="16" t="s">
        <v>1022</v>
      </c>
      <c r="F1163" s="15" t="s">
        <v>289</v>
      </c>
      <c r="G1163" s="15" t="s">
        <v>428</v>
      </c>
      <c r="H1163" s="15" t="s">
        <v>946</v>
      </c>
      <c r="I1163" s="17" t="n">
        <v>1425</v>
      </c>
      <c r="J1163" s="16"/>
      <c r="K1163" s="15" t="s">
        <v>947</v>
      </c>
      <c r="L1163" s="15" t="n">
        <f aca="false">IF(AND(OR(Search!$C$4="",Search!$C$4="All",B1163=Search!$C$4),OR(Search!$C$5="",Search!$C$5="All",C1163=Search!$C$5),OR(Search!$C$6="",Search!$C$6="All",D1163=Search!$C$6),OR(Search!$C$7="",ISNUMBER(SEARCH(Search!$C$7,D1163&amp;" "&amp;E1163&amp;" "&amp;F1163&amp;" "&amp;G1163&amp;" "&amp;H1163&amp;" "&amp;J1163))),OR(Search!$C$8="",ISNUMBER(SEARCH(Search!$C$8,G1163)))),1,0)</f>
        <v>1</v>
      </c>
      <c r="M1163" s="15" t="n">
        <f aca="false">M1162+L1163</f>
        <v>1162</v>
      </c>
    </row>
    <row r="1164" customFormat="false" ht="23.85" hidden="false" customHeight="false" outlineLevel="0" collapsed="false">
      <c r="A1164" s="14" t="n">
        <v>1163</v>
      </c>
      <c r="B1164" s="15" t="s">
        <v>942</v>
      </c>
      <c r="C1164" s="15" t="s">
        <v>943</v>
      </c>
      <c r="D1164" s="16" t="s">
        <v>1024</v>
      </c>
      <c r="E1164" s="16" t="s">
        <v>1025</v>
      </c>
      <c r="F1164" s="15" t="s">
        <v>759</v>
      </c>
      <c r="G1164" s="15" t="s">
        <v>427</v>
      </c>
      <c r="H1164" s="15" t="s">
        <v>946</v>
      </c>
      <c r="I1164" s="17" t="n">
        <v>850</v>
      </c>
      <c r="J1164" s="16"/>
      <c r="K1164" s="15" t="s">
        <v>947</v>
      </c>
      <c r="L1164" s="15" t="n">
        <f aca="false">IF(AND(OR(Search!$C$4="",Search!$C$4="All",B1164=Search!$C$4),OR(Search!$C$5="",Search!$C$5="All",C1164=Search!$C$5),OR(Search!$C$6="",Search!$C$6="All",D1164=Search!$C$6),OR(Search!$C$7="",ISNUMBER(SEARCH(Search!$C$7,D1164&amp;" "&amp;E1164&amp;" "&amp;F1164&amp;" "&amp;G1164&amp;" "&amp;H1164&amp;" "&amp;J1164))),OR(Search!$C$8="",ISNUMBER(SEARCH(Search!$C$8,G1164)))),1,0)</f>
        <v>1</v>
      </c>
      <c r="M1164" s="15" t="n">
        <f aca="false">M1163+L1164</f>
        <v>1163</v>
      </c>
    </row>
    <row r="1165" customFormat="false" ht="23.85" hidden="false" customHeight="false" outlineLevel="0" collapsed="false">
      <c r="A1165" s="14" t="n">
        <v>1164</v>
      </c>
      <c r="B1165" s="15" t="s">
        <v>942</v>
      </c>
      <c r="C1165" s="15" t="s">
        <v>943</v>
      </c>
      <c r="D1165" s="16" t="s">
        <v>1024</v>
      </c>
      <c r="E1165" s="16" t="s">
        <v>1025</v>
      </c>
      <c r="F1165" s="15" t="s">
        <v>759</v>
      </c>
      <c r="G1165" s="15" t="s">
        <v>428</v>
      </c>
      <c r="H1165" s="15" t="s">
        <v>946</v>
      </c>
      <c r="I1165" s="17" t="n">
        <v>1025</v>
      </c>
      <c r="J1165" s="16"/>
      <c r="K1165" s="15" t="s">
        <v>947</v>
      </c>
      <c r="L1165" s="15" t="n">
        <f aca="false">IF(AND(OR(Search!$C$4="",Search!$C$4="All",B1165=Search!$C$4),OR(Search!$C$5="",Search!$C$5="All",C1165=Search!$C$5),OR(Search!$C$6="",Search!$C$6="All",D1165=Search!$C$6),OR(Search!$C$7="",ISNUMBER(SEARCH(Search!$C$7,D1165&amp;" "&amp;E1165&amp;" "&amp;F1165&amp;" "&amp;G1165&amp;" "&amp;H1165&amp;" "&amp;J1165))),OR(Search!$C$8="",ISNUMBER(SEARCH(Search!$C$8,G1165)))),1,0)</f>
        <v>1</v>
      </c>
      <c r="M1165" s="15" t="n">
        <f aca="false">M1164+L1165</f>
        <v>1164</v>
      </c>
    </row>
    <row r="1166" customFormat="false" ht="23.85" hidden="false" customHeight="false" outlineLevel="0" collapsed="false">
      <c r="A1166" s="14" t="n">
        <v>1165</v>
      </c>
      <c r="B1166" s="15" t="s">
        <v>942</v>
      </c>
      <c r="C1166" s="15" t="s">
        <v>943</v>
      </c>
      <c r="D1166" s="16" t="s">
        <v>1024</v>
      </c>
      <c r="E1166" s="16" t="s">
        <v>1025</v>
      </c>
      <c r="F1166" s="15" t="s">
        <v>703</v>
      </c>
      <c r="G1166" s="15" t="s">
        <v>427</v>
      </c>
      <c r="H1166" s="15" t="s">
        <v>946</v>
      </c>
      <c r="I1166" s="17" t="n">
        <v>1750</v>
      </c>
      <c r="J1166" s="16"/>
      <c r="K1166" s="15" t="s">
        <v>947</v>
      </c>
      <c r="L1166" s="15" t="n">
        <f aca="false">IF(AND(OR(Search!$C$4="",Search!$C$4="All",B1166=Search!$C$4),OR(Search!$C$5="",Search!$C$5="All",C1166=Search!$C$5),OR(Search!$C$6="",Search!$C$6="All",D1166=Search!$C$6),OR(Search!$C$7="",ISNUMBER(SEARCH(Search!$C$7,D1166&amp;" "&amp;E1166&amp;" "&amp;F1166&amp;" "&amp;G1166&amp;" "&amp;H1166&amp;" "&amp;J1166))),OR(Search!$C$8="",ISNUMBER(SEARCH(Search!$C$8,G1166)))),1,0)</f>
        <v>1</v>
      </c>
      <c r="M1166" s="15" t="n">
        <f aca="false">M1165+L1166</f>
        <v>1165</v>
      </c>
    </row>
    <row r="1167" customFormat="false" ht="23.85" hidden="false" customHeight="false" outlineLevel="0" collapsed="false">
      <c r="A1167" s="14" t="n">
        <v>1166</v>
      </c>
      <c r="B1167" s="15" t="s">
        <v>942</v>
      </c>
      <c r="C1167" s="15" t="s">
        <v>943</v>
      </c>
      <c r="D1167" s="16" t="s">
        <v>1024</v>
      </c>
      <c r="E1167" s="16" t="s">
        <v>1025</v>
      </c>
      <c r="F1167" s="15" t="s">
        <v>703</v>
      </c>
      <c r="G1167" s="15" t="s">
        <v>428</v>
      </c>
      <c r="H1167" s="15" t="s">
        <v>946</v>
      </c>
      <c r="I1167" s="17" t="n">
        <v>2025</v>
      </c>
      <c r="J1167" s="16"/>
      <c r="K1167" s="15" t="s">
        <v>947</v>
      </c>
      <c r="L1167" s="15" t="n">
        <f aca="false">IF(AND(OR(Search!$C$4="",Search!$C$4="All",B1167=Search!$C$4),OR(Search!$C$5="",Search!$C$5="All",C1167=Search!$C$5),OR(Search!$C$6="",Search!$C$6="All",D1167=Search!$C$6),OR(Search!$C$7="",ISNUMBER(SEARCH(Search!$C$7,D1167&amp;" "&amp;E1167&amp;" "&amp;F1167&amp;" "&amp;G1167&amp;" "&amp;H1167&amp;" "&amp;J1167))),OR(Search!$C$8="",ISNUMBER(SEARCH(Search!$C$8,G1167)))),1,0)</f>
        <v>1</v>
      </c>
      <c r="M1167" s="15" t="n">
        <f aca="false">M1166+L1167</f>
        <v>1166</v>
      </c>
    </row>
    <row r="1168" customFormat="false" ht="23.85" hidden="false" customHeight="false" outlineLevel="0" collapsed="false">
      <c r="A1168" s="14" t="n">
        <v>1167</v>
      </c>
      <c r="B1168" s="15" t="s">
        <v>942</v>
      </c>
      <c r="C1168" s="15" t="s">
        <v>565</v>
      </c>
      <c r="D1168" s="16" t="s">
        <v>1026</v>
      </c>
      <c r="E1168" s="16" t="s">
        <v>1025</v>
      </c>
      <c r="F1168" s="15" t="s">
        <v>759</v>
      </c>
      <c r="G1168" s="15" t="s">
        <v>974</v>
      </c>
      <c r="H1168" s="15" t="s">
        <v>1027</v>
      </c>
      <c r="I1168" s="17" t="n">
        <v>400</v>
      </c>
      <c r="J1168" s="16"/>
      <c r="K1168" s="15" t="s">
        <v>947</v>
      </c>
      <c r="L1168" s="15" t="n">
        <f aca="false">IF(AND(OR(Search!$C$4="",Search!$C$4="All",B1168=Search!$C$4),OR(Search!$C$5="",Search!$C$5="All",C1168=Search!$C$5),OR(Search!$C$6="",Search!$C$6="All",D1168=Search!$C$6),OR(Search!$C$7="",ISNUMBER(SEARCH(Search!$C$7,D1168&amp;" "&amp;E1168&amp;" "&amp;F1168&amp;" "&amp;G1168&amp;" "&amp;H1168&amp;" "&amp;J1168))),OR(Search!$C$8="",ISNUMBER(SEARCH(Search!$C$8,G1168)))),1,0)</f>
        <v>1</v>
      </c>
      <c r="M1168" s="15" t="n">
        <f aca="false">M1167+L1168</f>
        <v>1167</v>
      </c>
    </row>
    <row r="1169" customFormat="false" ht="23.85" hidden="false" customHeight="false" outlineLevel="0" collapsed="false">
      <c r="A1169" s="14" t="n">
        <v>1168</v>
      </c>
      <c r="B1169" s="15" t="s">
        <v>942</v>
      </c>
      <c r="C1169" s="15" t="s">
        <v>565</v>
      </c>
      <c r="D1169" s="16" t="s">
        <v>1028</v>
      </c>
      <c r="E1169" s="16" t="s">
        <v>1025</v>
      </c>
      <c r="F1169" s="15" t="s">
        <v>759</v>
      </c>
      <c r="G1169" s="15" t="s">
        <v>1008</v>
      </c>
      <c r="H1169" s="15" t="s">
        <v>1027</v>
      </c>
      <c r="I1169" s="17" t="n">
        <v>525</v>
      </c>
      <c r="J1169" s="16"/>
      <c r="K1169" s="15" t="s">
        <v>947</v>
      </c>
      <c r="L1169" s="15" t="n">
        <f aca="false">IF(AND(OR(Search!$C$4="",Search!$C$4="All",B1169=Search!$C$4),OR(Search!$C$5="",Search!$C$5="All",C1169=Search!$C$5),OR(Search!$C$6="",Search!$C$6="All",D1169=Search!$C$6),OR(Search!$C$7="",ISNUMBER(SEARCH(Search!$C$7,D1169&amp;" "&amp;E1169&amp;" "&amp;F1169&amp;" "&amp;G1169&amp;" "&amp;H1169&amp;" "&amp;J1169))),OR(Search!$C$8="",ISNUMBER(SEARCH(Search!$C$8,G1169)))),1,0)</f>
        <v>1</v>
      </c>
      <c r="M1169" s="15" t="n">
        <f aca="false">M1168+L1169</f>
        <v>1168</v>
      </c>
    </row>
    <row r="1170" customFormat="false" ht="23.85" hidden="false" customHeight="false" outlineLevel="0" collapsed="false">
      <c r="A1170" s="14" t="n">
        <v>1169</v>
      </c>
      <c r="B1170" s="15" t="s">
        <v>942</v>
      </c>
      <c r="C1170" s="15" t="s">
        <v>565</v>
      </c>
      <c r="D1170" s="16" t="s">
        <v>1029</v>
      </c>
      <c r="E1170" s="16" t="s">
        <v>1025</v>
      </c>
      <c r="F1170" s="15" t="s">
        <v>759</v>
      </c>
      <c r="G1170" s="15" t="s">
        <v>966</v>
      </c>
      <c r="H1170" s="15" t="s">
        <v>1027</v>
      </c>
      <c r="I1170" s="17" t="n">
        <v>550</v>
      </c>
      <c r="J1170" s="16"/>
      <c r="K1170" s="15" t="s">
        <v>947</v>
      </c>
      <c r="L1170" s="15" t="n">
        <f aca="false">IF(AND(OR(Search!$C$4="",Search!$C$4="All",B1170=Search!$C$4),OR(Search!$C$5="",Search!$C$5="All",C1170=Search!$C$5),OR(Search!$C$6="",Search!$C$6="All",D1170=Search!$C$6),OR(Search!$C$7="",ISNUMBER(SEARCH(Search!$C$7,D1170&amp;" "&amp;E1170&amp;" "&amp;F1170&amp;" "&amp;G1170&amp;" "&amp;H1170&amp;" "&amp;J1170))),OR(Search!$C$8="",ISNUMBER(SEARCH(Search!$C$8,G1170)))),1,0)</f>
        <v>1</v>
      </c>
      <c r="M1170" s="15" t="n">
        <f aca="false">M1169+L1170</f>
        <v>1169</v>
      </c>
    </row>
    <row r="1171" customFormat="false" ht="23.85" hidden="false" customHeight="false" outlineLevel="0" collapsed="false">
      <c r="A1171" s="14" t="n">
        <v>1170</v>
      </c>
      <c r="B1171" s="15" t="s">
        <v>942</v>
      </c>
      <c r="C1171" s="15" t="s">
        <v>565</v>
      </c>
      <c r="D1171" s="16" t="s">
        <v>1030</v>
      </c>
      <c r="E1171" s="16" t="s">
        <v>1025</v>
      </c>
      <c r="F1171" s="15" t="s">
        <v>759</v>
      </c>
      <c r="G1171" s="15" t="s">
        <v>978</v>
      </c>
      <c r="H1171" s="15" t="s">
        <v>1027</v>
      </c>
      <c r="I1171" s="17" t="n">
        <v>850</v>
      </c>
      <c r="J1171" s="16"/>
      <c r="K1171" s="15" t="s">
        <v>947</v>
      </c>
      <c r="L1171" s="15" t="n">
        <f aca="false">IF(AND(OR(Search!$C$4="",Search!$C$4="All",B1171=Search!$C$4),OR(Search!$C$5="",Search!$C$5="All",C1171=Search!$C$5),OR(Search!$C$6="",Search!$C$6="All",D1171=Search!$C$6),OR(Search!$C$7="",ISNUMBER(SEARCH(Search!$C$7,D1171&amp;" "&amp;E1171&amp;" "&amp;F1171&amp;" "&amp;G1171&amp;" "&amp;H1171&amp;" "&amp;J1171))),OR(Search!$C$8="",ISNUMBER(SEARCH(Search!$C$8,G1171)))),1,0)</f>
        <v>1</v>
      </c>
      <c r="M1171" s="15" t="n">
        <f aca="false">M1170+L1171</f>
        <v>1170</v>
      </c>
    </row>
    <row r="1172" customFormat="false" ht="23.85" hidden="false" customHeight="false" outlineLevel="0" collapsed="false">
      <c r="A1172" s="14" t="n">
        <v>1171</v>
      </c>
      <c r="B1172" s="15" t="s">
        <v>942</v>
      </c>
      <c r="C1172" s="15" t="s">
        <v>565</v>
      </c>
      <c r="D1172" s="16" t="s">
        <v>1031</v>
      </c>
      <c r="E1172" s="16" t="s">
        <v>1025</v>
      </c>
      <c r="F1172" s="15" t="s">
        <v>759</v>
      </c>
      <c r="G1172" s="15" t="s">
        <v>1012</v>
      </c>
      <c r="H1172" s="15" t="s">
        <v>1027</v>
      </c>
      <c r="I1172" s="17" t="n">
        <v>1025</v>
      </c>
      <c r="J1172" s="16"/>
      <c r="K1172" s="15" t="s">
        <v>947</v>
      </c>
      <c r="L1172" s="15" t="n">
        <f aca="false">IF(AND(OR(Search!$C$4="",Search!$C$4="All",B1172=Search!$C$4),OR(Search!$C$5="",Search!$C$5="All",C1172=Search!$C$5),OR(Search!$C$6="",Search!$C$6="All",D1172=Search!$C$6),OR(Search!$C$7="",ISNUMBER(SEARCH(Search!$C$7,D1172&amp;" "&amp;E1172&amp;" "&amp;F1172&amp;" "&amp;G1172&amp;" "&amp;H1172&amp;" "&amp;J1172))),OR(Search!$C$8="",ISNUMBER(SEARCH(Search!$C$8,G1172)))),1,0)</f>
        <v>1</v>
      </c>
      <c r="M1172" s="15" t="n">
        <f aca="false">M1171+L1172</f>
        <v>1171</v>
      </c>
    </row>
    <row r="1173" customFormat="false" ht="23.85" hidden="false" customHeight="false" outlineLevel="0" collapsed="false">
      <c r="A1173" s="14" t="n">
        <v>1172</v>
      </c>
      <c r="B1173" s="15" t="s">
        <v>942</v>
      </c>
      <c r="C1173" s="15" t="s">
        <v>565</v>
      </c>
      <c r="D1173" s="16" t="s">
        <v>1032</v>
      </c>
      <c r="E1173" s="16" t="s">
        <v>1025</v>
      </c>
      <c r="F1173" s="15" t="s">
        <v>759</v>
      </c>
      <c r="G1173" s="15" t="s">
        <v>1014</v>
      </c>
      <c r="H1173" s="15" t="s">
        <v>1027</v>
      </c>
      <c r="I1173" s="17" t="n">
        <v>1075</v>
      </c>
      <c r="J1173" s="16"/>
      <c r="K1173" s="15" t="s">
        <v>947</v>
      </c>
      <c r="L1173" s="15" t="n">
        <f aca="false">IF(AND(OR(Search!$C$4="",Search!$C$4="All",B1173=Search!$C$4),OR(Search!$C$5="",Search!$C$5="All",C1173=Search!$C$5),OR(Search!$C$6="",Search!$C$6="All",D1173=Search!$C$6),OR(Search!$C$7="",ISNUMBER(SEARCH(Search!$C$7,D1173&amp;" "&amp;E1173&amp;" "&amp;F1173&amp;" "&amp;G1173&amp;" "&amp;H1173&amp;" "&amp;J1173))),OR(Search!$C$8="",ISNUMBER(SEARCH(Search!$C$8,G1173)))),1,0)</f>
        <v>1</v>
      </c>
      <c r="M1173" s="15" t="n">
        <f aca="false">M1172+L1173</f>
        <v>1172</v>
      </c>
    </row>
    <row r="1174" customFormat="false" ht="23.85" hidden="false" customHeight="false" outlineLevel="0" collapsed="false">
      <c r="A1174" s="14" t="n">
        <v>1173</v>
      </c>
      <c r="B1174" s="15" t="s">
        <v>942</v>
      </c>
      <c r="C1174" s="15" t="s">
        <v>943</v>
      </c>
      <c r="D1174" s="16" t="s">
        <v>1033</v>
      </c>
      <c r="E1174" s="16" t="s">
        <v>1034</v>
      </c>
      <c r="F1174" s="15" t="s">
        <v>759</v>
      </c>
      <c r="G1174" s="15" t="s">
        <v>427</v>
      </c>
      <c r="H1174" s="15" t="s">
        <v>946</v>
      </c>
      <c r="I1174" s="17" t="n">
        <v>875</v>
      </c>
      <c r="J1174" s="16"/>
      <c r="K1174" s="15" t="s">
        <v>947</v>
      </c>
      <c r="L1174" s="15" t="n">
        <f aca="false">IF(AND(OR(Search!$C$4="",Search!$C$4="All",B1174=Search!$C$4),OR(Search!$C$5="",Search!$C$5="All",C1174=Search!$C$5),OR(Search!$C$6="",Search!$C$6="All",D1174=Search!$C$6),OR(Search!$C$7="",ISNUMBER(SEARCH(Search!$C$7,D1174&amp;" "&amp;E1174&amp;" "&amp;F1174&amp;" "&amp;G1174&amp;" "&amp;H1174&amp;" "&amp;J1174))),OR(Search!$C$8="",ISNUMBER(SEARCH(Search!$C$8,G1174)))),1,0)</f>
        <v>1</v>
      </c>
      <c r="M1174" s="15" t="n">
        <f aca="false">M1173+L1174</f>
        <v>1173</v>
      </c>
    </row>
    <row r="1175" customFormat="false" ht="23.85" hidden="false" customHeight="false" outlineLevel="0" collapsed="false">
      <c r="A1175" s="14" t="n">
        <v>1174</v>
      </c>
      <c r="B1175" s="15" t="s">
        <v>942</v>
      </c>
      <c r="C1175" s="15" t="s">
        <v>943</v>
      </c>
      <c r="D1175" s="16" t="s">
        <v>1033</v>
      </c>
      <c r="E1175" s="16" t="s">
        <v>1034</v>
      </c>
      <c r="F1175" s="15" t="s">
        <v>759</v>
      </c>
      <c r="G1175" s="15" t="s">
        <v>428</v>
      </c>
      <c r="H1175" s="15" t="s">
        <v>946</v>
      </c>
      <c r="I1175" s="17" t="n">
        <v>1050</v>
      </c>
      <c r="J1175" s="16"/>
      <c r="K1175" s="15" t="s">
        <v>947</v>
      </c>
      <c r="L1175" s="15" t="n">
        <f aca="false">IF(AND(OR(Search!$C$4="",Search!$C$4="All",B1175=Search!$C$4),OR(Search!$C$5="",Search!$C$5="All",C1175=Search!$C$5),OR(Search!$C$6="",Search!$C$6="All",D1175=Search!$C$6),OR(Search!$C$7="",ISNUMBER(SEARCH(Search!$C$7,D1175&amp;" "&amp;E1175&amp;" "&amp;F1175&amp;" "&amp;G1175&amp;" "&amp;H1175&amp;" "&amp;J1175))),OR(Search!$C$8="",ISNUMBER(SEARCH(Search!$C$8,G1175)))),1,0)</f>
        <v>1</v>
      </c>
      <c r="M1175" s="15" t="n">
        <f aca="false">M1174+L1175</f>
        <v>1174</v>
      </c>
    </row>
    <row r="1176" customFormat="false" ht="23.85" hidden="false" customHeight="false" outlineLevel="0" collapsed="false">
      <c r="A1176" s="14" t="n">
        <v>1175</v>
      </c>
      <c r="B1176" s="15" t="s">
        <v>942</v>
      </c>
      <c r="C1176" s="15" t="s">
        <v>943</v>
      </c>
      <c r="D1176" s="16" t="s">
        <v>1033</v>
      </c>
      <c r="E1176" s="16" t="s">
        <v>1034</v>
      </c>
      <c r="F1176" s="15" t="s">
        <v>289</v>
      </c>
      <c r="G1176" s="15" t="s">
        <v>427</v>
      </c>
      <c r="H1176" s="15" t="s">
        <v>946</v>
      </c>
      <c r="I1176" s="17" t="n">
        <v>2075</v>
      </c>
      <c r="J1176" s="16"/>
      <c r="K1176" s="15" t="s">
        <v>947</v>
      </c>
      <c r="L1176" s="15" t="n">
        <f aca="false">IF(AND(OR(Search!$C$4="",Search!$C$4="All",B1176=Search!$C$4),OR(Search!$C$5="",Search!$C$5="All",C1176=Search!$C$5),OR(Search!$C$6="",Search!$C$6="All",D1176=Search!$C$6),OR(Search!$C$7="",ISNUMBER(SEARCH(Search!$C$7,D1176&amp;" "&amp;E1176&amp;" "&amp;F1176&amp;" "&amp;G1176&amp;" "&amp;H1176&amp;" "&amp;J1176))),OR(Search!$C$8="",ISNUMBER(SEARCH(Search!$C$8,G1176)))),1,0)</f>
        <v>1</v>
      </c>
      <c r="M1176" s="15" t="n">
        <f aca="false">M1175+L1176</f>
        <v>1175</v>
      </c>
    </row>
    <row r="1177" customFormat="false" ht="23.85" hidden="false" customHeight="false" outlineLevel="0" collapsed="false">
      <c r="A1177" s="14" t="n">
        <v>1176</v>
      </c>
      <c r="B1177" s="15" t="s">
        <v>942</v>
      </c>
      <c r="C1177" s="15" t="s">
        <v>943</v>
      </c>
      <c r="D1177" s="16" t="s">
        <v>1033</v>
      </c>
      <c r="E1177" s="16" t="s">
        <v>1034</v>
      </c>
      <c r="F1177" s="15" t="s">
        <v>289</v>
      </c>
      <c r="G1177" s="15" t="s">
        <v>428</v>
      </c>
      <c r="H1177" s="15" t="s">
        <v>946</v>
      </c>
      <c r="I1177" s="17" t="n">
        <v>2350</v>
      </c>
      <c r="J1177" s="16"/>
      <c r="K1177" s="15" t="s">
        <v>947</v>
      </c>
      <c r="L1177" s="15" t="n">
        <f aca="false">IF(AND(OR(Search!$C$4="",Search!$C$4="All",B1177=Search!$C$4),OR(Search!$C$5="",Search!$C$5="All",C1177=Search!$C$5),OR(Search!$C$6="",Search!$C$6="All",D1177=Search!$C$6),OR(Search!$C$7="",ISNUMBER(SEARCH(Search!$C$7,D1177&amp;" "&amp;E1177&amp;" "&amp;F1177&amp;" "&amp;G1177&amp;" "&amp;H1177&amp;" "&amp;J1177))),OR(Search!$C$8="",ISNUMBER(SEARCH(Search!$C$8,G1177)))),1,0)</f>
        <v>1</v>
      </c>
      <c r="M1177" s="15" t="n">
        <f aca="false">M1176+L1177</f>
        <v>1176</v>
      </c>
    </row>
    <row r="1178" customFormat="false" ht="15" hidden="false" customHeight="false" outlineLevel="0" collapsed="false">
      <c r="A1178" s="14" t="n">
        <v>1177</v>
      </c>
      <c r="B1178" s="15" t="s">
        <v>942</v>
      </c>
      <c r="C1178" s="15" t="s">
        <v>943</v>
      </c>
      <c r="D1178" s="16" t="s">
        <v>1035</v>
      </c>
      <c r="E1178" s="16"/>
      <c r="F1178" s="15" t="s">
        <v>643</v>
      </c>
      <c r="G1178" s="15" t="s">
        <v>427</v>
      </c>
      <c r="H1178" s="15" t="s">
        <v>1036</v>
      </c>
      <c r="I1178" s="17" t="n">
        <v>1600</v>
      </c>
      <c r="J1178" s="16"/>
      <c r="K1178" s="15" t="s">
        <v>947</v>
      </c>
      <c r="L1178" s="15" t="n">
        <f aca="false">IF(AND(OR(Search!$C$4="",Search!$C$4="All",B1178=Search!$C$4),OR(Search!$C$5="",Search!$C$5="All",C1178=Search!$C$5),OR(Search!$C$6="",Search!$C$6="All",D1178=Search!$C$6),OR(Search!$C$7="",ISNUMBER(SEARCH(Search!$C$7,D1178&amp;" "&amp;E1178&amp;" "&amp;F1178&amp;" "&amp;G1178&amp;" "&amp;H1178&amp;" "&amp;J1178))),OR(Search!$C$8="",ISNUMBER(SEARCH(Search!$C$8,G1178)))),1,0)</f>
        <v>1</v>
      </c>
      <c r="M1178" s="15" t="n">
        <f aca="false">M1177+L1178</f>
        <v>1177</v>
      </c>
    </row>
    <row r="1179" customFormat="false" ht="15" hidden="false" customHeight="false" outlineLevel="0" collapsed="false">
      <c r="A1179" s="14" t="n">
        <v>1178</v>
      </c>
      <c r="B1179" s="15" t="s">
        <v>942</v>
      </c>
      <c r="C1179" s="15" t="s">
        <v>943</v>
      </c>
      <c r="D1179" s="16" t="s">
        <v>1035</v>
      </c>
      <c r="E1179" s="16"/>
      <c r="F1179" s="15" t="s">
        <v>643</v>
      </c>
      <c r="G1179" s="15" t="s">
        <v>443</v>
      </c>
      <c r="H1179" s="15" t="s">
        <v>1036</v>
      </c>
      <c r="I1179" s="17" t="n">
        <v>1750</v>
      </c>
      <c r="J1179" s="16"/>
      <c r="K1179" s="15" t="s">
        <v>947</v>
      </c>
      <c r="L1179" s="15" t="n">
        <f aca="false">IF(AND(OR(Search!$C$4="",Search!$C$4="All",B1179=Search!$C$4),OR(Search!$C$5="",Search!$C$5="All",C1179=Search!$C$5),OR(Search!$C$6="",Search!$C$6="All",D1179=Search!$C$6),OR(Search!$C$7="",ISNUMBER(SEARCH(Search!$C$7,D1179&amp;" "&amp;E1179&amp;" "&amp;F1179&amp;" "&amp;G1179&amp;" "&amp;H1179&amp;" "&amp;J1179))),OR(Search!$C$8="",ISNUMBER(SEARCH(Search!$C$8,G1179)))),1,0)</f>
        <v>1</v>
      </c>
      <c r="M1179" s="15" t="n">
        <f aca="false">M1178+L1179</f>
        <v>1178</v>
      </c>
    </row>
    <row r="1180" customFormat="false" ht="15" hidden="false" customHeight="false" outlineLevel="0" collapsed="false">
      <c r="A1180" s="14" t="n">
        <v>1179</v>
      </c>
      <c r="B1180" s="15" t="s">
        <v>942</v>
      </c>
      <c r="C1180" s="15" t="s">
        <v>943</v>
      </c>
      <c r="D1180" s="16" t="s">
        <v>1035</v>
      </c>
      <c r="E1180" s="16"/>
      <c r="F1180" s="15" t="s">
        <v>643</v>
      </c>
      <c r="G1180" s="15" t="s">
        <v>564</v>
      </c>
      <c r="H1180" s="15" t="s">
        <v>1036</v>
      </c>
      <c r="I1180" s="17" t="n">
        <v>1850</v>
      </c>
      <c r="J1180" s="16"/>
      <c r="K1180" s="15" t="s">
        <v>947</v>
      </c>
      <c r="L1180" s="15" t="n">
        <f aca="false">IF(AND(OR(Search!$C$4="",Search!$C$4="All",B1180=Search!$C$4),OR(Search!$C$5="",Search!$C$5="All",C1180=Search!$C$5),OR(Search!$C$6="",Search!$C$6="All",D1180=Search!$C$6),OR(Search!$C$7="",ISNUMBER(SEARCH(Search!$C$7,D1180&amp;" "&amp;E1180&amp;" "&amp;F1180&amp;" "&amp;G1180&amp;" "&amp;H1180&amp;" "&amp;J1180))),OR(Search!$C$8="",ISNUMBER(SEARCH(Search!$C$8,G1180)))),1,0)</f>
        <v>1</v>
      </c>
      <c r="M1180" s="15" t="n">
        <f aca="false">M1179+L1180</f>
        <v>1179</v>
      </c>
    </row>
    <row r="1181" customFormat="false" ht="15" hidden="false" customHeight="false" outlineLevel="0" collapsed="false">
      <c r="A1181" s="14" t="n">
        <v>1180</v>
      </c>
      <c r="B1181" s="15" t="s">
        <v>942</v>
      </c>
      <c r="C1181" s="15" t="s">
        <v>943</v>
      </c>
      <c r="D1181" s="16" t="s">
        <v>1035</v>
      </c>
      <c r="E1181" s="16"/>
      <c r="F1181" s="15" t="s">
        <v>643</v>
      </c>
      <c r="G1181" s="15" t="s">
        <v>427</v>
      </c>
      <c r="H1181" s="15" t="s">
        <v>1037</v>
      </c>
      <c r="I1181" s="17" t="n">
        <v>1405</v>
      </c>
      <c r="J1181" s="16"/>
      <c r="K1181" s="15" t="s">
        <v>947</v>
      </c>
      <c r="L1181" s="15" t="n">
        <f aca="false">IF(AND(OR(Search!$C$4="",Search!$C$4="All",B1181=Search!$C$4),OR(Search!$C$5="",Search!$C$5="All",C1181=Search!$C$5),OR(Search!$C$6="",Search!$C$6="All",D1181=Search!$C$6),OR(Search!$C$7="",ISNUMBER(SEARCH(Search!$C$7,D1181&amp;" "&amp;E1181&amp;" "&amp;F1181&amp;" "&amp;G1181&amp;" "&amp;H1181&amp;" "&amp;J1181))),OR(Search!$C$8="",ISNUMBER(SEARCH(Search!$C$8,G1181)))),1,0)</f>
        <v>1</v>
      </c>
      <c r="M1181" s="15" t="n">
        <f aca="false">M1180+L1181</f>
        <v>1180</v>
      </c>
    </row>
    <row r="1182" customFormat="false" ht="15" hidden="false" customHeight="false" outlineLevel="0" collapsed="false">
      <c r="A1182" s="14" t="n">
        <v>1181</v>
      </c>
      <c r="B1182" s="15" t="s">
        <v>942</v>
      </c>
      <c r="C1182" s="15" t="s">
        <v>943</v>
      </c>
      <c r="D1182" s="16" t="s">
        <v>1035</v>
      </c>
      <c r="E1182" s="16"/>
      <c r="F1182" s="15" t="s">
        <v>643</v>
      </c>
      <c r="G1182" s="15" t="s">
        <v>443</v>
      </c>
      <c r="H1182" s="15" t="s">
        <v>380</v>
      </c>
      <c r="I1182" s="17" t="n">
        <v>292</v>
      </c>
      <c r="J1182" s="16"/>
      <c r="K1182" s="15" t="s">
        <v>947</v>
      </c>
      <c r="L1182" s="15" t="n">
        <f aca="false">IF(AND(OR(Search!$C$4="",Search!$C$4="All",B1182=Search!$C$4),OR(Search!$C$5="",Search!$C$5="All",C1182=Search!$C$5),OR(Search!$C$6="",Search!$C$6="All",D1182=Search!$C$6),OR(Search!$C$7="",ISNUMBER(SEARCH(Search!$C$7,D1182&amp;" "&amp;E1182&amp;" "&amp;F1182&amp;" "&amp;G1182&amp;" "&amp;H1182&amp;" "&amp;J1182))),OR(Search!$C$8="",ISNUMBER(SEARCH(Search!$C$8,G1182)))),1,0)</f>
        <v>1</v>
      </c>
      <c r="M1182" s="15" t="n">
        <f aca="false">M1181+L1182</f>
        <v>1181</v>
      </c>
    </row>
    <row r="1183" customFormat="false" ht="15" hidden="false" customHeight="false" outlineLevel="0" collapsed="false">
      <c r="A1183" s="14" t="n">
        <v>1182</v>
      </c>
      <c r="B1183" s="15" t="s">
        <v>942</v>
      </c>
      <c r="C1183" s="15" t="s">
        <v>943</v>
      </c>
      <c r="D1183" s="16" t="s">
        <v>1035</v>
      </c>
      <c r="E1183" s="16"/>
      <c r="F1183" s="15" t="s">
        <v>643</v>
      </c>
      <c r="G1183" s="15" t="s">
        <v>443</v>
      </c>
      <c r="H1183" s="15" t="s">
        <v>1037</v>
      </c>
      <c r="I1183" s="17" t="n">
        <v>1460</v>
      </c>
      <c r="J1183" s="16"/>
      <c r="K1183" s="15" t="s">
        <v>947</v>
      </c>
      <c r="L1183" s="15" t="n">
        <f aca="false">IF(AND(OR(Search!$C$4="",Search!$C$4="All",B1183=Search!$C$4),OR(Search!$C$5="",Search!$C$5="All",C1183=Search!$C$5),OR(Search!$C$6="",Search!$C$6="All",D1183=Search!$C$6),OR(Search!$C$7="",ISNUMBER(SEARCH(Search!$C$7,D1183&amp;" "&amp;E1183&amp;" "&amp;F1183&amp;" "&amp;G1183&amp;" "&amp;H1183&amp;" "&amp;J1183))),OR(Search!$C$8="",ISNUMBER(SEARCH(Search!$C$8,G1183)))),1,0)</f>
        <v>1</v>
      </c>
      <c r="M1183" s="15" t="n">
        <f aca="false">M1182+L1183</f>
        <v>1182</v>
      </c>
    </row>
    <row r="1184" customFormat="false" ht="15" hidden="false" customHeight="false" outlineLevel="0" collapsed="false">
      <c r="A1184" s="14" t="n">
        <v>1183</v>
      </c>
      <c r="B1184" s="15" t="s">
        <v>942</v>
      </c>
      <c r="C1184" s="15" t="s">
        <v>943</v>
      </c>
      <c r="D1184" s="16" t="s">
        <v>1035</v>
      </c>
      <c r="E1184" s="16"/>
      <c r="F1184" s="15" t="s">
        <v>643</v>
      </c>
      <c r="G1184" s="15" t="s">
        <v>564</v>
      </c>
      <c r="H1184" s="15" t="s">
        <v>380</v>
      </c>
      <c r="I1184" s="17" t="n">
        <v>308</v>
      </c>
      <c r="J1184" s="16"/>
      <c r="K1184" s="15" t="s">
        <v>947</v>
      </c>
      <c r="L1184" s="15" t="n">
        <f aca="false">IF(AND(OR(Search!$C$4="",Search!$C$4="All",B1184=Search!$C$4),OR(Search!$C$5="",Search!$C$5="All",C1184=Search!$C$5),OR(Search!$C$6="",Search!$C$6="All",D1184=Search!$C$6),OR(Search!$C$7="",ISNUMBER(SEARCH(Search!$C$7,D1184&amp;" "&amp;E1184&amp;" "&amp;F1184&amp;" "&amp;G1184&amp;" "&amp;H1184&amp;" "&amp;J1184))),OR(Search!$C$8="",ISNUMBER(SEARCH(Search!$C$8,G1184)))),1,0)</f>
        <v>1</v>
      </c>
      <c r="M1184" s="15" t="n">
        <f aca="false">M1183+L1184</f>
        <v>1183</v>
      </c>
    </row>
    <row r="1185" customFormat="false" ht="15" hidden="false" customHeight="false" outlineLevel="0" collapsed="false">
      <c r="A1185" s="14" t="n">
        <v>1184</v>
      </c>
      <c r="B1185" s="15" t="s">
        <v>942</v>
      </c>
      <c r="C1185" s="15" t="s">
        <v>943</v>
      </c>
      <c r="D1185" s="16" t="s">
        <v>1035</v>
      </c>
      <c r="E1185" s="16"/>
      <c r="F1185" s="15" t="s">
        <v>643</v>
      </c>
      <c r="G1185" s="15" t="s">
        <v>564</v>
      </c>
      <c r="H1185" s="15" t="s">
        <v>1037</v>
      </c>
      <c r="I1185" s="17" t="n">
        <v>1540</v>
      </c>
      <c r="J1185" s="16"/>
      <c r="K1185" s="15" t="s">
        <v>947</v>
      </c>
      <c r="L1185" s="15" t="n">
        <f aca="false">IF(AND(OR(Search!$C$4="",Search!$C$4="All",B1185=Search!$C$4),OR(Search!$C$5="",Search!$C$5="All",C1185=Search!$C$5),OR(Search!$C$6="",Search!$C$6="All",D1185=Search!$C$6),OR(Search!$C$7="",ISNUMBER(SEARCH(Search!$C$7,D1185&amp;" "&amp;E1185&amp;" "&amp;F1185&amp;" "&amp;G1185&amp;" "&amp;H1185&amp;" "&amp;J1185))),OR(Search!$C$8="",ISNUMBER(SEARCH(Search!$C$8,G1185)))),1,0)</f>
        <v>1</v>
      </c>
      <c r="M1185" s="15" t="n">
        <f aca="false">M1184+L1185</f>
        <v>1184</v>
      </c>
    </row>
    <row r="1186" customFormat="false" ht="15" hidden="false" customHeight="false" outlineLevel="0" collapsed="false">
      <c r="A1186" s="14" t="n">
        <v>1185</v>
      </c>
      <c r="B1186" s="15" t="s">
        <v>942</v>
      </c>
      <c r="C1186" s="15" t="s">
        <v>943</v>
      </c>
      <c r="D1186" s="16" t="s">
        <v>1038</v>
      </c>
      <c r="E1186" s="16" t="s">
        <v>458</v>
      </c>
      <c r="F1186" s="15" t="s">
        <v>649</v>
      </c>
      <c r="G1186" s="15" t="s">
        <v>427</v>
      </c>
      <c r="H1186" s="15" t="s">
        <v>1039</v>
      </c>
      <c r="I1186" s="17" t="n">
        <v>310</v>
      </c>
      <c r="J1186" s="16"/>
      <c r="K1186" s="15" t="s">
        <v>947</v>
      </c>
      <c r="L1186" s="15" t="n">
        <f aca="false">IF(AND(OR(Search!$C$4="",Search!$C$4="All",B1186=Search!$C$4),OR(Search!$C$5="",Search!$C$5="All",C1186=Search!$C$5),OR(Search!$C$6="",Search!$C$6="All",D1186=Search!$C$6),OR(Search!$C$7="",ISNUMBER(SEARCH(Search!$C$7,D1186&amp;" "&amp;E1186&amp;" "&amp;F1186&amp;" "&amp;G1186&amp;" "&amp;H1186&amp;" "&amp;J1186))),OR(Search!$C$8="",ISNUMBER(SEARCH(Search!$C$8,G1186)))),1,0)</f>
        <v>1</v>
      </c>
      <c r="M1186" s="15" t="n">
        <f aca="false">M1185+L1186</f>
        <v>1185</v>
      </c>
    </row>
    <row r="1187" customFormat="false" ht="15" hidden="false" customHeight="false" outlineLevel="0" collapsed="false">
      <c r="A1187" s="14" t="n">
        <v>1186</v>
      </c>
      <c r="B1187" s="15" t="s">
        <v>942</v>
      </c>
      <c r="C1187" s="15" t="s">
        <v>943</v>
      </c>
      <c r="D1187" s="16" t="s">
        <v>1038</v>
      </c>
      <c r="E1187" s="16" t="s">
        <v>458</v>
      </c>
      <c r="F1187" s="15" t="s">
        <v>649</v>
      </c>
      <c r="G1187" s="15" t="s">
        <v>428</v>
      </c>
      <c r="H1187" s="15" t="s">
        <v>1039</v>
      </c>
      <c r="I1187" s="17" t="n">
        <v>350</v>
      </c>
      <c r="J1187" s="16"/>
      <c r="K1187" s="15" t="s">
        <v>947</v>
      </c>
      <c r="L1187" s="15" t="n">
        <f aca="false">IF(AND(OR(Search!$C$4="",Search!$C$4="All",B1187=Search!$C$4),OR(Search!$C$5="",Search!$C$5="All",C1187=Search!$C$5),OR(Search!$C$6="",Search!$C$6="All",D1187=Search!$C$6),OR(Search!$C$7="",ISNUMBER(SEARCH(Search!$C$7,D1187&amp;" "&amp;E1187&amp;" "&amp;F1187&amp;" "&amp;G1187&amp;" "&amp;H1187&amp;" "&amp;J1187))),OR(Search!$C$8="",ISNUMBER(SEARCH(Search!$C$8,G1187)))),1,0)</f>
        <v>1</v>
      </c>
      <c r="M1187" s="15" t="n">
        <f aca="false">M1186+L1187</f>
        <v>1186</v>
      </c>
    </row>
    <row r="1188" customFormat="false" ht="15" hidden="false" customHeight="false" outlineLevel="0" collapsed="false">
      <c r="A1188" s="14" t="n">
        <v>1187</v>
      </c>
      <c r="B1188" s="15" t="s">
        <v>942</v>
      </c>
      <c r="C1188" s="15" t="s">
        <v>943</v>
      </c>
      <c r="D1188" s="16" t="s">
        <v>1038</v>
      </c>
      <c r="E1188" s="16" t="s">
        <v>458</v>
      </c>
      <c r="F1188" s="15" t="s">
        <v>649</v>
      </c>
      <c r="G1188" s="15" t="s">
        <v>443</v>
      </c>
      <c r="H1188" s="15" t="s">
        <v>1039</v>
      </c>
      <c r="I1188" s="17" t="n">
        <v>330</v>
      </c>
      <c r="J1188" s="16"/>
      <c r="K1188" s="15" t="s">
        <v>947</v>
      </c>
      <c r="L1188" s="15" t="n">
        <f aca="false">IF(AND(OR(Search!$C$4="",Search!$C$4="All",B1188=Search!$C$4),OR(Search!$C$5="",Search!$C$5="All",C1188=Search!$C$5),OR(Search!$C$6="",Search!$C$6="All",D1188=Search!$C$6),OR(Search!$C$7="",ISNUMBER(SEARCH(Search!$C$7,D1188&amp;" "&amp;E1188&amp;" "&amp;F1188&amp;" "&amp;G1188&amp;" "&amp;H1188&amp;" "&amp;J1188))),OR(Search!$C$8="",ISNUMBER(SEARCH(Search!$C$8,G1188)))),1,0)</f>
        <v>1</v>
      </c>
      <c r="M1188" s="15" t="n">
        <f aca="false">M1187+L1188</f>
        <v>1187</v>
      </c>
    </row>
    <row r="1189" customFormat="false" ht="15" hidden="false" customHeight="false" outlineLevel="0" collapsed="false">
      <c r="A1189" s="14" t="n">
        <v>1188</v>
      </c>
      <c r="B1189" s="15" t="s">
        <v>942</v>
      </c>
      <c r="C1189" s="15" t="s">
        <v>943</v>
      </c>
      <c r="D1189" s="16" t="s">
        <v>1038</v>
      </c>
      <c r="E1189" s="16" t="s">
        <v>458</v>
      </c>
      <c r="F1189" s="15" t="s">
        <v>649</v>
      </c>
      <c r="G1189" s="15" t="s">
        <v>1040</v>
      </c>
      <c r="H1189" s="15" t="s">
        <v>1039</v>
      </c>
      <c r="I1189" s="17" t="n">
        <v>590</v>
      </c>
      <c r="J1189" s="16"/>
      <c r="K1189" s="15" t="s">
        <v>947</v>
      </c>
      <c r="L1189" s="15" t="n">
        <f aca="false">IF(AND(OR(Search!$C$4="",Search!$C$4="All",B1189=Search!$C$4),OR(Search!$C$5="",Search!$C$5="All",C1189=Search!$C$5),OR(Search!$C$6="",Search!$C$6="All",D1189=Search!$C$6),OR(Search!$C$7="",ISNUMBER(SEARCH(Search!$C$7,D1189&amp;" "&amp;E1189&amp;" "&amp;F1189&amp;" "&amp;G1189&amp;" "&amp;H1189&amp;" "&amp;J1189))),OR(Search!$C$8="",ISNUMBER(SEARCH(Search!$C$8,G1189)))),1,0)</f>
        <v>1</v>
      </c>
      <c r="M1189" s="15" t="n">
        <f aca="false">M1188+L1189</f>
        <v>1188</v>
      </c>
    </row>
    <row r="1190" customFormat="false" ht="15" hidden="false" customHeight="false" outlineLevel="0" collapsed="false">
      <c r="A1190" s="14" t="n">
        <v>1189</v>
      </c>
      <c r="B1190" s="15" t="s">
        <v>942</v>
      </c>
      <c r="C1190" s="15" t="s">
        <v>943</v>
      </c>
      <c r="D1190" s="16" t="s">
        <v>1038</v>
      </c>
      <c r="E1190" s="16" t="s">
        <v>458</v>
      </c>
      <c r="F1190" s="15" t="s">
        <v>192</v>
      </c>
      <c r="G1190" s="15" t="s">
        <v>427</v>
      </c>
      <c r="H1190" s="15" t="s">
        <v>946</v>
      </c>
      <c r="I1190" s="17" t="n">
        <v>450</v>
      </c>
      <c r="J1190" s="16"/>
      <c r="K1190" s="15" t="s">
        <v>947</v>
      </c>
      <c r="L1190" s="15" t="n">
        <f aca="false">IF(AND(OR(Search!$C$4="",Search!$C$4="All",B1190=Search!$C$4),OR(Search!$C$5="",Search!$C$5="All",C1190=Search!$C$5),OR(Search!$C$6="",Search!$C$6="All",D1190=Search!$C$6),OR(Search!$C$7="",ISNUMBER(SEARCH(Search!$C$7,D1190&amp;" "&amp;E1190&amp;" "&amp;F1190&amp;" "&amp;G1190&amp;" "&amp;H1190&amp;" "&amp;J1190))),OR(Search!$C$8="",ISNUMBER(SEARCH(Search!$C$8,G1190)))),1,0)</f>
        <v>1</v>
      </c>
      <c r="M1190" s="15" t="n">
        <f aca="false">M1189+L1190</f>
        <v>1189</v>
      </c>
    </row>
    <row r="1191" customFormat="false" ht="15" hidden="false" customHeight="false" outlineLevel="0" collapsed="false">
      <c r="A1191" s="14" t="n">
        <v>1190</v>
      </c>
      <c r="B1191" s="15" t="s">
        <v>942</v>
      </c>
      <c r="C1191" s="15" t="s">
        <v>943</v>
      </c>
      <c r="D1191" s="16" t="s">
        <v>1038</v>
      </c>
      <c r="E1191" s="16" t="s">
        <v>458</v>
      </c>
      <c r="F1191" s="15" t="s">
        <v>192</v>
      </c>
      <c r="G1191" s="15" t="s">
        <v>428</v>
      </c>
      <c r="H1191" s="15" t="s">
        <v>946</v>
      </c>
      <c r="I1191" s="17" t="n">
        <v>500</v>
      </c>
      <c r="J1191" s="16"/>
      <c r="K1191" s="15" t="s">
        <v>947</v>
      </c>
      <c r="L1191" s="15" t="n">
        <f aca="false">IF(AND(OR(Search!$C$4="",Search!$C$4="All",B1191=Search!$C$4),OR(Search!$C$5="",Search!$C$5="All",C1191=Search!$C$5),OR(Search!$C$6="",Search!$C$6="All",D1191=Search!$C$6),OR(Search!$C$7="",ISNUMBER(SEARCH(Search!$C$7,D1191&amp;" "&amp;E1191&amp;" "&amp;F1191&amp;" "&amp;G1191&amp;" "&amp;H1191&amp;" "&amp;J1191))),OR(Search!$C$8="",ISNUMBER(SEARCH(Search!$C$8,G1191)))),1,0)</f>
        <v>1</v>
      </c>
      <c r="M1191" s="15" t="n">
        <f aca="false">M1190+L1191</f>
        <v>1190</v>
      </c>
    </row>
    <row r="1192" customFormat="false" ht="15" hidden="false" customHeight="false" outlineLevel="0" collapsed="false">
      <c r="A1192" s="14" t="n">
        <v>1191</v>
      </c>
      <c r="B1192" s="15" t="s">
        <v>942</v>
      </c>
      <c r="C1192" s="15" t="s">
        <v>943</v>
      </c>
      <c r="D1192" s="16" t="s">
        <v>1038</v>
      </c>
      <c r="E1192" s="16" t="s">
        <v>458</v>
      </c>
      <c r="F1192" s="15" t="s">
        <v>192</v>
      </c>
      <c r="G1192" s="15" t="s">
        <v>443</v>
      </c>
      <c r="H1192" s="15" t="s">
        <v>946</v>
      </c>
      <c r="I1192" s="17" t="n">
        <v>475</v>
      </c>
      <c r="J1192" s="16"/>
      <c r="K1192" s="15" t="s">
        <v>947</v>
      </c>
      <c r="L1192" s="15" t="n">
        <f aca="false">IF(AND(OR(Search!$C$4="",Search!$C$4="All",B1192=Search!$C$4),OR(Search!$C$5="",Search!$C$5="All",C1192=Search!$C$5),OR(Search!$C$6="",Search!$C$6="All",D1192=Search!$C$6),OR(Search!$C$7="",ISNUMBER(SEARCH(Search!$C$7,D1192&amp;" "&amp;E1192&amp;" "&amp;F1192&amp;" "&amp;G1192&amp;" "&amp;H1192&amp;" "&amp;J1192))),OR(Search!$C$8="",ISNUMBER(SEARCH(Search!$C$8,G1192)))),1,0)</f>
        <v>1</v>
      </c>
      <c r="M1192" s="15" t="n">
        <f aca="false">M1191+L1192</f>
        <v>1191</v>
      </c>
    </row>
    <row r="1193" customFormat="false" ht="15" hidden="false" customHeight="false" outlineLevel="0" collapsed="false">
      <c r="A1193" s="14" t="n">
        <v>1192</v>
      </c>
      <c r="B1193" s="15" t="s">
        <v>942</v>
      </c>
      <c r="C1193" s="15" t="s">
        <v>943</v>
      </c>
      <c r="D1193" s="16" t="s">
        <v>1038</v>
      </c>
      <c r="E1193" s="16" t="s">
        <v>458</v>
      </c>
      <c r="F1193" s="15" t="s">
        <v>192</v>
      </c>
      <c r="G1193" s="15" t="s">
        <v>1040</v>
      </c>
      <c r="H1193" s="15" t="s">
        <v>946</v>
      </c>
      <c r="I1193" s="17" t="n">
        <v>1425</v>
      </c>
      <c r="J1193" s="16"/>
      <c r="K1193" s="15" t="s">
        <v>947</v>
      </c>
      <c r="L1193" s="15" t="n">
        <f aca="false">IF(AND(OR(Search!$C$4="",Search!$C$4="All",B1193=Search!$C$4),OR(Search!$C$5="",Search!$C$5="All",C1193=Search!$C$5),OR(Search!$C$6="",Search!$C$6="All",D1193=Search!$C$6),OR(Search!$C$7="",ISNUMBER(SEARCH(Search!$C$7,D1193&amp;" "&amp;E1193&amp;" "&amp;F1193&amp;" "&amp;G1193&amp;" "&amp;H1193&amp;" "&amp;J1193))),OR(Search!$C$8="",ISNUMBER(SEARCH(Search!$C$8,G1193)))),1,0)</f>
        <v>1</v>
      </c>
      <c r="M1193" s="15" t="n">
        <f aca="false">M1192+L1193</f>
        <v>1192</v>
      </c>
    </row>
    <row r="1194" customFormat="false" ht="15" hidden="false" customHeight="false" outlineLevel="0" collapsed="false">
      <c r="A1194" s="14" t="n">
        <v>1193</v>
      </c>
      <c r="B1194" s="15" t="s">
        <v>942</v>
      </c>
      <c r="C1194" s="15" t="s">
        <v>943</v>
      </c>
      <c r="D1194" s="16" t="s">
        <v>1038</v>
      </c>
      <c r="E1194" s="16" t="s">
        <v>458</v>
      </c>
      <c r="F1194" s="15" t="s">
        <v>192</v>
      </c>
      <c r="G1194" s="15" t="s">
        <v>427</v>
      </c>
      <c r="H1194" s="15" t="s">
        <v>948</v>
      </c>
      <c r="I1194" s="17" t="n">
        <v>695</v>
      </c>
      <c r="J1194" s="16"/>
      <c r="K1194" s="15" t="s">
        <v>947</v>
      </c>
      <c r="L1194" s="15" t="n">
        <f aca="false">IF(AND(OR(Search!$C$4="",Search!$C$4="All",B1194=Search!$C$4),OR(Search!$C$5="",Search!$C$5="All",C1194=Search!$C$5),OR(Search!$C$6="",Search!$C$6="All",D1194=Search!$C$6),OR(Search!$C$7="",ISNUMBER(SEARCH(Search!$C$7,D1194&amp;" "&amp;E1194&amp;" "&amp;F1194&amp;" "&amp;G1194&amp;" "&amp;H1194&amp;" "&amp;J1194))),OR(Search!$C$8="",ISNUMBER(SEARCH(Search!$C$8,G1194)))),1,0)</f>
        <v>1</v>
      </c>
      <c r="M1194" s="15" t="n">
        <f aca="false">M1193+L1194</f>
        <v>1193</v>
      </c>
    </row>
    <row r="1195" customFormat="false" ht="15" hidden="false" customHeight="false" outlineLevel="0" collapsed="false">
      <c r="A1195" s="14" t="n">
        <v>1194</v>
      </c>
      <c r="B1195" s="15" t="s">
        <v>942</v>
      </c>
      <c r="C1195" s="15" t="s">
        <v>943</v>
      </c>
      <c r="D1195" s="16" t="s">
        <v>1038</v>
      </c>
      <c r="E1195" s="16" t="s">
        <v>458</v>
      </c>
      <c r="F1195" s="15" t="s">
        <v>192</v>
      </c>
      <c r="G1195" s="15" t="s">
        <v>428</v>
      </c>
      <c r="H1195" s="15" t="s">
        <v>948</v>
      </c>
      <c r="I1195" s="17" t="n">
        <v>800</v>
      </c>
      <c r="J1195" s="16"/>
      <c r="K1195" s="15" t="s">
        <v>947</v>
      </c>
      <c r="L1195" s="15" t="n">
        <f aca="false">IF(AND(OR(Search!$C$4="",Search!$C$4="All",B1195=Search!$C$4),OR(Search!$C$5="",Search!$C$5="All",C1195=Search!$C$5),OR(Search!$C$6="",Search!$C$6="All",D1195=Search!$C$6),OR(Search!$C$7="",ISNUMBER(SEARCH(Search!$C$7,D1195&amp;" "&amp;E1195&amp;" "&amp;F1195&amp;" "&amp;G1195&amp;" "&amp;H1195&amp;" "&amp;J1195))),OR(Search!$C$8="",ISNUMBER(SEARCH(Search!$C$8,G1195)))),1,0)</f>
        <v>1</v>
      </c>
      <c r="M1195" s="15" t="n">
        <f aca="false">M1194+L1195</f>
        <v>1194</v>
      </c>
    </row>
    <row r="1196" customFormat="false" ht="15" hidden="false" customHeight="false" outlineLevel="0" collapsed="false">
      <c r="A1196" s="14" t="n">
        <v>1195</v>
      </c>
      <c r="B1196" s="15" t="s">
        <v>942</v>
      </c>
      <c r="C1196" s="15" t="s">
        <v>943</v>
      </c>
      <c r="D1196" s="16" t="s">
        <v>1038</v>
      </c>
      <c r="E1196" s="16" t="s">
        <v>458</v>
      </c>
      <c r="F1196" s="15" t="s">
        <v>192</v>
      </c>
      <c r="G1196" s="15" t="s">
        <v>443</v>
      </c>
      <c r="H1196" s="15" t="s">
        <v>948</v>
      </c>
      <c r="I1196" s="17" t="n">
        <v>770</v>
      </c>
      <c r="J1196" s="16"/>
      <c r="K1196" s="15" t="s">
        <v>947</v>
      </c>
      <c r="L1196" s="15" t="n">
        <f aca="false">IF(AND(OR(Search!$C$4="",Search!$C$4="All",B1196=Search!$C$4),OR(Search!$C$5="",Search!$C$5="All",C1196=Search!$C$5),OR(Search!$C$6="",Search!$C$6="All",D1196=Search!$C$6),OR(Search!$C$7="",ISNUMBER(SEARCH(Search!$C$7,D1196&amp;" "&amp;E1196&amp;" "&amp;F1196&amp;" "&amp;G1196&amp;" "&amp;H1196&amp;" "&amp;J1196))),OR(Search!$C$8="",ISNUMBER(SEARCH(Search!$C$8,G1196)))),1,0)</f>
        <v>1</v>
      </c>
      <c r="M1196" s="15" t="n">
        <f aca="false">M1195+L1196</f>
        <v>1195</v>
      </c>
    </row>
    <row r="1197" customFormat="false" ht="15" hidden="false" customHeight="false" outlineLevel="0" collapsed="false">
      <c r="A1197" s="14" t="n">
        <v>1196</v>
      </c>
      <c r="B1197" s="15" t="s">
        <v>942</v>
      </c>
      <c r="C1197" s="15" t="s">
        <v>943</v>
      </c>
      <c r="D1197" s="16" t="s">
        <v>1041</v>
      </c>
      <c r="E1197" s="16" t="s">
        <v>1042</v>
      </c>
      <c r="F1197" s="15" t="s">
        <v>649</v>
      </c>
      <c r="G1197" s="15" t="s">
        <v>427</v>
      </c>
      <c r="H1197" s="15" t="s">
        <v>1039</v>
      </c>
      <c r="I1197" s="17" t="n">
        <v>390</v>
      </c>
      <c r="J1197" s="16"/>
      <c r="K1197" s="15" t="s">
        <v>947</v>
      </c>
      <c r="L1197" s="15" t="n">
        <f aca="false">IF(AND(OR(Search!$C$4="",Search!$C$4="All",B1197=Search!$C$4),OR(Search!$C$5="",Search!$C$5="All",C1197=Search!$C$5),OR(Search!$C$6="",Search!$C$6="All",D1197=Search!$C$6),OR(Search!$C$7="",ISNUMBER(SEARCH(Search!$C$7,D1197&amp;" "&amp;E1197&amp;" "&amp;F1197&amp;" "&amp;G1197&amp;" "&amp;H1197&amp;" "&amp;J1197))),OR(Search!$C$8="",ISNUMBER(SEARCH(Search!$C$8,G1197)))),1,0)</f>
        <v>1</v>
      </c>
      <c r="M1197" s="15" t="n">
        <f aca="false">M1196+L1197</f>
        <v>1196</v>
      </c>
    </row>
    <row r="1198" customFormat="false" ht="15" hidden="false" customHeight="false" outlineLevel="0" collapsed="false">
      <c r="A1198" s="14" t="n">
        <v>1197</v>
      </c>
      <c r="B1198" s="15" t="s">
        <v>942</v>
      </c>
      <c r="C1198" s="15" t="s">
        <v>943</v>
      </c>
      <c r="D1198" s="16" t="s">
        <v>1041</v>
      </c>
      <c r="E1198" s="16" t="s">
        <v>1042</v>
      </c>
      <c r="F1198" s="15" t="s">
        <v>649</v>
      </c>
      <c r="G1198" s="15" t="s">
        <v>428</v>
      </c>
      <c r="H1198" s="15" t="s">
        <v>1039</v>
      </c>
      <c r="I1198" s="17" t="n">
        <v>430</v>
      </c>
      <c r="J1198" s="16"/>
      <c r="K1198" s="15" t="s">
        <v>947</v>
      </c>
      <c r="L1198" s="15" t="n">
        <f aca="false">IF(AND(OR(Search!$C$4="",Search!$C$4="All",B1198=Search!$C$4),OR(Search!$C$5="",Search!$C$5="All",C1198=Search!$C$5),OR(Search!$C$6="",Search!$C$6="All",D1198=Search!$C$6),OR(Search!$C$7="",ISNUMBER(SEARCH(Search!$C$7,D1198&amp;" "&amp;E1198&amp;" "&amp;F1198&amp;" "&amp;G1198&amp;" "&amp;H1198&amp;" "&amp;J1198))),OR(Search!$C$8="",ISNUMBER(SEARCH(Search!$C$8,G1198)))),1,0)</f>
        <v>1</v>
      </c>
      <c r="M1198" s="15" t="n">
        <f aca="false">M1197+L1198</f>
        <v>1197</v>
      </c>
    </row>
    <row r="1199" customFormat="false" ht="15" hidden="false" customHeight="false" outlineLevel="0" collapsed="false">
      <c r="A1199" s="14" t="n">
        <v>1198</v>
      </c>
      <c r="B1199" s="15" t="s">
        <v>942</v>
      </c>
      <c r="C1199" s="15" t="s">
        <v>943</v>
      </c>
      <c r="D1199" s="16" t="s">
        <v>1041</v>
      </c>
      <c r="E1199" s="16" t="s">
        <v>1042</v>
      </c>
      <c r="F1199" s="15" t="s">
        <v>649</v>
      </c>
      <c r="G1199" s="15" t="s">
        <v>443</v>
      </c>
      <c r="H1199" s="15" t="s">
        <v>1039</v>
      </c>
      <c r="I1199" s="17" t="n">
        <v>400</v>
      </c>
      <c r="J1199" s="16"/>
      <c r="K1199" s="15" t="s">
        <v>947</v>
      </c>
      <c r="L1199" s="15" t="n">
        <f aca="false">IF(AND(OR(Search!$C$4="",Search!$C$4="All",B1199=Search!$C$4),OR(Search!$C$5="",Search!$C$5="All",C1199=Search!$C$5),OR(Search!$C$6="",Search!$C$6="All",D1199=Search!$C$6),OR(Search!$C$7="",ISNUMBER(SEARCH(Search!$C$7,D1199&amp;" "&amp;E1199&amp;" "&amp;F1199&amp;" "&amp;G1199&amp;" "&amp;H1199&amp;" "&amp;J1199))),OR(Search!$C$8="",ISNUMBER(SEARCH(Search!$C$8,G1199)))),1,0)</f>
        <v>1</v>
      </c>
      <c r="M1199" s="15" t="n">
        <f aca="false">M1198+L1199</f>
        <v>1198</v>
      </c>
    </row>
    <row r="1200" customFormat="false" ht="15" hidden="false" customHeight="false" outlineLevel="0" collapsed="false">
      <c r="A1200" s="14" t="n">
        <v>1199</v>
      </c>
      <c r="B1200" s="15" t="s">
        <v>942</v>
      </c>
      <c r="C1200" s="15" t="s">
        <v>943</v>
      </c>
      <c r="D1200" s="16" t="s">
        <v>1041</v>
      </c>
      <c r="E1200" s="16" t="s">
        <v>1042</v>
      </c>
      <c r="F1200" s="15" t="s">
        <v>649</v>
      </c>
      <c r="G1200" s="15" t="s">
        <v>1040</v>
      </c>
      <c r="H1200" s="15" t="s">
        <v>1039</v>
      </c>
      <c r="I1200" s="17" t="n">
        <v>700</v>
      </c>
      <c r="J1200" s="16"/>
      <c r="K1200" s="15" t="s">
        <v>947</v>
      </c>
      <c r="L1200" s="15" t="n">
        <f aca="false">IF(AND(OR(Search!$C$4="",Search!$C$4="All",B1200=Search!$C$4),OR(Search!$C$5="",Search!$C$5="All",C1200=Search!$C$5),OR(Search!$C$6="",Search!$C$6="All",D1200=Search!$C$6),OR(Search!$C$7="",ISNUMBER(SEARCH(Search!$C$7,D1200&amp;" "&amp;E1200&amp;" "&amp;F1200&amp;" "&amp;G1200&amp;" "&amp;H1200&amp;" "&amp;J1200))),OR(Search!$C$8="",ISNUMBER(SEARCH(Search!$C$8,G1200)))),1,0)</f>
        <v>1</v>
      </c>
      <c r="M1200" s="15" t="n">
        <f aca="false">M1199+L1200</f>
        <v>1199</v>
      </c>
    </row>
    <row r="1201" customFormat="false" ht="15" hidden="false" customHeight="false" outlineLevel="0" collapsed="false">
      <c r="A1201" s="14" t="n">
        <v>1200</v>
      </c>
      <c r="B1201" s="15" t="s">
        <v>942</v>
      </c>
      <c r="C1201" s="15" t="s">
        <v>943</v>
      </c>
      <c r="D1201" s="16" t="s">
        <v>1043</v>
      </c>
      <c r="E1201" s="16" t="s">
        <v>1042</v>
      </c>
      <c r="F1201" s="15" t="s">
        <v>759</v>
      </c>
      <c r="G1201" s="15" t="s">
        <v>427</v>
      </c>
      <c r="H1201" s="15" t="s">
        <v>972</v>
      </c>
      <c r="I1201" s="17" t="n">
        <v>825</v>
      </c>
      <c r="J1201" s="16"/>
      <c r="K1201" s="15" t="s">
        <v>947</v>
      </c>
      <c r="L1201" s="15" t="n">
        <f aca="false">IF(AND(OR(Search!$C$4="",Search!$C$4="All",B1201=Search!$C$4),OR(Search!$C$5="",Search!$C$5="All",C1201=Search!$C$5),OR(Search!$C$6="",Search!$C$6="All",D1201=Search!$C$6),OR(Search!$C$7="",ISNUMBER(SEARCH(Search!$C$7,D1201&amp;" "&amp;E1201&amp;" "&amp;F1201&amp;" "&amp;G1201&amp;" "&amp;H1201&amp;" "&amp;J1201))),OR(Search!$C$8="",ISNUMBER(SEARCH(Search!$C$8,G1201)))),1,0)</f>
        <v>1</v>
      </c>
      <c r="M1201" s="15" t="n">
        <f aca="false">M1200+L1201</f>
        <v>1200</v>
      </c>
    </row>
    <row r="1202" customFormat="false" ht="15" hidden="false" customHeight="false" outlineLevel="0" collapsed="false">
      <c r="A1202" s="14" t="n">
        <v>1201</v>
      </c>
      <c r="B1202" s="15" t="s">
        <v>942</v>
      </c>
      <c r="C1202" s="15" t="s">
        <v>943</v>
      </c>
      <c r="D1202" s="16" t="s">
        <v>1043</v>
      </c>
      <c r="E1202" s="16" t="s">
        <v>1042</v>
      </c>
      <c r="F1202" s="15" t="s">
        <v>759</v>
      </c>
      <c r="G1202" s="15" t="s">
        <v>428</v>
      </c>
      <c r="H1202" s="15" t="s">
        <v>972</v>
      </c>
      <c r="I1202" s="17" t="n">
        <v>950</v>
      </c>
      <c r="J1202" s="16"/>
      <c r="K1202" s="15" t="s">
        <v>947</v>
      </c>
      <c r="L1202" s="15" t="n">
        <f aca="false">IF(AND(OR(Search!$C$4="",Search!$C$4="All",B1202=Search!$C$4),OR(Search!$C$5="",Search!$C$5="All",C1202=Search!$C$5),OR(Search!$C$6="",Search!$C$6="All",D1202=Search!$C$6),OR(Search!$C$7="",ISNUMBER(SEARCH(Search!$C$7,D1202&amp;" "&amp;E1202&amp;" "&amp;F1202&amp;" "&amp;G1202&amp;" "&amp;H1202&amp;" "&amp;J1202))),OR(Search!$C$8="",ISNUMBER(SEARCH(Search!$C$8,G1202)))),1,0)</f>
        <v>1</v>
      </c>
      <c r="M1202" s="15" t="n">
        <f aca="false">M1201+L1202</f>
        <v>1201</v>
      </c>
    </row>
    <row r="1203" customFormat="false" ht="15" hidden="false" customHeight="false" outlineLevel="0" collapsed="false">
      <c r="A1203" s="14" t="n">
        <v>1202</v>
      </c>
      <c r="B1203" s="15" t="s">
        <v>942</v>
      </c>
      <c r="C1203" s="15" t="s">
        <v>943</v>
      </c>
      <c r="D1203" s="16" t="s">
        <v>1043</v>
      </c>
      <c r="E1203" s="16" t="s">
        <v>1042</v>
      </c>
      <c r="F1203" s="15" t="s">
        <v>759</v>
      </c>
      <c r="G1203" s="15" t="s">
        <v>443</v>
      </c>
      <c r="H1203" s="15" t="s">
        <v>972</v>
      </c>
      <c r="I1203" s="17" t="n">
        <v>900</v>
      </c>
      <c r="J1203" s="16"/>
      <c r="K1203" s="15" t="s">
        <v>947</v>
      </c>
      <c r="L1203" s="15" t="n">
        <f aca="false">IF(AND(OR(Search!$C$4="",Search!$C$4="All",B1203=Search!$C$4),OR(Search!$C$5="",Search!$C$5="All",C1203=Search!$C$5),OR(Search!$C$6="",Search!$C$6="All",D1203=Search!$C$6),OR(Search!$C$7="",ISNUMBER(SEARCH(Search!$C$7,D1203&amp;" "&amp;E1203&amp;" "&amp;F1203&amp;" "&amp;G1203&amp;" "&amp;H1203&amp;" "&amp;J1203))),OR(Search!$C$8="",ISNUMBER(SEARCH(Search!$C$8,G1203)))),1,0)</f>
        <v>1</v>
      </c>
      <c r="M1203" s="15" t="n">
        <f aca="false">M1202+L1203</f>
        <v>1202</v>
      </c>
    </row>
    <row r="1204" customFormat="false" ht="15" hidden="false" customHeight="false" outlineLevel="0" collapsed="false">
      <c r="A1204" s="14" t="n">
        <v>1203</v>
      </c>
      <c r="B1204" s="15" t="s">
        <v>942</v>
      </c>
      <c r="C1204" s="15" t="s">
        <v>1044</v>
      </c>
      <c r="D1204" s="16" t="s">
        <v>1045</v>
      </c>
      <c r="E1204" s="16"/>
      <c r="F1204" s="15" t="s">
        <v>196</v>
      </c>
      <c r="G1204" s="15" t="s">
        <v>427</v>
      </c>
      <c r="H1204" s="15" t="s">
        <v>161</v>
      </c>
      <c r="I1204" s="17" t="n">
        <v>330</v>
      </c>
      <c r="J1204" s="16"/>
      <c r="K1204" s="15" t="s">
        <v>947</v>
      </c>
      <c r="L1204" s="15" t="n">
        <f aca="false">IF(AND(OR(Search!$C$4="",Search!$C$4="All",B1204=Search!$C$4),OR(Search!$C$5="",Search!$C$5="All",C1204=Search!$C$5),OR(Search!$C$6="",Search!$C$6="All",D1204=Search!$C$6),OR(Search!$C$7="",ISNUMBER(SEARCH(Search!$C$7,D1204&amp;" "&amp;E1204&amp;" "&amp;F1204&amp;" "&amp;G1204&amp;" "&amp;H1204&amp;" "&amp;J1204))),OR(Search!$C$8="",ISNUMBER(SEARCH(Search!$C$8,G1204)))),1,0)</f>
        <v>1</v>
      </c>
      <c r="M1204" s="15" t="n">
        <f aca="false">M1203+L1204</f>
        <v>1203</v>
      </c>
    </row>
    <row r="1205" customFormat="false" ht="15" hidden="false" customHeight="false" outlineLevel="0" collapsed="false">
      <c r="A1205" s="14" t="n">
        <v>1204</v>
      </c>
      <c r="B1205" s="15" t="s">
        <v>942</v>
      </c>
      <c r="C1205" s="15" t="s">
        <v>1044</v>
      </c>
      <c r="D1205" s="16" t="s">
        <v>1045</v>
      </c>
      <c r="E1205" s="16"/>
      <c r="F1205" s="15" t="s">
        <v>196</v>
      </c>
      <c r="G1205" s="15" t="s">
        <v>428</v>
      </c>
      <c r="H1205" s="15" t="s">
        <v>161</v>
      </c>
      <c r="I1205" s="17" t="n">
        <v>369</v>
      </c>
      <c r="J1205" s="16"/>
      <c r="K1205" s="15" t="s">
        <v>947</v>
      </c>
      <c r="L1205" s="15" t="n">
        <f aca="false">IF(AND(OR(Search!$C$4="",Search!$C$4="All",B1205=Search!$C$4),OR(Search!$C$5="",Search!$C$5="All",C1205=Search!$C$5),OR(Search!$C$6="",Search!$C$6="All",D1205=Search!$C$6),OR(Search!$C$7="",ISNUMBER(SEARCH(Search!$C$7,D1205&amp;" "&amp;E1205&amp;" "&amp;F1205&amp;" "&amp;G1205&amp;" "&amp;H1205&amp;" "&amp;J1205))),OR(Search!$C$8="",ISNUMBER(SEARCH(Search!$C$8,G1205)))),1,0)</f>
        <v>1</v>
      </c>
      <c r="M1205" s="15" t="n">
        <f aca="false">M1204+L1205</f>
        <v>1204</v>
      </c>
    </row>
    <row r="1206" customFormat="false" ht="15" hidden="false" customHeight="false" outlineLevel="0" collapsed="false">
      <c r="A1206" s="14" t="n">
        <v>1205</v>
      </c>
      <c r="B1206" s="15" t="s">
        <v>942</v>
      </c>
      <c r="C1206" s="15" t="s">
        <v>1044</v>
      </c>
      <c r="D1206" s="16" t="s">
        <v>1045</v>
      </c>
      <c r="E1206" s="16"/>
      <c r="F1206" s="15" t="s">
        <v>196</v>
      </c>
      <c r="G1206" s="15" t="s">
        <v>443</v>
      </c>
      <c r="H1206" s="15" t="s">
        <v>161</v>
      </c>
      <c r="I1206" s="17" t="n">
        <v>347</v>
      </c>
      <c r="J1206" s="16"/>
      <c r="K1206" s="15" t="s">
        <v>947</v>
      </c>
      <c r="L1206" s="15" t="n">
        <f aca="false">IF(AND(OR(Search!$C$4="",Search!$C$4="All",B1206=Search!$C$4),OR(Search!$C$5="",Search!$C$5="All",C1206=Search!$C$5),OR(Search!$C$6="",Search!$C$6="All",D1206=Search!$C$6),OR(Search!$C$7="",ISNUMBER(SEARCH(Search!$C$7,D1206&amp;" "&amp;E1206&amp;" "&amp;F1206&amp;" "&amp;G1206&amp;" "&amp;H1206&amp;" "&amp;J1206))),OR(Search!$C$8="",ISNUMBER(SEARCH(Search!$C$8,G1206)))),1,0)</f>
        <v>1</v>
      </c>
      <c r="M1206" s="15" t="n">
        <f aca="false">M1205+L1206</f>
        <v>1205</v>
      </c>
    </row>
    <row r="1207" customFormat="false" ht="15" hidden="false" customHeight="false" outlineLevel="0" collapsed="false">
      <c r="A1207" s="14" t="n">
        <v>1206</v>
      </c>
      <c r="B1207" s="15" t="s">
        <v>942</v>
      </c>
      <c r="C1207" s="15" t="s">
        <v>1044</v>
      </c>
      <c r="D1207" s="16" t="s">
        <v>1045</v>
      </c>
      <c r="E1207" s="16"/>
      <c r="F1207" s="15" t="s">
        <v>196</v>
      </c>
      <c r="G1207" s="15" t="s">
        <v>1040</v>
      </c>
      <c r="H1207" s="15" t="s">
        <v>161</v>
      </c>
      <c r="I1207" s="17" t="n">
        <v>666</v>
      </c>
      <c r="J1207" s="16"/>
      <c r="K1207" s="15" t="s">
        <v>947</v>
      </c>
      <c r="L1207" s="15" t="n">
        <f aca="false">IF(AND(OR(Search!$C$4="",Search!$C$4="All",B1207=Search!$C$4),OR(Search!$C$5="",Search!$C$5="All",C1207=Search!$C$5),OR(Search!$C$6="",Search!$C$6="All",D1207=Search!$C$6),OR(Search!$C$7="",ISNUMBER(SEARCH(Search!$C$7,D1207&amp;" "&amp;E1207&amp;" "&amp;F1207&amp;" "&amp;G1207&amp;" "&amp;H1207&amp;" "&amp;J1207))),OR(Search!$C$8="",ISNUMBER(SEARCH(Search!$C$8,G1207)))),1,0)</f>
        <v>1</v>
      </c>
      <c r="M1207" s="15" t="n">
        <f aca="false">M1206+L1207</f>
        <v>1206</v>
      </c>
    </row>
    <row r="1208" customFormat="false" ht="15" hidden="false" customHeight="false" outlineLevel="0" collapsed="false">
      <c r="A1208" s="14" t="n">
        <v>1207</v>
      </c>
      <c r="B1208" s="15" t="s">
        <v>942</v>
      </c>
      <c r="C1208" s="15" t="s">
        <v>1044</v>
      </c>
      <c r="D1208" s="16" t="s">
        <v>1045</v>
      </c>
      <c r="E1208" s="16"/>
      <c r="F1208" s="15" t="s">
        <v>196</v>
      </c>
      <c r="G1208" s="15" t="s">
        <v>428</v>
      </c>
      <c r="H1208" s="15" t="s">
        <v>1046</v>
      </c>
      <c r="I1208" s="17" t="n">
        <v>575</v>
      </c>
      <c r="J1208" s="16"/>
      <c r="K1208" s="15" t="s">
        <v>947</v>
      </c>
      <c r="L1208" s="15" t="n">
        <f aca="false">IF(AND(OR(Search!$C$4="",Search!$C$4="All",B1208=Search!$C$4),OR(Search!$C$5="",Search!$C$5="All",C1208=Search!$C$5),OR(Search!$C$6="",Search!$C$6="All",D1208=Search!$C$6),OR(Search!$C$7="",ISNUMBER(SEARCH(Search!$C$7,D1208&amp;" "&amp;E1208&amp;" "&amp;F1208&amp;" "&amp;G1208&amp;" "&amp;H1208&amp;" "&amp;J1208))),OR(Search!$C$8="",ISNUMBER(SEARCH(Search!$C$8,G1208)))),1,0)</f>
        <v>1</v>
      </c>
      <c r="M1208" s="15" t="n">
        <f aca="false">M1207+L1208</f>
        <v>1207</v>
      </c>
    </row>
    <row r="1209" customFormat="false" ht="15" hidden="false" customHeight="false" outlineLevel="0" collapsed="false">
      <c r="A1209" s="14" t="n">
        <v>1208</v>
      </c>
      <c r="B1209" s="15" t="s">
        <v>942</v>
      </c>
      <c r="C1209" s="15" t="s">
        <v>1044</v>
      </c>
      <c r="D1209" s="16" t="s">
        <v>1045</v>
      </c>
      <c r="E1209" s="16"/>
      <c r="F1209" s="15" t="s">
        <v>196</v>
      </c>
      <c r="G1209" s="15" t="s">
        <v>427</v>
      </c>
      <c r="H1209" s="15" t="s">
        <v>1046</v>
      </c>
      <c r="I1209" s="17" t="n">
        <v>475</v>
      </c>
      <c r="J1209" s="16"/>
      <c r="K1209" s="15" t="s">
        <v>947</v>
      </c>
      <c r="L1209" s="15" t="n">
        <f aca="false">IF(AND(OR(Search!$C$4="",Search!$C$4="All",B1209=Search!$C$4),OR(Search!$C$5="",Search!$C$5="All",C1209=Search!$C$5),OR(Search!$C$6="",Search!$C$6="All",D1209=Search!$C$6),OR(Search!$C$7="",ISNUMBER(SEARCH(Search!$C$7,D1209&amp;" "&amp;E1209&amp;" "&amp;F1209&amp;" "&amp;G1209&amp;" "&amp;H1209&amp;" "&amp;J1209))),OR(Search!$C$8="",ISNUMBER(SEARCH(Search!$C$8,G1209)))),1,0)</f>
        <v>1</v>
      </c>
      <c r="M1209" s="15" t="n">
        <f aca="false">M1208+L1209</f>
        <v>1208</v>
      </c>
    </row>
    <row r="1210" customFormat="false" ht="15" hidden="false" customHeight="false" outlineLevel="0" collapsed="false">
      <c r="A1210" s="14" t="n">
        <v>1209</v>
      </c>
      <c r="B1210" s="15" t="s">
        <v>942</v>
      </c>
      <c r="C1210" s="15" t="s">
        <v>1044</v>
      </c>
      <c r="D1210" s="16" t="s">
        <v>1045</v>
      </c>
      <c r="E1210" s="16"/>
      <c r="F1210" s="15" t="s">
        <v>196</v>
      </c>
      <c r="G1210" s="15" t="s">
        <v>443</v>
      </c>
      <c r="H1210" s="15" t="s">
        <v>1046</v>
      </c>
      <c r="I1210" s="17" t="n">
        <v>525</v>
      </c>
      <c r="J1210" s="16"/>
      <c r="K1210" s="15" t="s">
        <v>947</v>
      </c>
      <c r="L1210" s="15" t="n">
        <f aca="false">IF(AND(OR(Search!$C$4="",Search!$C$4="All",B1210=Search!$C$4),OR(Search!$C$5="",Search!$C$5="All",C1210=Search!$C$5),OR(Search!$C$6="",Search!$C$6="All",D1210=Search!$C$6),OR(Search!$C$7="",ISNUMBER(SEARCH(Search!$C$7,D1210&amp;" "&amp;E1210&amp;" "&amp;F1210&amp;" "&amp;G1210&amp;" "&amp;H1210&amp;" "&amp;J1210))),OR(Search!$C$8="",ISNUMBER(SEARCH(Search!$C$8,G1210)))),1,0)</f>
        <v>1</v>
      </c>
      <c r="M1210" s="15" t="n">
        <f aca="false">M1209+L1210</f>
        <v>1209</v>
      </c>
    </row>
    <row r="1211" customFormat="false" ht="15" hidden="false" customHeight="false" outlineLevel="0" collapsed="false">
      <c r="A1211" s="14" t="n">
        <v>1210</v>
      </c>
      <c r="B1211" s="15" t="s">
        <v>942</v>
      </c>
      <c r="C1211" s="15" t="s">
        <v>1044</v>
      </c>
      <c r="D1211" s="16" t="s">
        <v>1045</v>
      </c>
      <c r="E1211" s="16"/>
      <c r="F1211" s="15" t="s">
        <v>196</v>
      </c>
      <c r="G1211" s="15" t="s">
        <v>1040</v>
      </c>
      <c r="H1211" s="15" t="s">
        <v>1046</v>
      </c>
      <c r="I1211" s="17" t="n">
        <v>1000</v>
      </c>
      <c r="J1211" s="16"/>
      <c r="K1211" s="15" t="s">
        <v>947</v>
      </c>
      <c r="L1211" s="15" t="n">
        <f aca="false">IF(AND(OR(Search!$C$4="",Search!$C$4="All",B1211=Search!$C$4),OR(Search!$C$5="",Search!$C$5="All",C1211=Search!$C$5),OR(Search!$C$6="",Search!$C$6="All",D1211=Search!$C$6),OR(Search!$C$7="",ISNUMBER(SEARCH(Search!$C$7,D1211&amp;" "&amp;E1211&amp;" "&amp;F1211&amp;" "&amp;G1211&amp;" "&amp;H1211&amp;" "&amp;J1211))),OR(Search!$C$8="",ISNUMBER(SEARCH(Search!$C$8,G1211)))),1,0)</f>
        <v>1</v>
      </c>
      <c r="M1211" s="15" t="n">
        <f aca="false">M1210+L1211</f>
        <v>1210</v>
      </c>
    </row>
    <row r="1212" customFormat="false" ht="15" hidden="false" customHeight="false" outlineLevel="0" collapsed="false">
      <c r="A1212" s="14" t="n">
        <v>1211</v>
      </c>
      <c r="B1212" s="15" t="s">
        <v>942</v>
      </c>
      <c r="C1212" s="15" t="s">
        <v>1044</v>
      </c>
      <c r="D1212" s="16" t="s">
        <v>1045</v>
      </c>
      <c r="E1212" s="16"/>
      <c r="F1212" s="15" t="s">
        <v>196</v>
      </c>
      <c r="G1212" s="15" t="s">
        <v>428</v>
      </c>
      <c r="H1212" s="15" t="s">
        <v>1037</v>
      </c>
      <c r="I1212" s="17" t="n">
        <v>405</v>
      </c>
      <c r="J1212" s="16"/>
      <c r="K1212" s="15" t="s">
        <v>947</v>
      </c>
      <c r="L1212" s="15" t="n">
        <f aca="false">IF(AND(OR(Search!$C$4="",Search!$C$4="All",B1212=Search!$C$4),OR(Search!$C$5="",Search!$C$5="All",C1212=Search!$C$5),OR(Search!$C$6="",Search!$C$6="All",D1212=Search!$C$6),OR(Search!$C$7="",ISNUMBER(SEARCH(Search!$C$7,D1212&amp;" "&amp;E1212&amp;" "&amp;F1212&amp;" "&amp;G1212&amp;" "&amp;H1212&amp;" "&amp;J1212))),OR(Search!$C$8="",ISNUMBER(SEARCH(Search!$C$8,G1212)))),1,0)</f>
        <v>1</v>
      </c>
      <c r="M1212" s="15" t="n">
        <f aca="false">M1211+L1212</f>
        <v>1211</v>
      </c>
    </row>
    <row r="1213" customFormat="false" ht="15" hidden="false" customHeight="false" outlineLevel="0" collapsed="false">
      <c r="A1213" s="14" t="n">
        <v>1212</v>
      </c>
      <c r="B1213" s="15" t="s">
        <v>942</v>
      </c>
      <c r="C1213" s="15" t="s">
        <v>1044</v>
      </c>
      <c r="D1213" s="16" t="s">
        <v>1045</v>
      </c>
      <c r="E1213" s="16"/>
      <c r="F1213" s="15" t="s">
        <v>196</v>
      </c>
      <c r="G1213" s="15" t="s">
        <v>427</v>
      </c>
      <c r="H1213" s="15" t="s">
        <v>1037</v>
      </c>
      <c r="I1213" s="17" t="n">
        <v>380</v>
      </c>
      <c r="J1213" s="16"/>
      <c r="K1213" s="15" t="s">
        <v>947</v>
      </c>
      <c r="L1213" s="15" t="n">
        <f aca="false">IF(AND(OR(Search!$C$4="",Search!$C$4="All",B1213=Search!$C$4),OR(Search!$C$5="",Search!$C$5="All",C1213=Search!$C$5),OR(Search!$C$6="",Search!$C$6="All",D1213=Search!$C$6),OR(Search!$C$7="",ISNUMBER(SEARCH(Search!$C$7,D1213&amp;" "&amp;E1213&amp;" "&amp;F1213&amp;" "&amp;G1213&amp;" "&amp;H1213&amp;" "&amp;J1213))),OR(Search!$C$8="",ISNUMBER(SEARCH(Search!$C$8,G1213)))),1,0)</f>
        <v>1</v>
      </c>
      <c r="M1213" s="15" t="n">
        <f aca="false">M1212+L1213</f>
        <v>1212</v>
      </c>
    </row>
    <row r="1214" customFormat="false" ht="15" hidden="false" customHeight="false" outlineLevel="0" collapsed="false">
      <c r="A1214" s="14" t="n">
        <v>1213</v>
      </c>
      <c r="B1214" s="15" t="s">
        <v>942</v>
      </c>
      <c r="C1214" s="15" t="s">
        <v>1044</v>
      </c>
      <c r="D1214" s="16" t="s">
        <v>1045</v>
      </c>
      <c r="E1214" s="16"/>
      <c r="F1214" s="15" t="s">
        <v>196</v>
      </c>
      <c r="G1214" s="15" t="s">
        <v>443</v>
      </c>
      <c r="H1214" s="15" t="s">
        <v>1037</v>
      </c>
      <c r="I1214" s="17" t="n">
        <v>395</v>
      </c>
      <c r="J1214" s="16"/>
      <c r="K1214" s="15" t="s">
        <v>947</v>
      </c>
      <c r="L1214" s="15" t="n">
        <f aca="false">IF(AND(OR(Search!$C$4="",Search!$C$4="All",B1214=Search!$C$4),OR(Search!$C$5="",Search!$C$5="All",C1214=Search!$C$5),OR(Search!$C$6="",Search!$C$6="All",D1214=Search!$C$6),OR(Search!$C$7="",ISNUMBER(SEARCH(Search!$C$7,D1214&amp;" "&amp;E1214&amp;" "&amp;F1214&amp;" "&amp;G1214&amp;" "&amp;H1214&amp;" "&amp;J1214))),OR(Search!$C$8="",ISNUMBER(SEARCH(Search!$C$8,G1214)))),1,0)</f>
        <v>1</v>
      </c>
      <c r="M1214" s="15" t="n">
        <f aca="false">M1213+L1214</f>
        <v>1213</v>
      </c>
    </row>
    <row r="1215" customFormat="false" ht="15" hidden="false" customHeight="false" outlineLevel="0" collapsed="false">
      <c r="A1215" s="14" t="n">
        <v>1214</v>
      </c>
      <c r="B1215" s="15" t="s">
        <v>942</v>
      </c>
      <c r="C1215" s="15" t="s">
        <v>1044</v>
      </c>
      <c r="D1215" s="16" t="s">
        <v>1045</v>
      </c>
      <c r="E1215" s="16"/>
      <c r="F1215" s="15" t="s">
        <v>759</v>
      </c>
      <c r="G1215" s="15" t="s">
        <v>427</v>
      </c>
      <c r="H1215" s="15" t="s">
        <v>161</v>
      </c>
      <c r="I1215" s="17" t="n">
        <v>358</v>
      </c>
      <c r="J1215" s="16"/>
      <c r="K1215" s="15" t="s">
        <v>947</v>
      </c>
      <c r="L1215" s="15" t="n">
        <f aca="false">IF(AND(OR(Search!$C$4="",Search!$C$4="All",B1215=Search!$C$4),OR(Search!$C$5="",Search!$C$5="All",C1215=Search!$C$5),OR(Search!$C$6="",Search!$C$6="All",D1215=Search!$C$6),OR(Search!$C$7="",ISNUMBER(SEARCH(Search!$C$7,D1215&amp;" "&amp;E1215&amp;" "&amp;F1215&amp;" "&amp;G1215&amp;" "&amp;H1215&amp;" "&amp;J1215))),OR(Search!$C$8="",ISNUMBER(SEARCH(Search!$C$8,G1215)))),1,0)</f>
        <v>1</v>
      </c>
      <c r="M1215" s="15" t="n">
        <f aca="false">M1214+L1215</f>
        <v>1214</v>
      </c>
    </row>
    <row r="1216" customFormat="false" ht="15" hidden="false" customHeight="false" outlineLevel="0" collapsed="false">
      <c r="A1216" s="14" t="n">
        <v>1215</v>
      </c>
      <c r="B1216" s="15" t="s">
        <v>942</v>
      </c>
      <c r="C1216" s="15" t="s">
        <v>1044</v>
      </c>
      <c r="D1216" s="16" t="s">
        <v>1045</v>
      </c>
      <c r="E1216" s="16"/>
      <c r="F1216" s="15" t="s">
        <v>759</v>
      </c>
      <c r="G1216" s="15" t="s">
        <v>428</v>
      </c>
      <c r="H1216" s="15" t="s">
        <v>161</v>
      </c>
      <c r="I1216" s="17" t="n">
        <v>418</v>
      </c>
      <c r="J1216" s="16"/>
      <c r="K1216" s="15" t="s">
        <v>947</v>
      </c>
      <c r="L1216" s="15" t="n">
        <f aca="false">IF(AND(OR(Search!$C$4="",Search!$C$4="All",B1216=Search!$C$4),OR(Search!$C$5="",Search!$C$5="All",C1216=Search!$C$5),OR(Search!$C$6="",Search!$C$6="All",D1216=Search!$C$6),OR(Search!$C$7="",ISNUMBER(SEARCH(Search!$C$7,D1216&amp;" "&amp;E1216&amp;" "&amp;F1216&amp;" "&amp;G1216&amp;" "&amp;H1216&amp;" "&amp;J1216))),OR(Search!$C$8="",ISNUMBER(SEARCH(Search!$C$8,G1216)))),1,0)</f>
        <v>1</v>
      </c>
      <c r="M1216" s="15" t="n">
        <f aca="false">M1215+L1216</f>
        <v>1215</v>
      </c>
    </row>
    <row r="1217" customFormat="false" ht="15" hidden="false" customHeight="false" outlineLevel="0" collapsed="false">
      <c r="A1217" s="14" t="n">
        <v>1216</v>
      </c>
      <c r="B1217" s="15" t="s">
        <v>942</v>
      </c>
      <c r="C1217" s="15" t="s">
        <v>1044</v>
      </c>
      <c r="D1217" s="16" t="s">
        <v>1045</v>
      </c>
      <c r="E1217" s="16"/>
      <c r="F1217" s="15" t="s">
        <v>759</v>
      </c>
      <c r="G1217" s="15" t="s">
        <v>443</v>
      </c>
      <c r="H1217" s="15" t="s">
        <v>161</v>
      </c>
      <c r="I1217" s="17" t="n">
        <v>374</v>
      </c>
      <c r="J1217" s="16"/>
      <c r="K1217" s="15" t="s">
        <v>947</v>
      </c>
      <c r="L1217" s="15" t="n">
        <f aca="false">IF(AND(OR(Search!$C$4="",Search!$C$4="All",B1217=Search!$C$4),OR(Search!$C$5="",Search!$C$5="All",C1217=Search!$C$5),OR(Search!$C$6="",Search!$C$6="All",D1217=Search!$C$6),OR(Search!$C$7="",ISNUMBER(SEARCH(Search!$C$7,D1217&amp;" "&amp;E1217&amp;" "&amp;F1217&amp;" "&amp;G1217&amp;" "&amp;H1217&amp;" "&amp;J1217))),OR(Search!$C$8="",ISNUMBER(SEARCH(Search!$C$8,G1217)))),1,0)</f>
        <v>1</v>
      </c>
      <c r="M1217" s="15" t="n">
        <f aca="false">M1216+L1217</f>
        <v>1216</v>
      </c>
    </row>
    <row r="1218" customFormat="false" ht="15" hidden="false" customHeight="false" outlineLevel="0" collapsed="false">
      <c r="A1218" s="14" t="n">
        <v>1217</v>
      </c>
      <c r="B1218" s="15" t="s">
        <v>942</v>
      </c>
      <c r="C1218" s="15" t="s">
        <v>1044</v>
      </c>
      <c r="D1218" s="16" t="s">
        <v>1045</v>
      </c>
      <c r="E1218" s="16"/>
      <c r="F1218" s="15" t="s">
        <v>759</v>
      </c>
      <c r="G1218" s="15" t="s">
        <v>1047</v>
      </c>
      <c r="H1218" s="15" t="s">
        <v>161</v>
      </c>
      <c r="I1218" s="17" t="n">
        <v>446</v>
      </c>
      <c r="J1218" s="16"/>
      <c r="K1218" s="15" t="s">
        <v>947</v>
      </c>
      <c r="L1218" s="15" t="n">
        <f aca="false">IF(AND(OR(Search!$C$4="",Search!$C$4="All",B1218=Search!$C$4),OR(Search!$C$5="",Search!$C$5="All",C1218=Search!$C$5),OR(Search!$C$6="",Search!$C$6="All",D1218=Search!$C$6),OR(Search!$C$7="",ISNUMBER(SEARCH(Search!$C$7,D1218&amp;" "&amp;E1218&amp;" "&amp;F1218&amp;" "&amp;G1218&amp;" "&amp;H1218&amp;" "&amp;J1218))),OR(Search!$C$8="",ISNUMBER(SEARCH(Search!$C$8,G1218)))),1,0)</f>
        <v>1</v>
      </c>
      <c r="M1218" s="15" t="n">
        <f aca="false">M1217+L1218</f>
        <v>1217</v>
      </c>
    </row>
    <row r="1219" customFormat="false" ht="15" hidden="false" customHeight="false" outlineLevel="0" collapsed="false">
      <c r="A1219" s="14" t="n">
        <v>1218</v>
      </c>
      <c r="B1219" s="15" t="s">
        <v>942</v>
      </c>
      <c r="C1219" s="15" t="s">
        <v>1044</v>
      </c>
      <c r="D1219" s="16" t="s">
        <v>1045</v>
      </c>
      <c r="E1219" s="16"/>
      <c r="F1219" s="15" t="s">
        <v>759</v>
      </c>
      <c r="G1219" s="15" t="s">
        <v>1040</v>
      </c>
      <c r="H1219" s="15" t="s">
        <v>161</v>
      </c>
      <c r="I1219" s="17" t="n">
        <v>787</v>
      </c>
      <c r="J1219" s="16"/>
      <c r="K1219" s="15" t="s">
        <v>947</v>
      </c>
      <c r="L1219" s="15" t="n">
        <f aca="false">IF(AND(OR(Search!$C$4="",Search!$C$4="All",B1219=Search!$C$4),OR(Search!$C$5="",Search!$C$5="All",C1219=Search!$C$5),OR(Search!$C$6="",Search!$C$6="All",D1219=Search!$C$6),OR(Search!$C$7="",ISNUMBER(SEARCH(Search!$C$7,D1219&amp;" "&amp;E1219&amp;" "&amp;F1219&amp;" "&amp;G1219&amp;" "&amp;H1219&amp;" "&amp;J1219))),OR(Search!$C$8="",ISNUMBER(SEARCH(Search!$C$8,G1219)))),1,0)</f>
        <v>1</v>
      </c>
      <c r="M1219" s="15" t="n">
        <f aca="false">M1218+L1219</f>
        <v>1218</v>
      </c>
    </row>
    <row r="1220" customFormat="false" ht="15" hidden="false" customHeight="false" outlineLevel="0" collapsed="false">
      <c r="A1220" s="14" t="n">
        <v>1219</v>
      </c>
      <c r="B1220" s="15" t="s">
        <v>942</v>
      </c>
      <c r="C1220" s="15" t="s">
        <v>1044</v>
      </c>
      <c r="D1220" s="16" t="s">
        <v>1045</v>
      </c>
      <c r="E1220" s="16"/>
      <c r="F1220" s="15" t="s">
        <v>759</v>
      </c>
      <c r="G1220" s="15" t="s">
        <v>427</v>
      </c>
      <c r="H1220" s="15" t="s">
        <v>1046</v>
      </c>
      <c r="I1220" s="17" t="n">
        <v>550</v>
      </c>
      <c r="J1220" s="16"/>
      <c r="K1220" s="15" t="s">
        <v>947</v>
      </c>
      <c r="L1220" s="15" t="n">
        <f aca="false">IF(AND(OR(Search!$C$4="",Search!$C$4="All",B1220=Search!$C$4),OR(Search!$C$5="",Search!$C$5="All",C1220=Search!$C$5),OR(Search!$C$6="",Search!$C$6="All",D1220=Search!$C$6),OR(Search!$C$7="",ISNUMBER(SEARCH(Search!$C$7,D1220&amp;" "&amp;E1220&amp;" "&amp;F1220&amp;" "&amp;G1220&amp;" "&amp;H1220&amp;" "&amp;J1220))),OR(Search!$C$8="",ISNUMBER(SEARCH(Search!$C$8,G1220)))),1,0)</f>
        <v>1</v>
      </c>
      <c r="M1220" s="15" t="n">
        <f aca="false">M1219+L1220</f>
        <v>1219</v>
      </c>
    </row>
    <row r="1221" customFormat="false" ht="15" hidden="false" customHeight="false" outlineLevel="0" collapsed="false">
      <c r="A1221" s="14" t="n">
        <v>1220</v>
      </c>
      <c r="B1221" s="15" t="s">
        <v>942</v>
      </c>
      <c r="C1221" s="15" t="s">
        <v>1044</v>
      </c>
      <c r="D1221" s="16" t="s">
        <v>1045</v>
      </c>
      <c r="E1221" s="16"/>
      <c r="F1221" s="15" t="s">
        <v>759</v>
      </c>
      <c r="G1221" s="15" t="s">
        <v>428</v>
      </c>
      <c r="H1221" s="15" t="s">
        <v>1046</v>
      </c>
      <c r="I1221" s="17" t="n">
        <v>650</v>
      </c>
      <c r="J1221" s="16"/>
      <c r="K1221" s="15" t="s">
        <v>947</v>
      </c>
      <c r="L1221" s="15" t="n">
        <f aca="false">IF(AND(OR(Search!$C$4="",Search!$C$4="All",B1221=Search!$C$4),OR(Search!$C$5="",Search!$C$5="All",C1221=Search!$C$5),OR(Search!$C$6="",Search!$C$6="All",D1221=Search!$C$6),OR(Search!$C$7="",ISNUMBER(SEARCH(Search!$C$7,D1221&amp;" "&amp;E1221&amp;" "&amp;F1221&amp;" "&amp;G1221&amp;" "&amp;H1221&amp;" "&amp;J1221))),OR(Search!$C$8="",ISNUMBER(SEARCH(Search!$C$8,G1221)))),1,0)</f>
        <v>1</v>
      </c>
      <c r="M1221" s="15" t="n">
        <f aca="false">M1220+L1221</f>
        <v>1220</v>
      </c>
    </row>
    <row r="1222" customFormat="false" ht="15" hidden="false" customHeight="false" outlineLevel="0" collapsed="false">
      <c r="A1222" s="14" t="n">
        <v>1221</v>
      </c>
      <c r="B1222" s="15" t="s">
        <v>942</v>
      </c>
      <c r="C1222" s="15" t="s">
        <v>1044</v>
      </c>
      <c r="D1222" s="16" t="s">
        <v>1045</v>
      </c>
      <c r="E1222" s="16"/>
      <c r="F1222" s="15" t="s">
        <v>759</v>
      </c>
      <c r="G1222" s="15" t="s">
        <v>443</v>
      </c>
      <c r="H1222" s="15" t="s">
        <v>1046</v>
      </c>
      <c r="I1222" s="17" t="n">
        <v>600</v>
      </c>
      <c r="J1222" s="16"/>
      <c r="K1222" s="15" t="s">
        <v>947</v>
      </c>
      <c r="L1222" s="15" t="n">
        <f aca="false">IF(AND(OR(Search!$C$4="",Search!$C$4="All",B1222=Search!$C$4),OR(Search!$C$5="",Search!$C$5="All",C1222=Search!$C$5),OR(Search!$C$6="",Search!$C$6="All",D1222=Search!$C$6),OR(Search!$C$7="",ISNUMBER(SEARCH(Search!$C$7,D1222&amp;" "&amp;E1222&amp;" "&amp;F1222&amp;" "&amp;G1222&amp;" "&amp;H1222&amp;" "&amp;J1222))),OR(Search!$C$8="",ISNUMBER(SEARCH(Search!$C$8,G1222)))),1,0)</f>
        <v>1</v>
      </c>
      <c r="M1222" s="15" t="n">
        <f aca="false">M1221+L1222</f>
        <v>1221</v>
      </c>
    </row>
    <row r="1223" customFormat="false" ht="15" hidden="false" customHeight="false" outlineLevel="0" collapsed="false">
      <c r="A1223" s="14" t="n">
        <v>1222</v>
      </c>
      <c r="B1223" s="15" t="s">
        <v>942</v>
      </c>
      <c r="C1223" s="15" t="s">
        <v>1044</v>
      </c>
      <c r="D1223" s="16" t="s">
        <v>1048</v>
      </c>
      <c r="E1223" s="16" t="s">
        <v>1049</v>
      </c>
      <c r="F1223" s="15"/>
      <c r="G1223" s="15" t="s">
        <v>1050</v>
      </c>
      <c r="H1223" s="15" t="s">
        <v>82</v>
      </c>
      <c r="I1223" s="17" t="n">
        <v>43</v>
      </c>
      <c r="J1223" s="16"/>
      <c r="K1223" s="15" t="s">
        <v>947</v>
      </c>
      <c r="L1223" s="15" t="n">
        <f aca="false">IF(AND(OR(Search!$C$4="",Search!$C$4="All",B1223=Search!$C$4),OR(Search!$C$5="",Search!$C$5="All",C1223=Search!$C$5),OR(Search!$C$6="",Search!$C$6="All",D1223=Search!$C$6),OR(Search!$C$7="",ISNUMBER(SEARCH(Search!$C$7,D1223&amp;" "&amp;E1223&amp;" "&amp;F1223&amp;" "&amp;G1223&amp;" "&amp;H1223&amp;" "&amp;J1223))),OR(Search!$C$8="",ISNUMBER(SEARCH(Search!$C$8,G1223)))),1,0)</f>
        <v>1</v>
      </c>
      <c r="M1223" s="15" t="n">
        <f aca="false">M1222+L1223</f>
        <v>1222</v>
      </c>
    </row>
    <row r="1224" customFormat="false" ht="15" hidden="false" customHeight="false" outlineLevel="0" collapsed="false">
      <c r="A1224" s="14" t="n">
        <v>1223</v>
      </c>
      <c r="B1224" s="15" t="s">
        <v>942</v>
      </c>
      <c r="C1224" s="15" t="s">
        <v>1044</v>
      </c>
      <c r="D1224" s="16" t="s">
        <v>1048</v>
      </c>
      <c r="E1224" s="16" t="s">
        <v>1051</v>
      </c>
      <c r="F1224" s="15"/>
      <c r="G1224" s="15" t="s">
        <v>1050</v>
      </c>
      <c r="H1224" s="15" t="s">
        <v>82</v>
      </c>
      <c r="I1224" s="17" t="n">
        <v>45</v>
      </c>
      <c r="J1224" s="16"/>
      <c r="K1224" s="15" t="s">
        <v>947</v>
      </c>
      <c r="L1224" s="15" t="n">
        <f aca="false">IF(AND(OR(Search!$C$4="",Search!$C$4="All",B1224=Search!$C$4),OR(Search!$C$5="",Search!$C$5="All",C1224=Search!$C$5),OR(Search!$C$6="",Search!$C$6="All",D1224=Search!$C$6),OR(Search!$C$7="",ISNUMBER(SEARCH(Search!$C$7,D1224&amp;" "&amp;E1224&amp;" "&amp;F1224&amp;" "&amp;G1224&amp;" "&amp;H1224&amp;" "&amp;J1224))),OR(Search!$C$8="",ISNUMBER(SEARCH(Search!$C$8,G1224)))),1,0)</f>
        <v>1</v>
      </c>
      <c r="M1224" s="15" t="n">
        <f aca="false">M1223+L1224</f>
        <v>1223</v>
      </c>
    </row>
    <row r="1225" customFormat="false" ht="15" hidden="false" customHeight="false" outlineLevel="0" collapsed="false">
      <c r="A1225" s="14" t="n">
        <v>1224</v>
      </c>
      <c r="B1225" s="15" t="s">
        <v>942</v>
      </c>
      <c r="C1225" s="15" t="s">
        <v>1044</v>
      </c>
      <c r="D1225" s="16" t="s">
        <v>1048</v>
      </c>
      <c r="E1225" s="16" t="s">
        <v>1052</v>
      </c>
      <c r="F1225" s="15"/>
      <c r="G1225" s="15" t="s">
        <v>1050</v>
      </c>
      <c r="H1225" s="15" t="s">
        <v>82</v>
      </c>
      <c r="I1225" s="17" t="n">
        <v>60</v>
      </c>
      <c r="J1225" s="16"/>
      <c r="K1225" s="15" t="s">
        <v>947</v>
      </c>
      <c r="L1225" s="15" t="n">
        <f aca="false">IF(AND(OR(Search!$C$4="",Search!$C$4="All",B1225=Search!$C$4),OR(Search!$C$5="",Search!$C$5="All",C1225=Search!$C$5),OR(Search!$C$6="",Search!$C$6="All",D1225=Search!$C$6),OR(Search!$C$7="",ISNUMBER(SEARCH(Search!$C$7,D1225&amp;" "&amp;E1225&amp;" "&amp;F1225&amp;" "&amp;G1225&amp;" "&amp;H1225&amp;" "&amp;J1225))),OR(Search!$C$8="",ISNUMBER(SEARCH(Search!$C$8,G1225)))),1,0)</f>
        <v>1</v>
      </c>
      <c r="M1225" s="15" t="n">
        <f aca="false">M1224+L1225</f>
        <v>1224</v>
      </c>
    </row>
    <row r="1226" customFormat="false" ht="15" hidden="false" customHeight="false" outlineLevel="0" collapsed="false">
      <c r="A1226" s="14" t="n">
        <v>1225</v>
      </c>
      <c r="B1226" s="15" t="s">
        <v>942</v>
      </c>
      <c r="C1226" s="15" t="s">
        <v>1044</v>
      </c>
      <c r="D1226" s="16" t="s">
        <v>1048</v>
      </c>
      <c r="E1226" s="16" t="s">
        <v>1053</v>
      </c>
      <c r="F1226" s="15"/>
      <c r="G1226" s="15" t="s">
        <v>1054</v>
      </c>
      <c r="H1226" s="15" t="s">
        <v>82</v>
      </c>
      <c r="I1226" s="17" t="n">
        <v>107</v>
      </c>
      <c r="J1226" s="16"/>
      <c r="K1226" s="15" t="s">
        <v>947</v>
      </c>
      <c r="L1226" s="15" t="n">
        <f aca="false">IF(AND(OR(Search!$C$4="",Search!$C$4="All",B1226=Search!$C$4),OR(Search!$C$5="",Search!$C$5="All",C1226=Search!$C$5),OR(Search!$C$6="",Search!$C$6="All",D1226=Search!$C$6),OR(Search!$C$7="",ISNUMBER(SEARCH(Search!$C$7,D1226&amp;" "&amp;E1226&amp;" "&amp;F1226&amp;" "&amp;G1226&amp;" "&amp;H1226&amp;" "&amp;J1226))),OR(Search!$C$8="",ISNUMBER(SEARCH(Search!$C$8,G1226)))),1,0)</f>
        <v>1</v>
      </c>
      <c r="M1226" s="15" t="n">
        <f aca="false">M1225+L1226</f>
        <v>1225</v>
      </c>
    </row>
    <row r="1227" customFormat="false" ht="15" hidden="false" customHeight="false" outlineLevel="0" collapsed="false">
      <c r="A1227" s="14" t="n">
        <v>1226</v>
      </c>
      <c r="B1227" s="15" t="s">
        <v>942</v>
      </c>
      <c r="C1227" s="15" t="s">
        <v>1044</v>
      </c>
      <c r="D1227" s="16" t="s">
        <v>1048</v>
      </c>
      <c r="E1227" s="16" t="s">
        <v>1052</v>
      </c>
      <c r="F1227" s="15"/>
      <c r="G1227" s="15" t="s">
        <v>1054</v>
      </c>
      <c r="H1227" s="15" t="s">
        <v>82</v>
      </c>
      <c r="I1227" s="17" t="n">
        <v>109</v>
      </c>
      <c r="J1227" s="16"/>
      <c r="K1227" s="15" t="s">
        <v>947</v>
      </c>
      <c r="L1227" s="15" t="n">
        <f aca="false">IF(AND(OR(Search!$C$4="",Search!$C$4="All",B1227=Search!$C$4),OR(Search!$C$5="",Search!$C$5="All",C1227=Search!$C$5),OR(Search!$C$6="",Search!$C$6="All",D1227=Search!$C$6),OR(Search!$C$7="",ISNUMBER(SEARCH(Search!$C$7,D1227&amp;" "&amp;E1227&amp;" "&amp;F1227&amp;" "&amp;G1227&amp;" "&amp;H1227&amp;" "&amp;J1227))),OR(Search!$C$8="",ISNUMBER(SEARCH(Search!$C$8,G1227)))),1,0)</f>
        <v>1</v>
      </c>
      <c r="M1227" s="15" t="n">
        <f aca="false">M1226+L1227</f>
        <v>1226</v>
      </c>
    </row>
    <row r="1228" customFormat="false" ht="15" hidden="false" customHeight="false" outlineLevel="0" collapsed="false">
      <c r="A1228" s="14" t="n">
        <v>1227</v>
      </c>
      <c r="B1228" s="15" t="s">
        <v>942</v>
      </c>
      <c r="C1228" s="15" t="s">
        <v>1055</v>
      </c>
      <c r="D1228" s="16" t="s">
        <v>1056</v>
      </c>
      <c r="E1228" s="16" t="s">
        <v>458</v>
      </c>
      <c r="F1228" s="15" t="s">
        <v>288</v>
      </c>
      <c r="G1228" s="15" t="s">
        <v>1057</v>
      </c>
      <c r="H1228" s="15" t="s">
        <v>203</v>
      </c>
      <c r="I1228" s="17" t="n">
        <v>60</v>
      </c>
      <c r="J1228" s="16"/>
      <c r="K1228" s="15" t="s">
        <v>947</v>
      </c>
      <c r="L1228" s="15" t="n">
        <f aca="false">IF(AND(OR(Search!$C$4="",Search!$C$4="All",B1228=Search!$C$4),OR(Search!$C$5="",Search!$C$5="All",C1228=Search!$C$5),OR(Search!$C$6="",Search!$C$6="All",D1228=Search!$C$6),OR(Search!$C$7="",ISNUMBER(SEARCH(Search!$C$7,D1228&amp;" "&amp;E1228&amp;" "&amp;F1228&amp;" "&amp;G1228&amp;" "&amp;H1228&amp;" "&amp;J1228))),OR(Search!$C$8="",ISNUMBER(SEARCH(Search!$C$8,G1228)))),1,0)</f>
        <v>1</v>
      </c>
      <c r="M1228" s="15" t="n">
        <f aca="false">M1227+L1228</f>
        <v>1227</v>
      </c>
    </row>
    <row r="1229" customFormat="false" ht="15" hidden="false" customHeight="false" outlineLevel="0" collapsed="false">
      <c r="A1229" s="14" t="n">
        <v>1228</v>
      </c>
      <c r="B1229" s="15" t="s">
        <v>942</v>
      </c>
      <c r="C1229" s="15" t="s">
        <v>1055</v>
      </c>
      <c r="D1229" s="16" t="s">
        <v>1056</v>
      </c>
      <c r="E1229" s="16" t="s">
        <v>458</v>
      </c>
      <c r="F1229" s="15" t="s">
        <v>288</v>
      </c>
      <c r="G1229" s="15" t="s">
        <v>1057</v>
      </c>
      <c r="H1229" s="15" t="s">
        <v>479</v>
      </c>
      <c r="I1229" s="17" t="n">
        <v>16500</v>
      </c>
      <c r="J1229" s="16"/>
      <c r="K1229" s="15" t="s">
        <v>947</v>
      </c>
      <c r="L1229" s="15" t="n">
        <f aca="false">IF(AND(OR(Search!$C$4="",Search!$C$4="All",B1229=Search!$C$4),OR(Search!$C$5="",Search!$C$5="All",C1229=Search!$C$5),OR(Search!$C$6="",Search!$C$6="All",D1229=Search!$C$6),OR(Search!$C$7="",ISNUMBER(SEARCH(Search!$C$7,D1229&amp;" "&amp;E1229&amp;" "&amp;F1229&amp;" "&amp;G1229&amp;" "&amp;H1229&amp;" "&amp;J1229))),OR(Search!$C$8="",ISNUMBER(SEARCH(Search!$C$8,G1229)))),1,0)</f>
        <v>1</v>
      </c>
      <c r="M1229" s="15" t="n">
        <f aca="false">M1228+L1229</f>
        <v>1228</v>
      </c>
    </row>
    <row r="1230" customFormat="false" ht="15" hidden="false" customHeight="false" outlineLevel="0" collapsed="false">
      <c r="A1230" s="14" t="n">
        <v>1229</v>
      </c>
      <c r="B1230" s="15" t="s">
        <v>942</v>
      </c>
      <c r="C1230" s="15" t="s">
        <v>1055</v>
      </c>
      <c r="D1230" s="16" t="s">
        <v>1056</v>
      </c>
      <c r="E1230" s="16" t="s">
        <v>458</v>
      </c>
      <c r="F1230" s="15" t="s">
        <v>288</v>
      </c>
      <c r="G1230" s="15" t="s">
        <v>1058</v>
      </c>
      <c r="H1230" s="15" t="s">
        <v>203</v>
      </c>
      <c r="I1230" s="17" t="n">
        <v>53</v>
      </c>
      <c r="J1230" s="16"/>
      <c r="K1230" s="15" t="s">
        <v>947</v>
      </c>
      <c r="L1230" s="15" t="n">
        <f aca="false">IF(AND(OR(Search!$C$4="",Search!$C$4="All",B1230=Search!$C$4),OR(Search!$C$5="",Search!$C$5="All",C1230=Search!$C$5),OR(Search!$C$6="",Search!$C$6="All",D1230=Search!$C$6),OR(Search!$C$7="",ISNUMBER(SEARCH(Search!$C$7,D1230&amp;" "&amp;E1230&amp;" "&amp;F1230&amp;" "&amp;G1230&amp;" "&amp;H1230&amp;" "&amp;J1230))),OR(Search!$C$8="",ISNUMBER(SEARCH(Search!$C$8,G1230)))),1,0)</f>
        <v>1</v>
      </c>
      <c r="M1230" s="15" t="n">
        <f aca="false">M1229+L1230</f>
        <v>1229</v>
      </c>
    </row>
    <row r="1231" customFormat="false" ht="15" hidden="false" customHeight="false" outlineLevel="0" collapsed="false">
      <c r="A1231" s="14" t="n">
        <v>1230</v>
      </c>
      <c r="B1231" s="15" t="s">
        <v>942</v>
      </c>
      <c r="C1231" s="15" t="s">
        <v>1055</v>
      </c>
      <c r="D1231" s="16" t="s">
        <v>1056</v>
      </c>
      <c r="E1231" s="16" t="s">
        <v>458</v>
      </c>
      <c r="F1231" s="15" t="s">
        <v>288</v>
      </c>
      <c r="G1231" s="15" t="s">
        <v>1058</v>
      </c>
      <c r="H1231" s="15" t="s">
        <v>479</v>
      </c>
      <c r="I1231" s="17" t="n">
        <v>13250</v>
      </c>
      <c r="J1231" s="16"/>
      <c r="K1231" s="15" t="s">
        <v>947</v>
      </c>
      <c r="L1231" s="15" t="n">
        <f aca="false">IF(AND(OR(Search!$C$4="",Search!$C$4="All",B1231=Search!$C$4),OR(Search!$C$5="",Search!$C$5="All",C1231=Search!$C$5),OR(Search!$C$6="",Search!$C$6="All",D1231=Search!$C$6),OR(Search!$C$7="",ISNUMBER(SEARCH(Search!$C$7,D1231&amp;" "&amp;E1231&amp;" "&amp;F1231&amp;" "&amp;G1231&amp;" "&amp;H1231&amp;" "&amp;J1231))),OR(Search!$C$8="",ISNUMBER(SEARCH(Search!$C$8,G1231)))),1,0)</f>
        <v>1</v>
      </c>
      <c r="M1231" s="15" t="n">
        <f aca="false">M1230+L1231</f>
        <v>1230</v>
      </c>
    </row>
    <row r="1232" customFormat="false" ht="15" hidden="false" customHeight="false" outlineLevel="0" collapsed="false">
      <c r="A1232" s="14" t="n">
        <v>1231</v>
      </c>
      <c r="B1232" s="15" t="s">
        <v>942</v>
      </c>
      <c r="C1232" s="15" t="s">
        <v>1055</v>
      </c>
      <c r="D1232" s="16" t="s">
        <v>1056</v>
      </c>
      <c r="E1232" s="16" t="s">
        <v>458</v>
      </c>
      <c r="F1232" s="15" t="s">
        <v>288</v>
      </c>
      <c r="G1232" s="15" t="s">
        <v>529</v>
      </c>
      <c r="H1232" s="15" t="s">
        <v>203</v>
      </c>
      <c r="I1232" s="17" t="n">
        <v>98</v>
      </c>
      <c r="J1232" s="16"/>
      <c r="K1232" s="15" t="s">
        <v>947</v>
      </c>
      <c r="L1232" s="15" t="n">
        <f aca="false">IF(AND(OR(Search!$C$4="",Search!$C$4="All",B1232=Search!$C$4),OR(Search!$C$5="",Search!$C$5="All",C1232=Search!$C$5),OR(Search!$C$6="",Search!$C$6="All",D1232=Search!$C$6),OR(Search!$C$7="",ISNUMBER(SEARCH(Search!$C$7,D1232&amp;" "&amp;E1232&amp;" "&amp;F1232&amp;" "&amp;G1232&amp;" "&amp;H1232&amp;" "&amp;J1232))),OR(Search!$C$8="",ISNUMBER(SEARCH(Search!$C$8,G1232)))),1,0)</f>
        <v>1</v>
      </c>
      <c r="M1232" s="15" t="n">
        <f aca="false">M1231+L1232</f>
        <v>1231</v>
      </c>
    </row>
    <row r="1233" customFormat="false" ht="15" hidden="false" customHeight="false" outlineLevel="0" collapsed="false">
      <c r="A1233" s="14" t="n">
        <v>1232</v>
      </c>
      <c r="B1233" s="15" t="s">
        <v>942</v>
      </c>
      <c r="C1233" s="15" t="s">
        <v>1055</v>
      </c>
      <c r="D1233" s="16" t="s">
        <v>1056</v>
      </c>
      <c r="E1233" s="16" t="s">
        <v>458</v>
      </c>
      <c r="F1233" s="15" t="s">
        <v>288</v>
      </c>
      <c r="G1233" s="15" t="s">
        <v>529</v>
      </c>
      <c r="H1233" s="15" t="s">
        <v>1059</v>
      </c>
      <c r="I1233" s="17" t="n">
        <v>13475</v>
      </c>
      <c r="J1233" s="16"/>
      <c r="K1233" s="15" t="s">
        <v>947</v>
      </c>
      <c r="L1233" s="15" t="n">
        <f aca="false">IF(AND(OR(Search!$C$4="",Search!$C$4="All",B1233=Search!$C$4),OR(Search!$C$5="",Search!$C$5="All",C1233=Search!$C$5),OR(Search!$C$6="",Search!$C$6="All",D1233=Search!$C$6),OR(Search!$C$7="",ISNUMBER(SEARCH(Search!$C$7,D1233&amp;" "&amp;E1233&amp;" "&amp;F1233&amp;" "&amp;G1233&amp;" "&amp;H1233&amp;" "&amp;J1233))),OR(Search!$C$8="",ISNUMBER(SEARCH(Search!$C$8,G1233)))),1,0)</f>
        <v>1</v>
      </c>
      <c r="M1233" s="15" t="n">
        <f aca="false">M1232+L1233</f>
        <v>1232</v>
      </c>
    </row>
    <row r="1234" customFormat="false" ht="15" hidden="false" customHeight="false" outlineLevel="0" collapsed="false">
      <c r="A1234" s="14" t="n">
        <v>1233</v>
      </c>
      <c r="B1234" s="15" t="s">
        <v>942</v>
      </c>
      <c r="C1234" s="15" t="s">
        <v>1055</v>
      </c>
      <c r="D1234" s="16" t="s">
        <v>1060</v>
      </c>
      <c r="E1234" s="16" t="s">
        <v>1061</v>
      </c>
      <c r="F1234" s="15" t="s">
        <v>686</v>
      </c>
      <c r="G1234" s="15" t="s">
        <v>1040</v>
      </c>
      <c r="H1234" s="15" t="s">
        <v>957</v>
      </c>
      <c r="I1234" s="17" t="n">
        <v>250</v>
      </c>
      <c r="J1234" s="16"/>
      <c r="K1234" s="15" t="s">
        <v>947</v>
      </c>
      <c r="L1234" s="15" t="n">
        <f aca="false">IF(AND(OR(Search!$C$4="",Search!$C$4="All",B1234=Search!$C$4),OR(Search!$C$5="",Search!$C$5="All",C1234=Search!$C$5),OR(Search!$C$6="",Search!$C$6="All",D1234=Search!$C$6),OR(Search!$C$7="",ISNUMBER(SEARCH(Search!$C$7,D1234&amp;" "&amp;E1234&amp;" "&amp;F1234&amp;" "&amp;G1234&amp;" "&amp;H1234&amp;" "&amp;J1234))),OR(Search!$C$8="",ISNUMBER(SEARCH(Search!$C$8,G1234)))),1,0)</f>
        <v>1</v>
      </c>
      <c r="M1234" s="15" t="n">
        <f aca="false">M1233+L1234</f>
        <v>1233</v>
      </c>
    </row>
    <row r="1235" customFormat="false" ht="15" hidden="false" customHeight="false" outlineLevel="0" collapsed="false">
      <c r="A1235" s="14" t="n">
        <v>1234</v>
      </c>
      <c r="B1235" s="15" t="s">
        <v>942</v>
      </c>
      <c r="C1235" s="15" t="s">
        <v>1055</v>
      </c>
      <c r="D1235" s="16" t="s">
        <v>1060</v>
      </c>
      <c r="E1235" s="16" t="s">
        <v>1061</v>
      </c>
      <c r="F1235" s="15" t="s">
        <v>686</v>
      </c>
      <c r="G1235" s="15" t="s">
        <v>443</v>
      </c>
      <c r="H1235" s="15" t="s">
        <v>957</v>
      </c>
      <c r="I1235" s="17" t="n">
        <v>125</v>
      </c>
      <c r="J1235" s="16"/>
      <c r="K1235" s="15" t="s">
        <v>947</v>
      </c>
      <c r="L1235" s="15" t="n">
        <f aca="false">IF(AND(OR(Search!$C$4="",Search!$C$4="All",B1235=Search!$C$4),OR(Search!$C$5="",Search!$C$5="All",C1235=Search!$C$5),OR(Search!$C$6="",Search!$C$6="All",D1235=Search!$C$6),OR(Search!$C$7="",ISNUMBER(SEARCH(Search!$C$7,D1235&amp;" "&amp;E1235&amp;" "&amp;F1235&amp;" "&amp;G1235&amp;" "&amp;H1235&amp;" "&amp;J1235))),OR(Search!$C$8="",ISNUMBER(SEARCH(Search!$C$8,G1235)))),1,0)</f>
        <v>1</v>
      </c>
      <c r="M1235" s="15" t="n">
        <f aca="false">M1234+L1235</f>
        <v>1234</v>
      </c>
    </row>
    <row r="1236" customFormat="false" ht="15" hidden="false" customHeight="false" outlineLevel="0" collapsed="false">
      <c r="A1236" s="14" t="n">
        <v>1235</v>
      </c>
      <c r="B1236" s="15" t="s">
        <v>942</v>
      </c>
      <c r="C1236" s="15" t="s">
        <v>1055</v>
      </c>
      <c r="D1236" s="16" t="s">
        <v>1060</v>
      </c>
      <c r="E1236" s="16" t="s">
        <v>1061</v>
      </c>
      <c r="F1236" s="15" t="s">
        <v>686</v>
      </c>
      <c r="G1236" s="15" t="s">
        <v>1062</v>
      </c>
      <c r="H1236" s="15" t="s">
        <v>957</v>
      </c>
      <c r="I1236" s="17" t="n">
        <v>90</v>
      </c>
      <c r="J1236" s="16"/>
      <c r="K1236" s="15" t="s">
        <v>947</v>
      </c>
      <c r="L1236" s="15" t="n">
        <f aca="false">IF(AND(OR(Search!$C$4="",Search!$C$4="All",B1236=Search!$C$4),OR(Search!$C$5="",Search!$C$5="All",C1236=Search!$C$5),OR(Search!$C$6="",Search!$C$6="All",D1236=Search!$C$6),OR(Search!$C$7="",ISNUMBER(SEARCH(Search!$C$7,D1236&amp;" "&amp;E1236&amp;" "&amp;F1236&amp;" "&amp;G1236&amp;" "&amp;H1236&amp;" "&amp;J1236))),OR(Search!$C$8="",ISNUMBER(SEARCH(Search!$C$8,G1236)))),1,0)</f>
        <v>1</v>
      </c>
      <c r="M1236" s="15" t="n">
        <f aca="false">M1235+L1236</f>
        <v>1235</v>
      </c>
    </row>
    <row r="1237" customFormat="false" ht="15" hidden="false" customHeight="false" outlineLevel="0" collapsed="false">
      <c r="A1237" s="14" t="n">
        <v>1236</v>
      </c>
      <c r="B1237" s="15" t="s">
        <v>942</v>
      </c>
      <c r="C1237" s="15" t="s">
        <v>1055</v>
      </c>
      <c r="D1237" s="16" t="s">
        <v>1063</v>
      </c>
      <c r="E1237" s="16" t="s">
        <v>1064</v>
      </c>
      <c r="F1237" s="15" t="s">
        <v>686</v>
      </c>
      <c r="G1237" s="15" t="s">
        <v>564</v>
      </c>
      <c r="H1237" s="15" t="s">
        <v>957</v>
      </c>
      <c r="I1237" s="17" t="n">
        <v>154</v>
      </c>
      <c r="J1237" s="16"/>
      <c r="K1237" s="15" t="s">
        <v>947</v>
      </c>
      <c r="L1237" s="15" t="n">
        <f aca="false">IF(AND(OR(Search!$C$4="",Search!$C$4="All",B1237=Search!$C$4),OR(Search!$C$5="",Search!$C$5="All",C1237=Search!$C$5),OR(Search!$C$6="",Search!$C$6="All",D1237=Search!$C$6),OR(Search!$C$7="",ISNUMBER(SEARCH(Search!$C$7,D1237&amp;" "&amp;E1237&amp;" "&amp;F1237&amp;" "&amp;G1237&amp;" "&amp;H1237&amp;" "&amp;J1237))),OR(Search!$C$8="",ISNUMBER(SEARCH(Search!$C$8,G1237)))),1,0)</f>
        <v>1</v>
      </c>
      <c r="M1237" s="15" t="n">
        <f aca="false">M1236+L1237</f>
        <v>1236</v>
      </c>
    </row>
    <row r="1238" customFormat="false" ht="15" hidden="false" customHeight="false" outlineLevel="0" collapsed="false">
      <c r="A1238" s="14" t="n">
        <v>1237</v>
      </c>
      <c r="B1238" s="15" t="s">
        <v>942</v>
      </c>
      <c r="C1238" s="15" t="s">
        <v>1055</v>
      </c>
      <c r="D1238" s="16" t="s">
        <v>1063</v>
      </c>
      <c r="E1238" s="16" t="s">
        <v>1065</v>
      </c>
      <c r="F1238" s="15" t="s">
        <v>686</v>
      </c>
      <c r="G1238" s="15" t="s">
        <v>564</v>
      </c>
      <c r="H1238" s="15" t="s">
        <v>957</v>
      </c>
      <c r="I1238" s="17" t="n">
        <v>275</v>
      </c>
      <c r="J1238" s="16"/>
      <c r="K1238" s="15" t="s">
        <v>947</v>
      </c>
      <c r="L1238" s="15" t="n">
        <f aca="false">IF(AND(OR(Search!$C$4="",Search!$C$4="All",B1238=Search!$C$4),OR(Search!$C$5="",Search!$C$5="All",C1238=Search!$C$5),OR(Search!$C$6="",Search!$C$6="All",D1238=Search!$C$6),OR(Search!$C$7="",ISNUMBER(SEARCH(Search!$C$7,D1238&amp;" "&amp;E1238&amp;" "&amp;F1238&amp;" "&amp;G1238&amp;" "&amp;H1238&amp;" "&amp;J1238))),OR(Search!$C$8="",ISNUMBER(SEARCH(Search!$C$8,G1238)))),1,0)</f>
        <v>1</v>
      </c>
      <c r="M1238" s="15" t="n">
        <f aca="false">M1237+L1238</f>
        <v>1237</v>
      </c>
    </row>
    <row r="1239" customFormat="false" ht="15" hidden="false" customHeight="false" outlineLevel="0" collapsed="false">
      <c r="A1239" s="14" t="n">
        <v>1238</v>
      </c>
      <c r="B1239" s="15" t="s">
        <v>942</v>
      </c>
      <c r="C1239" s="15" t="s">
        <v>1055</v>
      </c>
      <c r="D1239" s="16" t="s">
        <v>1063</v>
      </c>
      <c r="E1239" s="16" t="s">
        <v>1064</v>
      </c>
      <c r="F1239" s="15" t="s">
        <v>686</v>
      </c>
      <c r="G1239" s="15" t="s">
        <v>936</v>
      </c>
      <c r="H1239" s="15" t="s">
        <v>957</v>
      </c>
      <c r="I1239" s="17" t="n">
        <v>275</v>
      </c>
      <c r="J1239" s="16"/>
      <c r="K1239" s="15" t="s">
        <v>947</v>
      </c>
      <c r="L1239" s="15" t="n">
        <f aca="false">IF(AND(OR(Search!$C$4="",Search!$C$4="All",B1239=Search!$C$4),OR(Search!$C$5="",Search!$C$5="All",C1239=Search!$C$5),OR(Search!$C$6="",Search!$C$6="All",D1239=Search!$C$6),OR(Search!$C$7="",ISNUMBER(SEARCH(Search!$C$7,D1239&amp;" "&amp;E1239&amp;" "&amp;F1239&amp;" "&amp;G1239&amp;" "&amp;H1239&amp;" "&amp;J1239))),OR(Search!$C$8="",ISNUMBER(SEARCH(Search!$C$8,G1239)))),1,0)</f>
        <v>1</v>
      </c>
      <c r="M1239" s="15" t="n">
        <f aca="false">M1238+L1239</f>
        <v>1238</v>
      </c>
    </row>
    <row r="1240" customFormat="false" ht="15" hidden="false" customHeight="false" outlineLevel="0" collapsed="false">
      <c r="A1240" s="14" t="n">
        <v>1239</v>
      </c>
      <c r="B1240" s="15" t="s">
        <v>942</v>
      </c>
      <c r="C1240" s="15" t="s">
        <v>1055</v>
      </c>
      <c r="D1240" s="16" t="s">
        <v>1063</v>
      </c>
      <c r="E1240" s="16" t="s">
        <v>1065</v>
      </c>
      <c r="F1240" s="15" t="s">
        <v>686</v>
      </c>
      <c r="G1240" s="15" t="s">
        <v>936</v>
      </c>
      <c r="H1240" s="15" t="s">
        <v>957</v>
      </c>
      <c r="I1240" s="17" t="n">
        <v>495</v>
      </c>
      <c r="J1240" s="16"/>
      <c r="K1240" s="15" t="s">
        <v>947</v>
      </c>
      <c r="L1240" s="15" t="n">
        <f aca="false">IF(AND(OR(Search!$C$4="",Search!$C$4="All",B1240=Search!$C$4),OR(Search!$C$5="",Search!$C$5="All",C1240=Search!$C$5),OR(Search!$C$6="",Search!$C$6="All",D1240=Search!$C$6),OR(Search!$C$7="",ISNUMBER(SEARCH(Search!$C$7,D1240&amp;" "&amp;E1240&amp;" "&amp;F1240&amp;" "&amp;G1240&amp;" "&amp;H1240&amp;" "&amp;J1240))),OR(Search!$C$8="",ISNUMBER(SEARCH(Search!$C$8,G1240)))),1,0)</f>
        <v>1</v>
      </c>
      <c r="M1240" s="15" t="n">
        <f aca="false">M1239+L1240</f>
        <v>1239</v>
      </c>
    </row>
    <row r="1241" customFormat="false" ht="15" hidden="false" customHeight="false" outlineLevel="0" collapsed="false">
      <c r="A1241" s="14" t="n">
        <v>1240</v>
      </c>
      <c r="B1241" s="15" t="s">
        <v>942</v>
      </c>
      <c r="C1241" s="15" t="s">
        <v>1055</v>
      </c>
      <c r="D1241" s="16" t="s">
        <v>1063</v>
      </c>
      <c r="E1241" s="16" t="s">
        <v>1066</v>
      </c>
      <c r="F1241" s="15" t="s">
        <v>686</v>
      </c>
      <c r="G1241" s="15" t="s">
        <v>564</v>
      </c>
      <c r="H1241" s="15" t="s">
        <v>957</v>
      </c>
      <c r="I1241" s="17" t="n">
        <v>154</v>
      </c>
      <c r="J1241" s="16"/>
      <c r="K1241" s="15" t="s">
        <v>947</v>
      </c>
      <c r="L1241" s="15" t="n">
        <f aca="false">IF(AND(OR(Search!$C$4="",Search!$C$4="All",B1241=Search!$C$4),OR(Search!$C$5="",Search!$C$5="All",C1241=Search!$C$5),OR(Search!$C$6="",Search!$C$6="All",D1241=Search!$C$6),OR(Search!$C$7="",ISNUMBER(SEARCH(Search!$C$7,D1241&amp;" "&amp;E1241&amp;" "&amp;F1241&amp;" "&amp;G1241&amp;" "&amp;H1241&amp;" "&amp;J1241))),OR(Search!$C$8="",ISNUMBER(SEARCH(Search!$C$8,G1241)))),1,0)</f>
        <v>1</v>
      </c>
      <c r="M1241" s="15" t="n">
        <f aca="false">M1240+L1241</f>
        <v>1240</v>
      </c>
    </row>
    <row r="1242" customFormat="false" ht="15" hidden="false" customHeight="false" outlineLevel="0" collapsed="false">
      <c r="A1242" s="14" t="n">
        <v>1241</v>
      </c>
      <c r="B1242" s="15" t="s">
        <v>942</v>
      </c>
      <c r="C1242" s="15" t="s">
        <v>1055</v>
      </c>
      <c r="D1242" s="16" t="s">
        <v>1063</v>
      </c>
      <c r="E1242" s="16" t="s">
        <v>1067</v>
      </c>
      <c r="F1242" s="15" t="s">
        <v>686</v>
      </c>
      <c r="G1242" s="15" t="s">
        <v>564</v>
      </c>
      <c r="H1242" s="15" t="s">
        <v>957</v>
      </c>
      <c r="I1242" s="17" t="n">
        <v>275</v>
      </c>
      <c r="J1242" s="16"/>
      <c r="K1242" s="15" t="s">
        <v>947</v>
      </c>
      <c r="L1242" s="15" t="n">
        <f aca="false">IF(AND(OR(Search!$C$4="",Search!$C$4="All",B1242=Search!$C$4),OR(Search!$C$5="",Search!$C$5="All",C1242=Search!$C$5),OR(Search!$C$6="",Search!$C$6="All",D1242=Search!$C$6),OR(Search!$C$7="",ISNUMBER(SEARCH(Search!$C$7,D1242&amp;" "&amp;E1242&amp;" "&amp;F1242&amp;" "&amp;G1242&amp;" "&amp;H1242&amp;" "&amp;J1242))),OR(Search!$C$8="",ISNUMBER(SEARCH(Search!$C$8,G1242)))),1,0)</f>
        <v>1</v>
      </c>
      <c r="M1242" s="15" t="n">
        <f aca="false">M1241+L1242</f>
        <v>1241</v>
      </c>
    </row>
    <row r="1243" customFormat="false" ht="15" hidden="false" customHeight="false" outlineLevel="0" collapsed="false">
      <c r="A1243" s="14" t="n">
        <v>1242</v>
      </c>
      <c r="B1243" s="15" t="s">
        <v>942</v>
      </c>
      <c r="C1243" s="15" t="s">
        <v>1055</v>
      </c>
      <c r="D1243" s="16" t="s">
        <v>1063</v>
      </c>
      <c r="E1243" s="16" t="s">
        <v>1066</v>
      </c>
      <c r="F1243" s="15" t="s">
        <v>686</v>
      </c>
      <c r="G1243" s="15" t="s">
        <v>936</v>
      </c>
      <c r="H1243" s="15" t="s">
        <v>957</v>
      </c>
      <c r="I1243" s="17" t="n">
        <v>275</v>
      </c>
      <c r="J1243" s="16"/>
      <c r="K1243" s="15" t="s">
        <v>947</v>
      </c>
      <c r="L1243" s="15" t="n">
        <f aca="false">IF(AND(OR(Search!$C$4="",Search!$C$4="All",B1243=Search!$C$4),OR(Search!$C$5="",Search!$C$5="All",C1243=Search!$C$5),OR(Search!$C$6="",Search!$C$6="All",D1243=Search!$C$6),OR(Search!$C$7="",ISNUMBER(SEARCH(Search!$C$7,D1243&amp;" "&amp;E1243&amp;" "&amp;F1243&amp;" "&amp;G1243&amp;" "&amp;H1243&amp;" "&amp;J1243))),OR(Search!$C$8="",ISNUMBER(SEARCH(Search!$C$8,G1243)))),1,0)</f>
        <v>1</v>
      </c>
      <c r="M1243" s="15" t="n">
        <f aca="false">M1242+L1243</f>
        <v>1242</v>
      </c>
    </row>
    <row r="1244" customFormat="false" ht="15" hidden="false" customHeight="false" outlineLevel="0" collapsed="false">
      <c r="A1244" s="14" t="n">
        <v>1243</v>
      </c>
      <c r="B1244" s="15" t="s">
        <v>942</v>
      </c>
      <c r="C1244" s="15" t="s">
        <v>1055</v>
      </c>
      <c r="D1244" s="16" t="s">
        <v>1063</v>
      </c>
      <c r="E1244" s="16" t="s">
        <v>1067</v>
      </c>
      <c r="F1244" s="15" t="s">
        <v>686</v>
      </c>
      <c r="G1244" s="15" t="s">
        <v>936</v>
      </c>
      <c r="H1244" s="15" t="s">
        <v>957</v>
      </c>
      <c r="I1244" s="17" t="n">
        <v>495</v>
      </c>
      <c r="J1244" s="16"/>
      <c r="K1244" s="15" t="s">
        <v>947</v>
      </c>
      <c r="L1244" s="15" t="n">
        <f aca="false">IF(AND(OR(Search!$C$4="",Search!$C$4="All",B1244=Search!$C$4),OR(Search!$C$5="",Search!$C$5="All",C1244=Search!$C$5),OR(Search!$C$6="",Search!$C$6="All",D1244=Search!$C$6),OR(Search!$C$7="",ISNUMBER(SEARCH(Search!$C$7,D1244&amp;" "&amp;E1244&amp;" "&amp;F1244&amp;" "&amp;G1244&amp;" "&amp;H1244&amp;" "&amp;J1244))),OR(Search!$C$8="",ISNUMBER(SEARCH(Search!$C$8,G1244)))),1,0)</f>
        <v>1</v>
      </c>
      <c r="M1244" s="15" t="n">
        <f aca="false">M1243+L1244</f>
        <v>1243</v>
      </c>
    </row>
    <row r="1245" customFormat="false" ht="15" hidden="false" customHeight="false" outlineLevel="0" collapsed="false">
      <c r="A1245" s="14" t="n">
        <v>1244</v>
      </c>
      <c r="B1245" s="15" t="s">
        <v>942</v>
      </c>
      <c r="C1245" s="15" t="s">
        <v>1055</v>
      </c>
      <c r="D1245" s="16" t="s">
        <v>1068</v>
      </c>
      <c r="E1245" s="16" t="s">
        <v>1069</v>
      </c>
      <c r="F1245" s="15" t="s">
        <v>649</v>
      </c>
      <c r="G1245" s="15" t="s">
        <v>564</v>
      </c>
      <c r="H1245" s="15" t="s">
        <v>631</v>
      </c>
      <c r="I1245" s="17" t="n">
        <v>110</v>
      </c>
      <c r="J1245" s="16"/>
      <c r="K1245" s="15" t="s">
        <v>947</v>
      </c>
      <c r="L1245" s="15" t="n">
        <f aca="false">IF(AND(OR(Search!$C$4="",Search!$C$4="All",B1245=Search!$C$4),OR(Search!$C$5="",Search!$C$5="All",C1245=Search!$C$5),OR(Search!$C$6="",Search!$C$6="All",D1245=Search!$C$6),OR(Search!$C$7="",ISNUMBER(SEARCH(Search!$C$7,D1245&amp;" "&amp;E1245&amp;" "&amp;F1245&amp;" "&amp;G1245&amp;" "&amp;H1245&amp;" "&amp;J1245))),OR(Search!$C$8="",ISNUMBER(SEARCH(Search!$C$8,G1245)))),1,0)</f>
        <v>1</v>
      </c>
      <c r="M1245" s="15" t="n">
        <f aca="false">M1244+L1245</f>
        <v>1244</v>
      </c>
    </row>
    <row r="1246" customFormat="false" ht="15" hidden="false" customHeight="false" outlineLevel="0" collapsed="false">
      <c r="A1246" s="14" t="n">
        <v>1245</v>
      </c>
      <c r="B1246" s="15" t="s">
        <v>942</v>
      </c>
      <c r="C1246" s="15" t="s">
        <v>1055</v>
      </c>
      <c r="D1246" s="16" t="s">
        <v>1068</v>
      </c>
      <c r="E1246" s="16" t="s">
        <v>1069</v>
      </c>
      <c r="F1246" s="15" t="s">
        <v>649</v>
      </c>
      <c r="G1246" s="15" t="s">
        <v>936</v>
      </c>
      <c r="H1246" s="15" t="s">
        <v>631</v>
      </c>
      <c r="I1246" s="17" t="n">
        <v>200</v>
      </c>
      <c r="J1246" s="16"/>
      <c r="K1246" s="15" t="s">
        <v>947</v>
      </c>
      <c r="L1246" s="15" t="n">
        <f aca="false">IF(AND(OR(Search!$C$4="",Search!$C$4="All",B1246=Search!$C$4),OR(Search!$C$5="",Search!$C$5="All",C1246=Search!$C$5),OR(Search!$C$6="",Search!$C$6="All",D1246=Search!$C$6),OR(Search!$C$7="",ISNUMBER(SEARCH(Search!$C$7,D1246&amp;" "&amp;E1246&amp;" "&amp;F1246&amp;" "&amp;G1246&amp;" "&amp;H1246&amp;" "&amp;J1246))),OR(Search!$C$8="",ISNUMBER(SEARCH(Search!$C$8,G1246)))),1,0)</f>
        <v>1</v>
      </c>
      <c r="M1246" s="15" t="n">
        <f aca="false">M1245+L1246</f>
        <v>1245</v>
      </c>
    </row>
    <row r="1247" customFormat="false" ht="15" hidden="false" customHeight="false" outlineLevel="0" collapsed="false">
      <c r="A1247" s="14" t="n">
        <v>1246</v>
      </c>
      <c r="B1247" s="15" t="s">
        <v>942</v>
      </c>
      <c r="C1247" s="15" t="s">
        <v>1055</v>
      </c>
      <c r="D1247" s="16" t="s">
        <v>1070</v>
      </c>
      <c r="E1247" s="16" t="s">
        <v>1061</v>
      </c>
      <c r="F1247" s="15" t="s">
        <v>649</v>
      </c>
      <c r="G1247" s="15" t="s">
        <v>564</v>
      </c>
      <c r="H1247" s="15" t="s">
        <v>957</v>
      </c>
      <c r="I1247" s="17" t="n">
        <v>297</v>
      </c>
      <c r="J1247" s="16"/>
      <c r="K1247" s="15" t="s">
        <v>947</v>
      </c>
      <c r="L1247" s="15" t="n">
        <f aca="false">IF(AND(OR(Search!$C$4="",Search!$C$4="All",B1247=Search!$C$4),OR(Search!$C$5="",Search!$C$5="All",C1247=Search!$C$5),OR(Search!$C$6="",Search!$C$6="All",D1247=Search!$C$6),OR(Search!$C$7="",ISNUMBER(SEARCH(Search!$C$7,D1247&amp;" "&amp;E1247&amp;" "&amp;F1247&amp;" "&amp;G1247&amp;" "&amp;H1247&amp;" "&amp;J1247))),OR(Search!$C$8="",ISNUMBER(SEARCH(Search!$C$8,G1247)))),1,0)</f>
        <v>1</v>
      </c>
      <c r="M1247" s="15" t="n">
        <f aca="false">M1246+L1247</f>
        <v>1246</v>
      </c>
    </row>
    <row r="1248" customFormat="false" ht="15" hidden="false" customHeight="false" outlineLevel="0" collapsed="false">
      <c r="A1248" s="14" t="n">
        <v>1247</v>
      </c>
      <c r="B1248" s="15" t="s">
        <v>942</v>
      </c>
      <c r="C1248" s="15" t="s">
        <v>1055</v>
      </c>
      <c r="D1248" s="16" t="s">
        <v>1070</v>
      </c>
      <c r="E1248" s="16" t="s">
        <v>1061</v>
      </c>
      <c r="F1248" s="15" t="s">
        <v>649</v>
      </c>
      <c r="G1248" s="15" t="s">
        <v>1062</v>
      </c>
      <c r="H1248" s="15" t="s">
        <v>957</v>
      </c>
      <c r="I1248" s="17" t="n">
        <v>176</v>
      </c>
      <c r="J1248" s="16"/>
      <c r="K1248" s="15" t="s">
        <v>947</v>
      </c>
      <c r="L1248" s="15" t="n">
        <f aca="false">IF(AND(OR(Search!$C$4="",Search!$C$4="All",B1248=Search!$C$4),OR(Search!$C$5="",Search!$C$5="All",C1248=Search!$C$5),OR(Search!$C$6="",Search!$C$6="All",D1248=Search!$C$6),OR(Search!$C$7="",ISNUMBER(SEARCH(Search!$C$7,D1248&amp;" "&amp;E1248&amp;" "&amp;F1248&amp;" "&amp;G1248&amp;" "&amp;H1248&amp;" "&amp;J1248))),OR(Search!$C$8="",ISNUMBER(SEARCH(Search!$C$8,G1248)))),1,0)</f>
        <v>1</v>
      </c>
      <c r="M1248" s="15" t="n">
        <f aca="false">M1247+L1248</f>
        <v>1247</v>
      </c>
    </row>
    <row r="1249" customFormat="false" ht="15" hidden="false" customHeight="false" outlineLevel="0" collapsed="false">
      <c r="A1249" s="14" t="n">
        <v>1248</v>
      </c>
      <c r="B1249" s="15" t="s">
        <v>942</v>
      </c>
      <c r="C1249" s="15" t="s">
        <v>1055</v>
      </c>
      <c r="D1249" s="16" t="s">
        <v>1070</v>
      </c>
      <c r="E1249" s="16" t="s">
        <v>1061</v>
      </c>
      <c r="F1249" s="15" t="s">
        <v>649</v>
      </c>
      <c r="G1249" s="15" t="s">
        <v>936</v>
      </c>
      <c r="H1249" s="15" t="s">
        <v>957</v>
      </c>
      <c r="I1249" s="17" t="n">
        <v>577</v>
      </c>
      <c r="J1249" s="16"/>
      <c r="K1249" s="15" t="s">
        <v>947</v>
      </c>
      <c r="L1249" s="15" t="n">
        <f aca="false">IF(AND(OR(Search!$C$4="",Search!$C$4="All",B1249=Search!$C$4),OR(Search!$C$5="",Search!$C$5="All",C1249=Search!$C$5),OR(Search!$C$6="",Search!$C$6="All",D1249=Search!$C$6),OR(Search!$C$7="",ISNUMBER(SEARCH(Search!$C$7,D1249&amp;" "&amp;E1249&amp;" "&amp;F1249&amp;" "&amp;G1249&amp;" "&amp;H1249&amp;" "&amp;J1249))),OR(Search!$C$8="",ISNUMBER(SEARCH(Search!$C$8,G1249)))),1,0)</f>
        <v>1</v>
      </c>
      <c r="M1249" s="15" t="n">
        <f aca="false">M1248+L1249</f>
        <v>1248</v>
      </c>
    </row>
    <row r="1250" customFormat="false" ht="15" hidden="false" customHeight="false" outlineLevel="0" collapsed="false">
      <c r="A1250" s="14" t="n">
        <v>1249</v>
      </c>
      <c r="B1250" s="15" t="s">
        <v>942</v>
      </c>
      <c r="C1250" s="15" t="s">
        <v>1055</v>
      </c>
      <c r="D1250" s="16" t="s">
        <v>1071</v>
      </c>
      <c r="E1250" s="16" t="s">
        <v>1072</v>
      </c>
      <c r="F1250" s="15" t="s">
        <v>651</v>
      </c>
      <c r="G1250" s="15" t="s">
        <v>1062</v>
      </c>
      <c r="H1250" s="15" t="s">
        <v>957</v>
      </c>
      <c r="I1250" s="17" t="n">
        <v>485</v>
      </c>
      <c r="J1250" s="16"/>
      <c r="K1250" s="15" t="s">
        <v>947</v>
      </c>
      <c r="L1250" s="15" t="n">
        <f aca="false">IF(AND(OR(Search!$C$4="",Search!$C$4="All",B1250=Search!$C$4),OR(Search!$C$5="",Search!$C$5="All",C1250=Search!$C$5),OR(Search!$C$6="",Search!$C$6="All",D1250=Search!$C$6),OR(Search!$C$7="",ISNUMBER(SEARCH(Search!$C$7,D1250&amp;" "&amp;E1250&amp;" "&amp;F1250&amp;" "&amp;G1250&amp;" "&amp;H1250&amp;" "&amp;J1250))),OR(Search!$C$8="",ISNUMBER(SEARCH(Search!$C$8,G1250)))),1,0)</f>
        <v>1</v>
      </c>
      <c r="M1250" s="15" t="n">
        <f aca="false">M1249+L1250</f>
        <v>1249</v>
      </c>
    </row>
    <row r="1251" customFormat="false" ht="15" hidden="false" customHeight="false" outlineLevel="0" collapsed="false">
      <c r="A1251" s="14" t="n">
        <v>1250</v>
      </c>
      <c r="B1251" s="15" t="s">
        <v>942</v>
      </c>
      <c r="C1251" s="15" t="s">
        <v>1055</v>
      </c>
      <c r="D1251" s="16" t="s">
        <v>1071</v>
      </c>
      <c r="E1251" s="16" t="s">
        <v>1072</v>
      </c>
      <c r="F1251" s="15" t="s">
        <v>651</v>
      </c>
      <c r="G1251" s="15" t="s">
        <v>443</v>
      </c>
      <c r="H1251" s="15" t="s">
        <v>957</v>
      </c>
      <c r="I1251" s="17" t="n">
        <v>880</v>
      </c>
      <c r="J1251" s="16"/>
      <c r="K1251" s="15" t="s">
        <v>947</v>
      </c>
      <c r="L1251" s="15" t="n">
        <f aca="false">IF(AND(OR(Search!$C$4="",Search!$C$4="All",B1251=Search!$C$4),OR(Search!$C$5="",Search!$C$5="All",C1251=Search!$C$5),OR(Search!$C$6="",Search!$C$6="All",D1251=Search!$C$6),OR(Search!$C$7="",ISNUMBER(SEARCH(Search!$C$7,D1251&amp;" "&amp;E1251&amp;" "&amp;F1251&amp;" "&amp;G1251&amp;" "&amp;H1251&amp;" "&amp;J1251))),OR(Search!$C$8="",ISNUMBER(SEARCH(Search!$C$8,G1251)))),1,0)</f>
        <v>1</v>
      </c>
      <c r="M1251" s="15" t="n">
        <f aca="false">M1250+L1251</f>
        <v>1250</v>
      </c>
    </row>
    <row r="1252" customFormat="false" ht="15" hidden="false" customHeight="false" outlineLevel="0" collapsed="false">
      <c r="A1252" s="14" t="n">
        <v>1251</v>
      </c>
      <c r="B1252" s="15" t="s">
        <v>942</v>
      </c>
      <c r="C1252" s="15" t="s">
        <v>1055</v>
      </c>
      <c r="D1252" s="16" t="s">
        <v>1071</v>
      </c>
      <c r="E1252" s="16" t="s">
        <v>1073</v>
      </c>
      <c r="F1252" s="15" t="s">
        <v>651</v>
      </c>
      <c r="G1252" s="15" t="s">
        <v>1040</v>
      </c>
      <c r="H1252" s="15" t="s">
        <v>957</v>
      </c>
      <c r="I1252" s="17" t="n">
        <v>1330</v>
      </c>
      <c r="J1252" s="16"/>
      <c r="K1252" s="15" t="s">
        <v>947</v>
      </c>
      <c r="L1252" s="15" t="n">
        <f aca="false">IF(AND(OR(Search!$C$4="",Search!$C$4="All",B1252=Search!$C$4),OR(Search!$C$5="",Search!$C$5="All",C1252=Search!$C$5),OR(Search!$C$6="",Search!$C$6="All",D1252=Search!$C$6),OR(Search!$C$7="",ISNUMBER(SEARCH(Search!$C$7,D1252&amp;" "&amp;E1252&amp;" "&amp;F1252&amp;" "&amp;G1252&amp;" "&amp;H1252&amp;" "&amp;J1252))),OR(Search!$C$8="",ISNUMBER(SEARCH(Search!$C$8,G1252)))),1,0)</f>
        <v>1</v>
      </c>
      <c r="M1252" s="15" t="n">
        <f aca="false">M1251+L1252</f>
        <v>1251</v>
      </c>
    </row>
    <row r="1253" customFormat="false" ht="15" hidden="false" customHeight="false" outlineLevel="0" collapsed="false">
      <c r="A1253" s="14" t="n">
        <v>1252</v>
      </c>
      <c r="B1253" s="15" t="s">
        <v>942</v>
      </c>
      <c r="C1253" s="15" t="s">
        <v>1055</v>
      </c>
      <c r="D1253" s="16" t="s">
        <v>1074</v>
      </c>
      <c r="E1253" s="16" t="s">
        <v>1075</v>
      </c>
      <c r="F1253" s="15"/>
      <c r="G1253" s="15"/>
      <c r="H1253" s="15" t="s">
        <v>528</v>
      </c>
      <c r="I1253" s="17" t="n">
        <v>55</v>
      </c>
      <c r="J1253" s="16"/>
      <c r="K1253" s="15" t="s">
        <v>947</v>
      </c>
      <c r="L1253" s="15" t="n">
        <f aca="false">IF(AND(OR(Search!$C$4="",Search!$C$4="All",B1253=Search!$C$4),OR(Search!$C$5="",Search!$C$5="All",C1253=Search!$C$5),OR(Search!$C$6="",Search!$C$6="All",D1253=Search!$C$6),OR(Search!$C$7="",ISNUMBER(SEARCH(Search!$C$7,D1253&amp;" "&amp;E1253&amp;" "&amp;F1253&amp;" "&amp;G1253&amp;" "&amp;H1253&amp;" "&amp;J1253))),OR(Search!$C$8="",ISNUMBER(SEARCH(Search!$C$8,G1253)))),1,0)</f>
        <v>1</v>
      </c>
      <c r="M1253" s="15" t="n">
        <f aca="false">M1252+L1253</f>
        <v>1252</v>
      </c>
    </row>
    <row r="1254" customFormat="false" ht="15" hidden="false" customHeight="false" outlineLevel="0" collapsed="false">
      <c r="A1254" s="14" t="n">
        <v>1253</v>
      </c>
      <c r="B1254" s="15" t="s">
        <v>942</v>
      </c>
      <c r="C1254" s="15" t="s">
        <v>1055</v>
      </c>
      <c r="D1254" s="16" t="s">
        <v>1076</v>
      </c>
      <c r="E1254" s="16" t="s">
        <v>1077</v>
      </c>
      <c r="F1254" s="15"/>
      <c r="G1254" s="15"/>
      <c r="H1254" s="15" t="s">
        <v>528</v>
      </c>
      <c r="I1254" s="17" t="n">
        <v>48</v>
      </c>
      <c r="J1254" s="16"/>
      <c r="K1254" s="15" t="s">
        <v>947</v>
      </c>
      <c r="L1254" s="15" t="n">
        <f aca="false">IF(AND(OR(Search!$C$4="",Search!$C$4="All",B1254=Search!$C$4),OR(Search!$C$5="",Search!$C$5="All",C1254=Search!$C$5),OR(Search!$C$6="",Search!$C$6="All",D1254=Search!$C$6),OR(Search!$C$7="",ISNUMBER(SEARCH(Search!$C$7,D1254&amp;" "&amp;E1254&amp;" "&amp;F1254&amp;" "&amp;G1254&amp;" "&amp;H1254&amp;" "&amp;J1254))),OR(Search!$C$8="",ISNUMBER(SEARCH(Search!$C$8,G1254)))),1,0)</f>
        <v>1</v>
      </c>
      <c r="M1254" s="15" t="n">
        <f aca="false">M1253+L1254</f>
        <v>1253</v>
      </c>
    </row>
    <row r="1255" customFormat="false" ht="15" hidden="false" customHeight="false" outlineLevel="0" collapsed="false">
      <c r="A1255" s="14" t="n">
        <v>1254</v>
      </c>
      <c r="B1255" s="15" t="s">
        <v>942</v>
      </c>
      <c r="C1255" s="15" t="s">
        <v>1055</v>
      </c>
      <c r="D1255" s="16" t="s">
        <v>1078</v>
      </c>
      <c r="E1255" s="16"/>
      <c r="F1255" s="15"/>
      <c r="G1255" s="15" t="s">
        <v>1079</v>
      </c>
      <c r="H1255" s="15" t="s">
        <v>528</v>
      </c>
      <c r="I1255" s="17" t="n">
        <v>132</v>
      </c>
      <c r="J1255" s="16"/>
      <c r="K1255" s="15" t="s">
        <v>947</v>
      </c>
      <c r="L1255" s="15" t="n">
        <f aca="false">IF(AND(OR(Search!$C$4="",Search!$C$4="All",B1255=Search!$C$4),OR(Search!$C$5="",Search!$C$5="All",C1255=Search!$C$5),OR(Search!$C$6="",Search!$C$6="All",D1255=Search!$C$6),OR(Search!$C$7="",ISNUMBER(SEARCH(Search!$C$7,D1255&amp;" "&amp;E1255&amp;" "&amp;F1255&amp;" "&amp;G1255&amp;" "&amp;H1255&amp;" "&amp;J1255))),OR(Search!$C$8="",ISNUMBER(SEARCH(Search!$C$8,G1255)))),1,0)</f>
        <v>1</v>
      </c>
      <c r="M1255" s="15" t="n">
        <f aca="false">M1254+L1255</f>
        <v>1254</v>
      </c>
    </row>
    <row r="1256" customFormat="false" ht="15" hidden="false" customHeight="false" outlineLevel="0" collapsed="false">
      <c r="A1256" s="14" t="n">
        <v>1255</v>
      </c>
      <c r="B1256" s="15" t="s">
        <v>942</v>
      </c>
      <c r="C1256" s="15" t="s">
        <v>1055</v>
      </c>
      <c r="D1256" s="16" t="s">
        <v>1078</v>
      </c>
      <c r="E1256" s="16"/>
      <c r="F1256" s="15"/>
      <c r="G1256" s="15" t="s">
        <v>1080</v>
      </c>
      <c r="H1256" s="15" t="s">
        <v>528</v>
      </c>
      <c r="I1256" s="17" t="n">
        <v>176</v>
      </c>
      <c r="J1256" s="16"/>
      <c r="K1256" s="15" t="s">
        <v>947</v>
      </c>
      <c r="L1256" s="15" t="n">
        <f aca="false">IF(AND(OR(Search!$C$4="",Search!$C$4="All",B1256=Search!$C$4),OR(Search!$C$5="",Search!$C$5="All",C1256=Search!$C$5),OR(Search!$C$6="",Search!$C$6="All",D1256=Search!$C$6),OR(Search!$C$7="",ISNUMBER(SEARCH(Search!$C$7,D1256&amp;" "&amp;E1256&amp;" "&amp;F1256&amp;" "&amp;G1256&amp;" "&amp;H1256&amp;" "&amp;J1256))),OR(Search!$C$8="",ISNUMBER(SEARCH(Search!$C$8,G1256)))),1,0)</f>
        <v>1</v>
      </c>
      <c r="M1256" s="15" t="n">
        <f aca="false">M1255+L1256</f>
        <v>1255</v>
      </c>
    </row>
    <row r="1257" customFormat="false" ht="15" hidden="false" customHeight="false" outlineLevel="0" collapsed="false">
      <c r="A1257" s="14" t="n">
        <v>1256</v>
      </c>
      <c r="B1257" s="15" t="s">
        <v>942</v>
      </c>
      <c r="C1257" s="15" t="s">
        <v>1055</v>
      </c>
      <c r="D1257" s="16" t="s">
        <v>1078</v>
      </c>
      <c r="E1257" s="16"/>
      <c r="F1257" s="15"/>
      <c r="G1257" s="15" t="s">
        <v>1081</v>
      </c>
      <c r="H1257" s="15" t="s">
        <v>528</v>
      </c>
      <c r="I1257" s="17" t="n">
        <v>281</v>
      </c>
      <c r="J1257" s="16"/>
      <c r="K1257" s="15" t="s">
        <v>947</v>
      </c>
      <c r="L1257" s="15" t="n">
        <f aca="false">IF(AND(OR(Search!$C$4="",Search!$C$4="All",B1257=Search!$C$4),OR(Search!$C$5="",Search!$C$5="All",C1257=Search!$C$5),OR(Search!$C$6="",Search!$C$6="All",D1257=Search!$C$6),OR(Search!$C$7="",ISNUMBER(SEARCH(Search!$C$7,D1257&amp;" "&amp;E1257&amp;" "&amp;F1257&amp;" "&amp;G1257&amp;" "&amp;H1257&amp;" "&amp;J1257))),OR(Search!$C$8="",ISNUMBER(SEARCH(Search!$C$8,G1257)))),1,0)</f>
        <v>1</v>
      </c>
      <c r="M1257" s="15" t="n">
        <f aca="false">M1256+L1257</f>
        <v>1256</v>
      </c>
    </row>
    <row r="1258" customFormat="false" ht="15" hidden="false" customHeight="false" outlineLevel="0" collapsed="false">
      <c r="A1258" s="14" t="n">
        <v>1257</v>
      </c>
      <c r="B1258" s="15" t="s">
        <v>942</v>
      </c>
      <c r="C1258" s="15" t="s">
        <v>1055</v>
      </c>
      <c r="D1258" s="16" t="s">
        <v>1082</v>
      </c>
      <c r="E1258" s="16"/>
      <c r="F1258" s="15"/>
      <c r="G1258" s="15" t="s">
        <v>1083</v>
      </c>
      <c r="H1258" s="15" t="s">
        <v>528</v>
      </c>
      <c r="I1258" s="17" t="n">
        <v>182</v>
      </c>
      <c r="J1258" s="16"/>
      <c r="K1258" s="15" t="s">
        <v>947</v>
      </c>
      <c r="L1258" s="15" t="n">
        <f aca="false">IF(AND(OR(Search!$C$4="",Search!$C$4="All",B1258=Search!$C$4),OR(Search!$C$5="",Search!$C$5="All",C1258=Search!$C$5),OR(Search!$C$6="",Search!$C$6="All",D1258=Search!$C$6),OR(Search!$C$7="",ISNUMBER(SEARCH(Search!$C$7,D1258&amp;" "&amp;E1258&amp;" "&amp;F1258&amp;" "&amp;G1258&amp;" "&amp;H1258&amp;" "&amp;J1258))),OR(Search!$C$8="",ISNUMBER(SEARCH(Search!$C$8,G1258)))),1,0)</f>
        <v>1</v>
      </c>
      <c r="M1258" s="15" t="n">
        <f aca="false">M1257+L1258</f>
        <v>1257</v>
      </c>
    </row>
    <row r="1259" customFormat="false" ht="15" hidden="false" customHeight="false" outlineLevel="0" collapsed="false">
      <c r="A1259" s="14" t="n">
        <v>1258</v>
      </c>
      <c r="B1259" s="15" t="s">
        <v>942</v>
      </c>
      <c r="C1259" s="15" t="s">
        <v>1055</v>
      </c>
      <c r="D1259" s="16" t="s">
        <v>1082</v>
      </c>
      <c r="E1259" s="16"/>
      <c r="F1259" s="15"/>
      <c r="G1259" s="15" t="s">
        <v>564</v>
      </c>
      <c r="H1259" s="15" t="s">
        <v>528</v>
      </c>
      <c r="I1259" s="17" t="n">
        <v>215</v>
      </c>
      <c r="J1259" s="16"/>
      <c r="K1259" s="15" t="s">
        <v>947</v>
      </c>
      <c r="L1259" s="15" t="n">
        <f aca="false">IF(AND(OR(Search!$C$4="",Search!$C$4="All",B1259=Search!$C$4),OR(Search!$C$5="",Search!$C$5="All",C1259=Search!$C$5),OR(Search!$C$6="",Search!$C$6="All",D1259=Search!$C$6),OR(Search!$C$7="",ISNUMBER(SEARCH(Search!$C$7,D1259&amp;" "&amp;E1259&amp;" "&amp;F1259&amp;" "&amp;G1259&amp;" "&amp;H1259&amp;" "&amp;J1259))),OR(Search!$C$8="",ISNUMBER(SEARCH(Search!$C$8,G1259)))),1,0)</f>
        <v>1</v>
      </c>
      <c r="M1259" s="15" t="n">
        <f aca="false">M1258+L1259</f>
        <v>1258</v>
      </c>
    </row>
    <row r="1260" customFormat="false" ht="15" hidden="false" customHeight="false" outlineLevel="0" collapsed="false">
      <c r="A1260" s="14" t="n">
        <v>1259</v>
      </c>
      <c r="B1260" s="15" t="s">
        <v>942</v>
      </c>
      <c r="C1260" s="15" t="s">
        <v>1055</v>
      </c>
      <c r="D1260" s="16" t="s">
        <v>1082</v>
      </c>
      <c r="E1260" s="16"/>
      <c r="F1260" s="15"/>
      <c r="G1260" s="15" t="s">
        <v>1079</v>
      </c>
      <c r="H1260" s="15" t="s">
        <v>528</v>
      </c>
      <c r="I1260" s="17" t="n">
        <v>248</v>
      </c>
      <c r="J1260" s="16"/>
      <c r="K1260" s="15" t="s">
        <v>947</v>
      </c>
      <c r="L1260" s="15" t="n">
        <f aca="false">IF(AND(OR(Search!$C$4="",Search!$C$4="All",B1260=Search!$C$4),OR(Search!$C$5="",Search!$C$5="All",C1260=Search!$C$5),OR(Search!$C$6="",Search!$C$6="All",D1260=Search!$C$6),OR(Search!$C$7="",ISNUMBER(SEARCH(Search!$C$7,D1260&amp;" "&amp;E1260&amp;" "&amp;F1260&amp;" "&amp;G1260&amp;" "&amp;H1260&amp;" "&amp;J1260))),OR(Search!$C$8="",ISNUMBER(SEARCH(Search!$C$8,G1260)))),1,0)</f>
        <v>1</v>
      </c>
      <c r="M1260" s="15" t="n">
        <f aca="false">M1259+L1260</f>
        <v>1259</v>
      </c>
    </row>
    <row r="1261" customFormat="false" ht="15" hidden="false" customHeight="false" outlineLevel="0" collapsed="false">
      <c r="A1261" s="14" t="n">
        <v>1260</v>
      </c>
      <c r="B1261" s="15" t="s">
        <v>942</v>
      </c>
      <c r="C1261" s="15" t="s">
        <v>1055</v>
      </c>
      <c r="D1261" s="16" t="s">
        <v>1082</v>
      </c>
      <c r="E1261" s="16"/>
      <c r="F1261" s="15"/>
      <c r="G1261" s="15" t="s">
        <v>1080</v>
      </c>
      <c r="H1261" s="15" t="s">
        <v>528</v>
      </c>
      <c r="I1261" s="17" t="n">
        <v>270</v>
      </c>
      <c r="J1261" s="16"/>
      <c r="K1261" s="15" t="s">
        <v>947</v>
      </c>
      <c r="L1261" s="15" t="n">
        <f aca="false">IF(AND(OR(Search!$C$4="",Search!$C$4="All",B1261=Search!$C$4),OR(Search!$C$5="",Search!$C$5="All",C1261=Search!$C$5),OR(Search!$C$6="",Search!$C$6="All",D1261=Search!$C$6),OR(Search!$C$7="",ISNUMBER(SEARCH(Search!$C$7,D1261&amp;" "&amp;E1261&amp;" "&amp;F1261&amp;" "&amp;G1261&amp;" "&amp;H1261&amp;" "&amp;J1261))),OR(Search!$C$8="",ISNUMBER(SEARCH(Search!$C$8,G1261)))),1,0)</f>
        <v>1</v>
      </c>
      <c r="M1261" s="15" t="n">
        <f aca="false">M1260+L1261</f>
        <v>1260</v>
      </c>
    </row>
    <row r="1262" customFormat="false" ht="15" hidden="false" customHeight="false" outlineLevel="0" collapsed="false">
      <c r="A1262" s="14" t="n">
        <v>1261</v>
      </c>
      <c r="B1262" s="15" t="s">
        <v>942</v>
      </c>
      <c r="C1262" s="15" t="s">
        <v>1055</v>
      </c>
      <c r="D1262" s="16" t="s">
        <v>1082</v>
      </c>
      <c r="E1262" s="16"/>
      <c r="F1262" s="15"/>
      <c r="G1262" s="15" t="s">
        <v>936</v>
      </c>
      <c r="H1262" s="15" t="s">
        <v>528</v>
      </c>
      <c r="I1262" s="17" t="n">
        <v>303</v>
      </c>
      <c r="J1262" s="16"/>
      <c r="K1262" s="15" t="s">
        <v>947</v>
      </c>
      <c r="L1262" s="15" t="n">
        <f aca="false">IF(AND(OR(Search!$C$4="",Search!$C$4="All",B1262=Search!$C$4),OR(Search!$C$5="",Search!$C$5="All",C1262=Search!$C$5),OR(Search!$C$6="",Search!$C$6="All",D1262=Search!$C$6),OR(Search!$C$7="",ISNUMBER(SEARCH(Search!$C$7,D1262&amp;" "&amp;E1262&amp;" "&amp;F1262&amp;" "&amp;G1262&amp;" "&amp;H1262&amp;" "&amp;J1262))),OR(Search!$C$8="",ISNUMBER(SEARCH(Search!$C$8,G1262)))),1,0)</f>
        <v>1</v>
      </c>
      <c r="M1262" s="15" t="n">
        <f aca="false">M1261+L1262</f>
        <v>1261</v>
      </c>
    </row>
    <row r="1263" customFormat="false" ht="15" hidden="false" customHeight="false" outlineLevel="0" collapsed="false">
      <c r="A1263" s="14" t="n">
        <v>1262</v>
      </c>
      <c r="B1263" s="15" t="s">
        <v>942</v>
      </c>
      <c r="C1263" s="15" t="s">
        <v>1055</v>
      </c>
      <c r="D1263" s="16" t="s">
        <v>1082</v>
      </c>
      <c r="E1263" s="16"/>
      <c r="F1263" s="15"/>
      <c r="G1263" s="15" t="s">
        <v>1081</v>
      </c>
      <c r="H1263" s="15" t="s">
        <v>528</v>
      </c>
      <c r="I1263" s="17" t="n">
        <v>369</v>
      </c>
      <c r="J1263" s="16"/>
      <c r="K1263" s="15" t="s">
        <v>947</v>
      </c>
      <c r="L1263" s="15" t="n">
        <f aca="false">IF(AND(OR(Search!$C$4="",Search!$C$4="All",B1263=Search!$C$4),OR(Search!$C$5="",Search!$C$5="All",C1263=Search!$C$5),OR(Search!$C$6="",Search!$C$6="All",D1263=Search!$C$6),OR(Search!$C$7="",ISNUMBER(SEARCH(Search!$C$7,D1263&amp;" "&amp;E1263&amp;" "&amp;F1263&amp;" "&amp;G1263&amp;" "&amp;H1263&amp;" "&amp;J1263))),OR(Search!$C$8="",ISNUMBER(SEARCH(Search!$C$8,G1263)))),1,0)</f>
        <v>1</v>
      </c>
      <c r="M1263" s="15" t="n">
        <f aca="false">M1262+L1263</f>
        <v>1262</v>
      </c>
    </row>
    <row r="1264" customFormat="false" ht="15" hidden="false" customHeight="false" outlineLevel="0" collapsed="false">
      <c r="A1264" s="14" t="n">
        <v>1263</v>
      </c>
      <c r="B1264" s="15" t="s">
        <v>942</v>
      </c>
      <c r="C1264" s="15" t="s">
        <v>1055</v>
      </c>
      <c r="D1264" s="16" t="s">
        <v>1082</v>
      </c>
      <c r="E1264" s="16"/>
      <c r="F1264" s="15"/>
      <c r="G1264" s="15" t="s">
        <v>1084</v>
      </c>
      <c r="H1264" s="15" t="s">
        <v>528</v>
      </c>
      <c r="I1264" s="17" t="n">
        <v>424</v>
      </c>
      <c r="J1264" s="16"/>
      <c r="K1264" s="15" t="s">
        <v>947</v>
      </c>
      <c r="L1264" s="15" t="n">
        <f aca="false">IF(AND(OR(Search!$C$4="",Search!$C$4="All",B1264=Search!$C$4),OR(Search!$C$5="",Search!$C$5="All",C1264=Search!$C$5),OR(Search!$C$6="",Search!$C$6="All",D1264=Search!$C$6),OR(Search!$C$7="",ISNUMBER(SEARCH(Search!$C$7,D1264&amp;" "&amp;E1264&amp;" "&amp;F1264&amp;" "&amp;G1264&amp;" "&amp;H1264&amp;" "&amp;J1264))),OR(Search!$C$8="",ISNUMBER(SEARCH(Search!$C$8,G1264)))),1,0)</f>
        <v>1</v>
      </c>
      <c r="M1264" s="15" t="n">
        <f aca="false">M1263+L1264</f>
        <v>1263</v>
      </c>
    </row>
    <row r="1265" customFormat="false" ht="15" hidden="false" customHeight="false" outlineLevel="0" collapsed="false">
      <c r="A1265" s="14" t="n">
        <v>1264</v>
      </c>
      <c r="B1265" s="15" t="s">
        <v>942</v>
      </c>
      <c r="C1265" s="15" t="s">
        <v>1055</v>
      </c>
      <c r="D1265" s="16" t="s">
        <v>1082</v>
      </c>
      <c r="E1265" s="16"/>
      <c r="F1265" s="15"/>
      <c r="G1265" s="15" t="s">
        <v>529</v>
      </c>
      <c r="H1265" s="15" t="s">
        <v>528</v>
      </c>
      <c r="I1265" s="17" t="n">
        <v>549</v>
      </c>
      <c r="J1265" s="16"/>
      <c r="K1265" s="15" t="s">
        <v>947</v>
      </c>
      <c r="L1265" s="15" t="n">
        <f aca="false">IF(AND(OR(Search!$C$4="",Search!$C$4="All",B1265=Search!$C$4),OR(Search!$C$5="",Search!$C$5="All",C1265=Search!$C$5),OR(Search!$C$6="",Search!$C$6="All",D1265=Search!$C$6),OR(Search!$C$7="",ISNUMBER(SEARCH(Search!$C$7,D1265&amp;" "&amp;E1265&amp;" "&amp;F1265&amp;" "&amp;G1265&amp;" "&amp;H1265&amp;" "&amp;J1265))),OR(Search!$C$8="",ISNUMBER(SEARCH(Search!$C$8,G1265)))),1,0)</f>
        <v>1</v>
      </c>
      <c r="M1265" s="15" t="n">
        <f aca="false">M1264+L1265</f>
        <v>1264</v>
      </c>
    </row>
    <row r="1266" customFormat="false" ht="15" hidden="false" customHeight="false" outlineLevel="0" collapsed="false">
      <c r="A1266" s="14" t="n">
        <v>1265</v>
      </c>
      <c r="B1266" s="15" t="s">
        <v>942</v>
      </c>
      <c r="C1266" s="15" t="s">
        <v>1055</v>
      </c>
      <c r="D1266" s="16" t="s">
        <v>1082</v>
      </c>
      <c r="E1266" s="16"/>
      <c r="F1266" s="15"/>
      <c r="G1266" s="15" t="s">
        <v>1085</v>
      </c>
      <c r="H1266" s="15" t="s">
        <v>528</v>
      </c>
      <c r="I1266" s="17" t="n">
        <v>589</v>
      </c>
      <c r="J1266" s="16"/>
      <c r="K1266" s="15" t="s">
        <v>947</v>
      </c>
      <c r="L1266" s="15" t="n">
        <f aca="false">IF(AND(OR(Search!$C$4="",Search!$C$4="All",B1266=Search!$C$4),OR(Search!$C$5="",Search!$C$5="All",C1266=Search!$C$5),OR(Search!$C$6="",Search!$C$6="All",D1266=Search!$C$6),OR(Search!$C$7="",ISNUMBER(SEARCH(Search!$C$7,D1266&amp;" "&amp;E1266&amp;" "&amp;F1266&amp;" "&amp;G1266&amp;" "&amp;H1266&amp;" "&amp;J1266))),OR(Search!$C$8="",ISNUMBER(SEARCH(Search!$C$8,G1266)))),1,0)</f>
        <v>1</v>
      </c>
      <c r="M1266" s="15" t="n">
        <f aca="false">M1265+L1266</f>
        <v>1265</v>
      </c>
    </row>
    <row r="1267" customFormat="false" ht="15" hidden="false" customHeight="false" outlineLevel="0" collapsed="false">
      <c r="A1267" s="14" t="n">
        <v>1266</v>
      </c>
      <c r="B1267" s="15" t="s">
        <v>942</v>
      </c>
      <c r="C1267" s="15" t="s">
        <v>1055</v>
      </c>
      <c r="D1267" s="16" t="s">
        <v>1082</v>
      </c>
      <c r="E1267" s="16"/>
      <c r="F1267" s="15"/>
      <c r="G1267" s="15" t="s">
        <v>1086</v>
      </c>
      <c r="H1267" s="15" t="s">
        <v>528</v>
      </c>
      <c r="I1267" s="17" t="n">
        <v>633</v>
      </c>
      <c r="J1267" s="16"/>
      <c r="K1267" s="15" t="s">
        <v>947</v>
      </c>
      <c r="L1267" s="15" t="n">
        <f aca="false">IF(AND(OR(Search!$C$4="",Search!$C$4="All",B1267=Search!$C$4),OR(Search!$C$5="",Search!$C$5="All",C1267=Search!$C$5),OR(Search!$C$6="",Search!$C$6="All",D1267=Search!$C$6),OR(Search!$C$7="",ISNUMBER(SEARCH(Search!$C$7,D1267&amp;" "&amp;E1267&amp;" "&amp;F1267&amp;" "&amp;G1267&amp;" "&amp;H1267&amp;" "&amp;J1267))),OR(Search!$C$8="",ISNUMBER(SEARCH(Search!$C$8,G1267)))),1,0)</f>
        <v>1</v>
      </c>
      <c r="M1267" s="15" t="n">
        <f aca="false">M1266+L1267</f>
        <v>1266</v>
      </c>
    </row>
    <row r="1268" customFormat="false" ht="15" hidden="false" customHeight="false" outlineLevel="0" collapsed="false">
      <c r="A1268" s="14" t="n">
        <v>1267</v>
      </c>
      <c r="B1268" s="15" t="s">
        <v>942</v>
      </c>
      <c r="C1268" s="15" t="s">
        <v>1055</v>
      </c>
      <c r="D1268" s="16" t="s">
        <v>1082</v>
      </c>
      <c r="E1268" s="16"/>
      <c r="F1268" s="15"/>
      <c r="G1268" s="15" t="s">
        <v>160</v>
      </c>
      <c r="H1268" s="15" t="s">
        <v>528</v>
      </c>
      <c r="I1268" s="17" t="n">
        <v>748</v>
      </c>
      <c r="J1268" s="16"/>
      <c r="K1268" s="15" t="s">
        <v>947</v>
      </c>
      <c r="L1268" s="15" t="n">
        <f aca="false">IF(AND(OR(Search!$C$4="",Search!$C$4="All",B1268=Search!$C$4),OR(Search!$C$5="",Search!$C$5="All",C1268=Search!$C$5),OR(Search!$C$6="",Search!$C$6="All",D1268=Search!$C$6),OR(Search!$C$7="",ISNUMBER(SEARCH(Search!$C$7,D1268&amp;" "&amp;E1268&amp;" "&amp;F1268&amp;" "&amp;G1268&amp;" "&amp;H1268&amp;" "&amp;J1268))),OR(Search!$C$8="",ISNUMBER(SEARCH(Search!$C$8,G1268)))),1,0)</f>
        <v>1</v>
      </c>
      <c r="M1268" s="15" t="n">
        <f aca="false">M1267+L1268</f>
        <v>1267</v>
      </c>
    </row>
    <row r="1269" customFormat="false" ht="15" hidden="false" customHeight="false" outlineLevel="0" collapsed="false">
      <c r="A1269" s="14" t="n">
        <v>1268</v>
      </c>
      <c r="B1269" s="15" t="s">
        <v>942</v>
      </c>
      <c r="C1269" s="15" t="s">
        <v>1055</v>
      </c>
      <c r="D1269" s="16" t="s">
        <v>1087</v>
      </c>
      <c r="E1269" s="16"/>
      <c r="F1269" s="15"/>
      <c r="G1269" s="15" t="s">
        <v>1088</v>
      </c>
      <c r="H1269" s="15" t="s">
        <v>528</v>
      </c>
      <c r="I1269" s="17" t="n">
        <v>248</v>
      </c>
      <c r="J1269" s="16"/>
      <c r="K1269" s="15" t="s">
        <v>947</v>
      </c>
      <c r="L1269" s="15" t="n">
        <f aca="false">IF(AND(OR(Search!$C$4="",Search!$C$4="All",B1269=Search!$C$4),OR(Search!$C$5="",Search!$C$5="All",C1269=Search!$C$5),OR(Search!$C$6="",Search!$C$6="All",D1269=Search!$C$6),OR(Search!$C$7="",ISNUMBER(SEARCH(Search!$C$7,D1269&amp;" "&amp;E1269&amp;" "&amp;F1269&amp;" "&amp;G1269&amp;" "&amp;H1269&amp;" "&amp;J1269))),OR(Search!$C$8="",ISNUMBER(SEARCH(Search!$C$8,G1269)))),1,0)</f>
        <v>1</v>
      </c>
      <c r="M1269" s="15" t="n">
        <f aca="false">M1268+L1269</f>
        <v>1268</v>
      </c>
    </row>
    <row r="1270" customFormat="false" ht="15" hidden="false" customHeight="false" outlineLevel="0" collapsed="false">
      <c r="A1270" s="14" t="n">
        <v>1269</v>
      </c>
      <c r="B1270" s="15" t="s">
        <v>942</v>
      </c>
      <c r="C1270" s="15" t="s">
        <v>1055</v>
      </c>
      <c r="D1270" s="16" t="s">
        <v>1087</v>
      </c>
      <c r="E1270" s="16"/>
      <c r="F1270" s="15"/>
      <c r="G1270" s="15" t="s">
        <v>1089</v>
      </c>
      <c r="H1270" s="15" t="s">
        <v>528</v>
      </c>
      <c r="I1270" s="17" t="n">
        <v>347</v>
      </c>
      <c r="J1270" s="16"/>
      <c r="K1270" s="15" t="s">
        <v>947</v>
      </c>
      <c r="L1270" s="15" t="n">
        <f aca="false">IF(AND(OR(Search!$C$4="",Search!$C$4="All",B1270=Search!$C$4),OR(Search!$C$5="",Search!$C$5="All",C1270=Search!$C$5),OR(Search!$C$6="",Search!$C$6="All",D1270=Search!$C$6),OR(Search!$C$7="",ISNUMBER(SEARCH(Search!$C$7,D1270&amp;" "&amp;E1270&amp;" "&amp;F1270&amp;" "&amp;G1270&amp;" "&amp;H1270&amp;" "&amp;J1270))),OR(Search!$C$8="",ISNUMBER(SEARCH(Search!$C$8,G1270)))),1,0)</f>
        <v>1</v>
      </c>
      <c r="M1270" s="15" t="n">
        <f aca="false">M1269+L1270</f>
        <v>1269</v>
      </c>
    </row>
    <row r="1271" customFormat="false" ht="15" hidden="false" customHeight="false" outlineLevel="0" collapsed="false">
      <c r="A1271" s="14" t="n">
        <v>1270</v>
      </c>
      <c r="B1271" s="15" t="s">
        <v>942</v>
      </c>
      <c r="C1271" s="15" t="s">
        <v>1055</v>
      </c>
      <c r="D1271" s="16" t="s">
        <v>1087</v>
      </c>
      <c r="E1271" s="16"/>
      <c r="F1271" s="15"/>
      <c r="G1271" s="15" t="s">
        <v>1090</v>
      </c>
      <c r="H1271" s="15" t="s">
        <v>528</v>
      </c>
      <c r="I1271" s="17" t="n">
        <v>369</v>
      </c>
      <c r="J1271" s="16"/>
      <c r="K1271" s="15" t="s">
        <v>947</v>
      </c>
      <c r="L1271" s="15" t="n">
        <f aca="false">IF(AND(OR(Search!$C$4="",Search!$C$4="All",B1271=Search!$C$4),OR(Search!$C$5="",Search!$C$5="All",C1271=Search!$C$5),OR(Search!$C$6="",Search!$C$6="All",D1271=Search!$C$6),OR(Search!$C$7="",ISNUMBER(SEARCH(Search!$C$7,D1271&amp;" "&amp;E1271&amp;" "&amp;F1271&amp;" "&amp;G1271&amp;" "&amp;H1271&amp;" "&amp;J1271))),OR(Search!$C$8="",ISNUMBER(SEARCH(Search!$C$8,G1271)))),1,0)</f>
        <v>1</v>
      </c>
      <c r="M1271" s="15" t="n">
        <f aca="false">M1270+L1271</f>
        <v>1270</v>
      </c>
    </row>
    <row r="1272" customFormat="false" ht="15" hidden="false" customHeight="false" outlineLevel="0" collapsed="false">
      <c r="A1272" s="14" t="n">
        <v>1271</v>
      </c>
      <c r="B1272" s="15" t="s">
        <v>942</v>
      </c>
      <c r="C1272" s="15" t="s">
        <v>1055</v>
      </c>
      <c r="D1272" s="16" t="s">
        <v>1087</v>
      </c>
      <c r="E1272" s="16"/>
      <c r="F1272" s="15"/>
      <c r="G1272" s="15" t="s">
        <v>1091</v>
      </c>
      <c r="H1272" s="15" t="s">
        <v>528</v>
      </c>
      <c r="I1272" s="17" t="n">
        <v>528</v>
      </c>
      <c r="J1272" s="16"/>
      <c r="K1272" s="15" t="s">
        <v>947</v>
      </c>
      <c r="L1272" s="15" t="n">
        <f aca="false">IF(AND(OR(Search!$C$4="",Search!$C$4="All",B1272=Search!$C$4),OR(Search!$C$5="",Search!$C$5="All",C1272=Search!$C$5),OR(Search!$C$6="",Search!$C$6="All",D1272=Search!$C$6),OR(Search!$C$7="",ISNUMBER(SEARCH(Search!$C$7,D1272&amp;" "&amp;E1272&amp;" "&amp;F1272&amp;" "&amp;G1272&amp;" "&amp;H1272&amp;" "&amp;J1272))),OR(Search!$C$8="",ISNUMBER(SEARCH(Search!$C$8,G1272)))),1,0)</f>
        <v>1</v>
      </c>
      <c r="M1272" s="15" t="n">
        <f aca="false">M1271+L1272</f>
        <v>1271</v>
      </c>
    </row>
    <row r="1273" customFormat="false" ht="15" hidden="false" customHeight="false" outlineLevel="0" collapsed="false">
      <c r="A1273" s="14" t="n">
        <v>1272</v>
      </c>
      <c r="B1273" s="15" t="s">
        <v>942</v>
      </c>
      <c r="C1273" s="15" t="s">
        <v>1055</v>
      </c>
      <c r="D1273" s="16" t="s">
        <v>1087</v>
      </c>
      <c r="E1273" s="16"/>
      <c r="F1273" s="15"/>
      <c r="G1273" s="15" t="s">
        <v>1092</v>
      </c>
      <c r="H1273" s="15" t="s">
        <v>528</v>
      </c>
      <c r="I1273" s="17" t="n">
        <v>545</v>
      </c>
      <c r="J1273" s="16"/>
      <c r="K1273" s="15" t="s">
        <v>947</v>
      </c>
      <c r="L1273" s="15" t="n">
        <f aca="false">IF(AND(OR(Search!$C$4="",Search!$C$4="All",B1273=Search!$C$4),OR(Search!$C$5="",Search!$C$5="All",C1273=Search!$C$5),OR(Search!$C$6="",Search!$C$6="All",D1273=Search!$C$6),OR(Search!$C$7="",ISNUMBER(SEARCH(Search!$C$7,D1273&amp;" "&amp;E1273&amp;" "&amp;F1273&amp;" "&amp;G1273&amp;" "&amp;H1273&amp;" "&amp;J1273))),OR(Search!$C$8="",ISNUMBER(SEARCH(Search!$C$8,G1273)))),1,0)</f>
        <v>1</v>
      </c>
      <c r="M1273" s="15" t="n">
        <f aca="false">M1272+L1273</f>
        <v>1272</v>
      </c>
    </row>
    <row r="1274" customFormat="false" ht="15" hidden="false" customHeight="false" outlineLevel="0" collapsed="false">
      <c r="A1274" s="14" t="n">
        <v>1273</v>
      </c>
      <c r="B1274" s="15" t="s">
        <v>942</v>
      </c>
      <c r="C1274" s="15" t="s">
        <v>1055</v>
      </c>
      <c r="D1274" s="16" t="s">
        <v>1087</v>
      </c>
      <c r="E1274" s="16"/>
      <c r="F1274" s="15"/>
      <c r="G1274" s="15" t="s">
        <v>1093</v>
      </c>
      <c r="H1274" s="15" t="s">
        <v>528</v>
      </c>
      <c r="I1274" s="17" t="n">
        <v>853</v>
      </c>
      <c r="J1274" s="16"/>
      <c r="K1274" s="15" t="s">
        <v>947</v>
      </c>
      <c r="L1274" s="15" t="n">
        <f aca="false">IF(AND(OR(Search!$C$4="",Search!$C$4="All",B1274=Search!$C$4),OR(Search!$C$5="",Search!$C$5="All",C1274=Search!$C$5),OR(Search!$C$6="",Search!$C$6="All",D1274=Search!$C$6),OR(Search!$C$7="",ISNUMBER(SEARCH(Search!$C$7,D1274&amp;" "&amp;E1274&amp;" "&amp;F1274&amp;" "&amp;G1274&amp;" "&amp;H1274&amp;" "&amp;J1274))),OR(Search!$C$8="",ISNUMBER(SEARCH(Search!$C$8,G1274)))),1,0)</f>
        <v>1</v>
      </c>
      <c r="M1274" s="15" t="n">
        <f aca="false">M1273+L1274</f>
        <v>1273</v>
      </c>
    </row>
    <row r="1275" customFormat="false" ht="15" hidden="false" customHeight="false" outlineLevel="0" collapsed="false">
      <c r="A1275" s="14" t="n">
        <v>1274</v>
      </c>
      <c r="B1275" s="15" t="s">
        <v>942</v>
      </c>
      <c r="C1275" s="15" t="s">
        <v>1055</v>
      </c>
      <c r="D1275" s="16" t="s">
        <v>1087</v>
      </c>
      <c r="E1275" s="16"/>
      <c r="F1275" s="15"/>
      <c r="G1275" s="15" t="s">
        <v>1094</v>
      </c>
      <c r="H1275" s="15" t="s">
        <v>528</v>
      </c>
      <c r="I1275" s="17" t="n">
        <v>935</v>
      </c>
      <c r="J1275" s="16"/>
      <c r="K1275" s="15" t="s">
        <v>947</v>
      </c>
      <c r="L1275" s="15" t="n">
        <f aca="false">IF(AND(OR(Search!$C$4="",Search!$C$4="All",B1275=Search!$C$4),OR(Search!$C$5="",Search!$C$5="All",C1275=Search!$C$5),OR(Search!$C$6="",Search!$C$6="All",D1275=Search!$C$6),OR(Search!$C$7="",ISNUMBER(SEARCH(Search!$C$7,D1275&amp;" "&amp;E1275&amp;" "&amp;F1275&amp;" "&amp;G1275&amp;" "&amp;H1275&amp;" "&amp;J1275))),OR(Search!$C$8="",ISNUMBER(SEARCH(Search!$C$8,G1275)))),1,0)</f>
        <v>1</v>
      </c>
      <c r="M1275" s="15" t="n">
        <f aca="false">M1274+L1275</f>
        <v>1274</v>
      </c>
    </row>
    <row r="1276" customFormat="false" ht="15" hidden="false" customHeight="false" outlineLevel="0" collapsed="false">
      <c r="A1276" s="14" t="n">
        <v>1275</v>
      </c>
      <c r="B1276" s="15" t="s">
        <v>942</v>
      </c>
      <c r="C1276" s="15" t="s">
        <v>1055</v>
      </c>
      <c r="D1276" s="16" t="s">
        <v>1087</v>
      </c>
      <c r="E1276" s="16"/>
      <c r="F1276" s="15"/>
      <c r="G1276" s="15" t="s">
        <v>1095</v>
      </c>
      <c r="H1276" s="15" t="s">
        <v>528</v>
      </c>
      <c r="I1276" s="17" t="n">
        <v>1931</v>
      </c>
      <c r="J1276" s="16"/>
      <c r="K1276" s="15" t="s">
        <v>947</v>
      </c>
      <c r="L1276" s="15" t="n">
        <f aca="false">IF(AND(OR(Search!$C$4="",Search!$C$4="All",B1276=Search!$C$4),OR(Search!$C$5="",Search!$C$5="All",C1276=Search!$C$5),OR(Search!$C$6="",Search!$C$6="All",D1276=Search!$C$6),OR(Search!$C$7="",ISNUMBER(SEARCH(Search!$C$7,D1276&amp;" "&amp;E1276&amp;" "&amp;F1276&amp;" "&amp;G1276&amp;" "&amp;H1276&amp;" "&amp;J1276))),OR(Search!$C$8="",ISNUMBER(SEARCH(Search!$C$8,G1276)))),1,0)</f>
        <v>1</v>
      </c>
      <c r="M1276" s="15" t="n">
        <f aca="false">M1275+L1276</f>
        <v>1275</v>
      </c>
    </row>
    <row r="1277" customFormat="false" ht="15" hidden="false" customHeight="false" outlineLevel="0" collapsed="false">
      <c r="A1277" s="14" t="n">
        <v>1276</v>
      </c>
      <c r="B1277" s="15" t="s">
        <v>942</v>
      </c>
      <c r="C1277" s="15" t="s">
        <v>1055</v>
      </c>
      <c r="D1277" s="16" t="s">
        <v>1096</v>
      </c>
      <c r="E1277" s="16"/>
      <c r="F1277" s="15"/>
      <c r="G1277" s="15" t="s">
        <v>1079</v>
      </c>
      <c r="H1277" s="15" t="s">
        <v>528</v>
      </c>
      <c r="I1277" s="17" t="n">
        <v>132</v>
      </c>
      <c r="J1277" s="16"/>
      <c r="K1277" s="15" t="s">
        <v>947</v>
      </c>
      <c r="L1277" s="15" t="n">
        <f aca="false">IF(AND(OR(Search!$C$4="",Search!$C$4="All",B1277=Search!$C$4),OR(Search!$C$5="",Search!$C$5="All",C1277=Search!$C$5),OR(Search!$C$6="",Search!$C$6="All",D1277=Search!$C$6),OR(Search!$C$7="",ISNUMBER(SEARCH(Search!$C$7,D1277&amp;" "&amp;E1277&amp;" "&amp;F1277&amp;" "&amp;G1277&amp;" "&amp;H1277&amp;" "&amp;J1277))),OR(Search!$C$8="",ISNUMBER(SEARCH(Search!$C$8,G1277)))),1,0)</f>
        <v>1</v>
      </c>
      <c r="M1277" s="15" t="n">
        <f aca="false">M1276+L1277</f>
        <v>1276</v>
      </c>
    </row>
    <row r="1278" customFormat="false" ht="15" hidden="false" customHeight="false" outlineLevel="0" collapsed="false">
      <c r="A1278" s="14" t="n">
        <v>1277</v>
      </c>
      <c r="B1278" s="15" t="s">
        <v>942</v>
      </c>
      <c r="C1278" s="15" t="s">
        <v>1055</v>
      </c>
      <c r="D1278" s="16" t="s">
        <v>1096</v>
      </c>
      <c r="E1278" s="16"/>
      <c r="F1278" s="15"/>
      <c r="G1278" s="15" t="s">
        <v>1081</v>
      </c>
      <c r="H1278" s="15" t="s">
        <v>528</v>
      </c>
      <c r="I1278" s="17" t="n">
        <v>281</v>
      </c>
      <c r="J1278" s="16"/>
      <c r="K1278" s="15" t="s">
        <v>947</v>
      </c>
      <c r="L1278" s="15" t="n">
        <f aca="false">IF(AND(OR(Search!$C$4="",Search!$C$4="All",B1278=Search!$C$4),OR(Search!$C$5="",Search!$C$5="All",C1278=Search!$C$5),OR(Search!$C$6="",Search!$C$6="All",D1278=Search!$C$6),OR(Search!$C$7="",ISNUMBER(SEARCH(Search!$C$7,D1278&amp;" "&amp;E1278&amp;" "&amp;F1278&amp;" "&amp;G1278&amp;" "&amp;H1278&amp;" "&amp;J1278))),OR(Search!$C$8="",ISNUMBER(SEARCH(Search!$C$8,G1278)))),1,0)</f>
        <v>1</v>
      </c>
      <c r="M1278" s="15" t="n">
        <f aca="false">M1277+L1278</f>
        <v>1277</v>
      </c>
    </row>
    <row r="1279" customFormat="false" ht="15" hidden="false" customHeight="false" outlineLevel="0" collapsed="false">
      <c r="A1279" s="14" t="n">
        <v>1278</v>
      </c>
      <c r="B1279" s="15" t="s">
        <v>942</v>
      </c>
      <c r="C1279" s="15" t="s">
        <v>1055</v>
      </c>
      <c r="D1279" s="16" t="s">
        <v>1096</v>
      </c>
      <c r="E1279" s="16"/>
      <c r="F1279" s="15"/>
      <c r="G1279" s="15" t="s">
        <v>1080</v>
      </c>
      <c r="H1279" s="15" t="s">
        <v>528</v>
      </c>
      <c r="I1279" s="17" t="n">
        <v>176</v>
      </c>
      <c r="J1279" s="16"/>
      <c r="K1279" s="15" t="s">
        <v>947</v>
      </c>
      <c r="L1279" s="15" t="n">
        <f aca="false">IF(AND(OR(Search!$C$4="",Search!$C$4="All",B1279=Search!$C$4),OR(Search!$C$5="",Search!$C$5="All",C1279=Search!$C$5),OR(Search!$C$6="",Search!$C$6="All",D1279=Search!$C$6),OR(Search!$C$7="",ISNUMBER(SEARCH(Search!$C$7,D1279&amp;" "&amp;E1279&amp;" "&amp;F1279&amp;" "&amp;G1279&amp;" "&amp;H1279&amp;" "&amp;J1279))),OR(Search!$C$8="",ISNUMBER(SEARCH(Search!$C$8,G1279)))),1,0)</f>
        <v>1</v>
      </c>
      <c r="M1279" s="15" t="n">
        <f aca="false">M1278+L1279</f>
        <v>1278</v>
      </c>
    </row>
    <row r="1280" customFormat="false" ht="15" hidden="false" customHeight="false" outlineLevel="0" collapsed="false">
      <c r="A1280" s="14" t="n">
        <v>1279</v>
      </c>
      <c r="B1280" s="15" t="s">
        <v>942</v>
      </c>
      <c r="C1280" s="15" t="s">
        <v>1055</v>
      </c>
      <c r="D1280" s="16" t="s">
        <v>1097</v>
      </c>
      <c r="E1280" s="16" t="s">
        <v>1098</v>
      </c>
      <c r="F1280" s="15"/>
      <c r="G1280" s="15" t="s">
        <v>1099</v>
      </c>
      <c r="H1280" s="15" t="s">
        <v>528</v>
      </c>
      <c r="I1280" s="17" t="n">
        <v>253</v>
      </c>
      <c r="J1280" s="16"/>
      <c r="K1280" s="15" t="s">
        <v>947</v>
      </c>
      <c r="L1280" s="15" t="n">
        <f aca="false">IF(AND(OR(Search!$C$4="",Search!$C$4="All",B1280=Search!$C$4),OR(Search!$C$5="",Search!$C$5="All",C1280=Search!$C$5),OR(Search!$C$6="",Search!$C$6="All",D1280=Search!$C$6),OR(Search!$C$7="",ISNUMBER(SEARCH(Search!$C$7,D1280&amp;" "&amp;E1280&amp;" "&amp;F1280&amp;" "&amp;G1280&amp;" "&amp;H1280&amp;" "&amp;J1280))),OR(Search!$C$8="",ISNUMBER(SEARCH(Search!$C$8,G1280)))),1,0)</f>
        <v>1</v>
      </c>
      <c r="M1280" s="15" t="n">
        <f aca="false">M1279+L1280</f>
        <v>1279</v>
      </c>
    </row>
    <row r="1281" customFormat="false" ht="15" hidden="false" customHeight="false" outlineLevel="0" collapsed="false">
      <c r="A1281" s="14" t="n">
        <v>1280</v>
      </c>
      <c r="B1281" s="15" t="s">
        <v>942</v>
      </c>
      <c r="C1281" s="15" t="s">
        <v>1055</v>
      </c>
      <c r="D1281" s="16" t="s">
        <v>1100</v>
      </c>
      <c r="E1281" s="16" t="s">
        <v>945</v>
      </c>
      <c r="F1281" s="15"/>
      <c r="G1281" s="15" t="s">
        <v>1101</v>
      </c>
      <c r="H1281" s="15" t="s">
        <v>528</v>
      </c>
      <c r="I1281" s="17" t="n">
        <v>44</v>
      </c>
      <c r="J1281" s="16"/>
      <c r="K1281" s="15" t="s">
        <v>947</v>
      </c>
      <c r="L1281" s="15" t="n">
        <f aca="false">IF(AND(OR(Search!$C$4="",Search!$C$4="All",B1281=Search!$C$4),OR(Search!$C$5="",Search!$C$5="All",C1281=Search!$C$5),OR(Search!$C$6="",Search!$C$6="All",D1281=Search!$C$6),OR(Search!$C$7="",ISNUMBER(SEARCH(Search!$C$7,D1281&amp;" "&amp;E1281&amp;" "&amp;F1281&amp;" "&amp;G1281&amp;" "&amp;H1281&amp;" "&amp;J1281))),OR(Search!$C$8="",ISNUMBER(SEARCH(Search!$C$8,G1281)))),1,0)</f>
        <v>1</v>
      </c>
      <c r="M1281" s="15" t="n">
        <f aca="false">M1280+L1281</f>
        <v>1280</v>
      </c>
    </row>
    <row r="1282" customFormat="false" ht="15" hidden="false" customHeight="false" outlineLevel="0" collapsed="false">
      <c r="A1282" s="14" t="n">
        <v>1281</v>
      </c>
      <c r="B1282" s="15" t="s">
        <v>942</v>
      </c>
      <c r="C1282" s="15" t="s">
        <v>1055</v>
      </c>
      <c r="D1282" s="16" t="s">
        <v>1102</v>
      </c>
      <c r="E1282" s="16" t="s">
        <v>1103</v>
      </c>
      <c r="F1282" s="15"/>
      <c r="G1282" s="15" t="s">
        <v>1104</v>
      </c>
      <c r="H1282" s="15" t="s">
        <v>528</v>
      </c>
      <c r="I1282" s="17" t="n">
        <v>435</v>
      </c>
      <c r="J1282" s="16"/>
      <c r="K1282" s="15" t="s">
        <v>947</v>
      </c>
      <c r="L1282" s="15" t="n">
        <f aca="false">IF(AND(OR(Search!$C$4="",Search!$C$4="All",B1282=Search!$C$4),OR(Search!$C$5="",Search!$C$5="All",C1282=Search!$C$5),OR(Search!$C$6="",Search!$C$6="All",D1282=Search!$C$6),OR(Search!$C$7="",ISNUMBER(SEARCH(Search!$C$7,D1282&amp;" "&amp;E1282&amp;" "&amp;F1282&amp;" "&amp;G1282&amp;" "&amp;H1282&amp;" "&amp;J1282))),OR(Search!$C$8="",ISNUMBER(SEARCH(Search!$C$8,G1282)))),1,0)</f>
        <v>1</v>
      </c>
      <c r="M1282" s="15" t="n">
        <f aca="false">M1281+L1282</f>
        <v>1281</v>
      </c>
    </row>
    <row r="1283" customFormat="false" ht="15" hidden="false" customHeight="false" outlineLevel="0" collapsed="false">
      <c r="A1283" s="14" t="n">
        <v>1282</v>
      </c>
      <c r="B1283" s="15" t="s">
        <v>942</v>
      </c>
      <c r="C1283" s="15" t="s">
        <v>1055</v>
      </c>
      <c r="D1283" s="16" t="s">
        <v>1102</v>
      </c>
      <c r="E1283" s="16" t="s">
        <v>1105</v>
      </c>
      <c r="F1283" s="15"/>
      <c r="G1283" s="15" t="s">
        <v>1104</v>
      </c>
      <c r="H1283" s="15" t="s">
        <v>528</v>
      </c>
      <c r="I1283" s="17" t="n">
        <v>505</v>
      </c>
      <c r="J1283" s="16"/>
      <c r="K1283" s="15" t="s">
        <v>947</v>
      </c>
      <c r="L1283" s="15" t="n">
        <f aca="false">IF(AND(OR(Search!$C$4="",Search!$C$4="All",B1283=Search!$C$4),OR(Search!$C$5="",Search!$C$5="All",C1283=Search!$C$5),OR(Search!$C$6="",Search!$C$6="All",D1283=Search!$C$6),OR(Search!$C$7="",ISNUMBER(SEARCH(Search!$C$7,D1283&amp;" "&amp;E1283&amp;" "&amp;F1283&amp;" "&amp;G1283&amp;" "&amp;H1283&amp;" "&amp;J1283))),OR(Search!$C$8="",ISNUMBER(SEARCH(Search!$C$8,G1283)))),1,0)</f>
        <v>1</v>
      </c>
      <c r="M1283" s="15" t="n">
        <f aca="false">M1282+L1283</f>
        <v>1282</v>
      </c>
    </row>
    <row r="1284" customFormat="false" ht="15" hidden="false" customHeight="false" outlineLevel="0" collapsed="false">
      <c r="A1284" s="14" t="n">
        <v>1283</v>
      </c>
      <c r="B1284" s="15" t="s">
        <v>942</v>
      </c>
      <c r="C1284" s="15" t="s">
        <v>1055</v>
      </c>
      <c r="D1284" s="16" t="s">
        <v>1102</v>
      </c>
      <c r="E1284" s="16" t="s">
        <v>1106</v>
      </c>
      <c r="F1284" s="15"/>
      <c r="G1284" s="15" t="s">
        <v>1107</v>
      </c>
      <c r="H1284" s="15" t="s">
        <v>528</v>
      </c>
      <c r="I1284" s="17" t="n">
        <v>1065</v>
      </c>
      <c r="J1284" s="16"/>
      <c r="K1284" s="15" t="s">
        <v>947</v>
      </c>
      <c r="L1284" s="15" t="n">
        <f aca="false">IF(AND(OR(Search!$C$4="",Search!$C$4="All",B1284=Search!$C$4),OR(Search!$C$5="",Search!$C$5="All",C1284=Search!$C$5),OR(Search!$C$6="",Search!$C$6="All",D1284=Search!$C$6),OR(Search!$C$7="",ISNUMBER(SEARCH(Search!$C$7,D1284&amp;" "&amp;E1284&amp;" "&amp;F1284&amp;" "&amp;G1284&amp;" "&amp;H1284&amp;" "&amp;J1284))),OR(Search!$C$8="",ISNUMBER(SEARCH(Search!$C$8,G1284)))),1,0)</f>
        <v>1</v>
      </c>
      <c r="M1284" s="15" t="n">
        <f aca="false">M1283+L1284</f>
        <v>1283</v>
      </c>
    </row>
    <row r="1285" customFormat="false" ht="15" hidden="false" customHeight="false" outlineLevel="0" collapsed="false">
      <c r="A1285" s="14" t="n">
        <v>1284</v>
      </c>
      <c r="B1285" s="15" t="s">
        <v>942</v>
      </c>
      <c r="C1285" s="15" t="s">
        <v>1055</v>
      </c>
      <c r="D1285" s="16" t="s">
        <v>1102</v>
      </c>
      <c r="E1285" s="16" t="s">
        <v>1105</v>
      </c>
      <c r="F1285" s="15"/>
      <c r="G1285" s="15" t="s">
        <v>1107</v>
      </c>
      <c r="H1285" s="15" t="s">
        <v>528</v>
      </c>
      <c r="I1285" s="17" t="n">
        <v>1275</v>
      </c>
      <c r="J1285" s="16"/>
      <c r="K1285" s="15" t="s">
        <v>947</v>
      </c>
      <c r="L1285" s="15" t="n">
        <f aca="false">IF(AND(OR(Search!$C$4="",Search!$C$4="All",B1285=Search!$C$4),OR(Search!$C$5="",Search!$C$5="All",C1285=Search!$C$5),OR(Search!$C$6="",Search!$C$6="All",D1285=Search!$C$6),OR(Search!$C$7="",ISNUMBER(SEARCH(Search!$C$7,D1285&amp;" "&amp;E1285&amp;" "&amp;F1285&amp;" "&amp;G1285&amp;" "&amp;H1285&amp;" "&amp;J1285))),OR(Search!$C$8="",ISNUMBER(SEARCH(Search!$C$8,G1285)))),1,0)</f>
        <v>1</v>
      </c>
      <c r="M1285" s="15" t="n">
        <f aca="false">M1284+L1285</f>
        <v>1284</v>
      </c>
    </row>
    <row r="1286" customFormat="false" ht="15" hidden="false" customHeight="false" outlineLevel="0" collapsed="false">
      <c r="A1286" s="14" t="n">
        <v>1285</v>
      </c>
      <c r="B1286" s="15" t="s">
        <v>942</v>
      </c>
      <c r="C1286" s="15" t="s">
        <v>1055</v>
      </c>
      <c r="D1286" s="16" t="s">
        <v>1108</v>
      </c>
      <c r="E1286" s="16" t="s">
        <v>1109</v>
      </c>
      <c r="F1286" s="15"/>
      <c r="G1286" s="15" t="s">
        <v>1104</v>
      </c>
      <c r="H1286" s="15" t="s">
        <v>528</v>
      </c>
      <c r="I1286" s="17" t="n">
        <v>699.75</v>
      </c>
      <c r="J1286" s="16"/>
      <c r="K1286" s="15" t="s">
        <v>947</v>
      </c>
      <c r="L1286" s="15" t="n">
        <f aca="false">IF(AND(OR(Search!$C$4="",Search!$C$4="All",B1286=Search!$C$4),OR(Search!$C$5="",Search!$C$5="All",C1286=Search!$C$5),OR(Search!$C$6="",Search!$C$6="All",D1286=Search!$C$6),OR(Search!$C$7="",ISNUMBER(SEARCH(Search!$C$7,D1286&amp;" "&amp;E1286&amp;" "&amp;F1286&amp;" "&amp;G1286&amp;" "&amp;H1286&amp;" "&amp;J1286))),OR(Search!$C$8="",ISNUMBER(SEARCH(Search!$C$8,G1286)))),1,0)</f>
        <v>1</v>
      </c>
      <c r="M1286" s="15" t="n">
        <f aca="false">M1285+L1286</f>
        <v>1285</v>
      </c>
    </row>
    <row r="1287" customFormat="false" ht="23.85" hidden="false" customHeight="false" outlineLevel="0" collapsed="false">
      <c r="A1287" s="14" t="n">
        <v>1286</v>
      </c>
      <c r="B1287" s="15" t="s">
        <v>942</v>
      </c>
      <c r="C1287" s="15" t="s">
        <v>1055</v>
      </c>
      <c r="D1287" s="16" t="s">
        <v>1108</v>
      </c>
      <c r="E1287" s="16" t="s">
        <v>1110</v>
      </c>
      <c r="F1287" s="15"/>
      <c r="G1287" s="15" t="s">
        <v>1104</v>
      </c>
      <c r="H1287" s="15" t="s">
        <v>528</v>
      </c>
      <c r="I1287" s="17" t="n">
        <v>489.75</v>
      </c>
      <c r="J1287" s="16"/>
      <c r="K1287" s="15" t="s">
        <v>947</v>
      </c>
      <c r="L1287" s="15" t="n">
        <f aca="false">IF(AND(OR(Search!$C$4="",Search!$C$4="All",B1287=Search!$C$4),OR(Search!$C$5="",Search!$C$5="All",C1287=Search!$C$5),OR(Search!$C$6="",Search!$C$6="All",D1287=Search!$C$6),OR(Search!$C$7="",ISNUMBER(SEARCH(Search!$C$7,D1287&amp;" "&amp;E1287&amp;" "&amp;F1287&amp;" "&amp;G1287&amp;" "&amp;H1287&amp;" "&amp;J1287))),OR(Search!$C$8="",ISNUMBER(SEARCH(Search!$C$8,G1287)))),1,0)</f>
        <v>1</v>
      </c>
      <c r="M1287" s="15" t="n">
        <f aca="false">M1286+L1287</f>
        <v>1286</v>
      </c>
    </row>
    <row r="1288" customFormat="false" ht="15" hidden="false" customHeight="false" outlineLevel="0" collapsed="false">
      <c r="A1288" s="14" t="n">
        <v>1287</v>
      </c>
      <c r="B1288" s="15" t="s">
        <v>942</v>
      </c>
      <c r="C1288" s="15" t="s">
        <v>1055</v>
      </c>
      <c r="D1288" s="16" t="s">
        <v>1108</v>
      </c>
      <c r="E1288" s="16" t="s">
        <v>1111</v>
      </c>
      <c r="F1288" s="15"/>
      <c r="G1288" s="15" t="s">
        <v>1104</v>
      </c>
      <c r="H1288" s="15" t="s">
        <v>528</v>
      </c>
      <c r="I1288" s="17" t="n">
        <v>579.75</v>
      </c>
      <c r="J1288" s="16"/>
      <c r="K1288" s="15" t="s">
        <v>947</v>
      </c>
      <c r="L1288" s="15" t="n">
        <f aca="false">IF(AND(OR(Search!$C$4="",Search!$C$4="All",B1288=Search!$C$4),OR(Search!$C$5="",Search!$C$5="All",C1288=Search!$C$5),OR(Search!$C$6="",Search!$C$6="All",D1288=Search!$C$6),OR(Search!$C$7="",ISNUMBER(SEARCH(Search!$C$7,D1288&amp;" "&amp;E1288&amp;" "&amp;F1288&amp;" "&amp;G1288&amp;" "&amp;H1288&amp;" "&amp;J1288))),OR(Search!$C$8="",ISNUMBER(SEARCH(Search!$C$8,G1288)))),1,0)</f>
        <v>1</v>
      </c>
      <c r="M1288" s="15" t="n">
        <f aca="false">M1287+L1288</f>
        <v>1287</v>
      </c>
    </row>
    <row r="1289" customFormat="false" ht="15" hidden="false" customHeight="false" outlineLevel="0" collapsed="false">
      <c r="A1289" s="14" t="n">
        <v>1288</v>
      </c>
      <c r="B1289" s="15" t="s">
        <v>942</v>
      </c>
      <c r="C1289" s="15" t="s">
        <v>1055</v>
      </c>
      <c r="D1289" s="16" t="s">
        <v>1108</v>
      </c>
      <c r="E1289" s="16" t="s">
        <v>1112</v>
      </c>
      <c r="F1289" s="15"/>
      <c r="G1289" s="15" t="s">
        <v>1104</v>
      </c>
      <c r="H1289" s="15" t="s">
        <v>528</v>
      </c>
      <c r="I1289" s="17" t="n">
        <v>689.75</v>
      </c>
      <c r="J1289" s="16"/>
      <c r="K1289" s="15" t="s">
        <v>947</v>
      </c>
      <c r="L1289" s="15" t="n">
        <f aca="false">IF(AND(OR(Search!$C$4="",Search!$C$4="All",B1289=Search!$C$4),OR(Search!$C$5="",Search!$C$5="All",C1289=Search!$C$5),OR(Search!$C$6="",Search!$C$6="All",D1289=Search!$C$6),OR(Search!$C$7="",ISNUMBER(SEARCH(Search!$C$7,D1289&amp;" "&amp;E1289&amp;" "&amp;F1289&amp;" "&amp;G1289&amp;" "&amp;H1289&amp;" "&amp;J1289))),OR(Search!$C$8="",ISNUMBER(SEARCH(Search!$C$8,G1289)))),1,0)</f>
        <v>1</v>
      </c>
      <c r="M1289" s="15" t="n">
        <f aca="false">M1288+L1289</f>
        <v>1288</v>
      </c>
    </row>
    <row r="1290" customFormat="false" ht="15" hidden="false" customHeight="false" outlineLevel="0" collapsed="false">
      <c r="A1290" s="14" t="n">
        <v>1289</v>
      </c>
      <c r="B1290" s="15" t="s">
        <v>942</v>
      </c>
      <c r="C1290" s="15" t="s">
        <v>1055</v>
      </c>
      <c r="D1290" s="16" t="s">
        <v>1108</v>
      </c>
      <c r="E1290" s="16" t="s">
        <v>1113</v>
      </c>
      <c r="F1290" s="15"/>
      <c r="G1290" s="15" t="s">
        <v>1104</v>
      </c>
      <c r="H1290" s="15" t="s">
        <v>528</v>
      </c>
      <c r="I1290" s="17" t="n">
        <v>449.75</v>
      </c>
      <c r="J1290" s="16"/>
      <c r="K1290" s="15" t="s">
        <v>947</v>
      </c>
      <c r="L1290" s="15" t="n">
        <f aca="false">IF(AND(OR(Search!$C$4="",Search!$C$4="All",B1290=Search!$C$4),OR(Search!$C$5="",Search!$C$5="All",C1290=Search!$C$5),OR(Search!$C$6="",Search!$C$6="All",D1290=Search!$C$6),OR(Search!$C$7="",ISNUMBER(SEARCH(Search!$C$7,D1290&amp;" "&amp;E1290&amp;" "&amp;F1290&amp;" "&amp;G1290&amp;" "&amp;H1290&amp;" "&amp;J1290))),OR(Search!$C$8="",ISNUMBER(SEARCH(Search!$C$8,G1290)))),1,0)</f>
        <v>1</v>
      </c>
      <c r="M1290" s="15" t="n">
        <f aca="false">M1289+L1290</f>
        <v>1289</v>
      </c>
    </row>
    <row r="1291" customFormat="false" ht="15" hidden="false" customHeight="false" outlineLevel="0" collapsed="false">
      <c r="A1291" s="14" t="n">
        <v>1290</v>
      </c>
      <c r="B1291" s="15" t="s">
        <v>942</v>
      </c>
      <c r="C1291" s="15" t="s">
        <v>1055</v>
      </c>
      <c r="D1291" s="16" t="s">
        <v>1114</v>
      </c>
      <c r="E1291" s="16" t="s">
        <v>1115</v>
      </c>
      <c r="F1291" s="15"/>
      <c r="G1291" s="15" t="s">
        <v>1116</v>
      </c>
      <c r="H1291" s="15" t="s">
        <v>528</v>
      </c>
      <c r="I1291" s="17" t="n">
        <v>379</v>
      </c>
      <c r="J1291" s="16"/>
      <c r="K1291" s="15" t="s">
        <v>947</v>
      </c>
      <c r="L1291" s="15" t="n">
        <f aca="false">IF(AND(OR(Search!$C$4="",Search!$C$4="All",B1291=Search!$C$4),OR(Search!$C$5="",Search!$C$5="All",C1291=Search!$C$5),OR(Search!$C$6="",Search!$C$6="All",D1291=Search!$C$6),OR(Search!$C$7="",ISNUMBER(SEARCH(Search!$C$7,D1291&amp;" "&amp;E1291&amp;" "&amp;F1291&amp;" "&amp;G1291&amp;" "&amp;H1291&amp;" "&amp;J1291))),OR(Search!$C$8="",ISNUMBER(SEARCH(Search!$C$8,G1291)))),1,0)</f>
        <v>1</v>
      </c>
      <c r="M1291" s="15" t="n">
        <f aca="false">M1290+L1291</f>
        <v>1290</v>
      </c>
    </row>
    <row r="1292" customFormat="false" ht="15" hidden="false" customHeight="false" outlineLevel="0" collapsed="false">
      <c r="A1292" s="14" t="n">
        <v>1291</v>
      </c>
      <c r="B1292" s="15" t="s">
        <v>942</v>
      </c>
      <c r="C1292" s="15" t="s">
        <v>1055</v>
      </c>
      <c r="D1292" s="16" t="s">
        <v>1117</v>
      </c>
      <c r="E1292" s="16" t="s">
        <v>1118</v>
      </c>
      <c r="F1292" s="15"/>
      <c r="G1292" s="15" t="s">
        <v>1119</v>
      </c>
      <c r="H1292" s="15" t="s">
        <v>1120</v>
      </c>
      <c r="I1292" s="17" t="n">
        <v>4730</v>
      </c>
      <c r="J1292" s="16"/>
      <c r="K1292" s="15" t="s">
        <v>947</v>
      </c>
      <c r="L1292" s="15" t="n">
        <f aca="false">IF(AND(OR(Search!$C$4="",Search!$C$4="All",B1292=Search!$C$4),OR(Search!$C$5="",Search!$C$5="All",C1292=Search!$C$5),OR(Search!$C$6="",Search!$C$6="All",D1292=Search!$C$6),OR(Search!$C$7="",ISNUMBER(SEARCH(Search!$C$7,D1292&amp;" "&amp;E1292&amp;" "&amp;F1292&amp;" "&amp;G1292&amp;" "&amp;H1292&amp;" "&amp;J1292))),OR(Search!$C$8="",ISNUMBER(SEARCH(Search!$C$8,G1292)))),1,0)</f>
        <v>1</v>
      </c>
      <c r="M1292" s="15" t="n">
        <f aca="false">M1291+L1292</f>
        <v>1291</v>
      </c>
    </row>
    <row r="1293" customFormat="false" ht="15" hidden="false" customHeight="false" outlineLevel="0" collapsed="false">
      <c r="A1293" s="14" t="n">
        <v>1292</v>
      </c>
      <c r="B1293" s="15" t="s">
        <v>942</v>
      </c>
      <c r="C1293" s="15" t="s">
        <v>1055</v>
      </c>
      <c r="D1293" s="16" t="s">
        <v>1117</v>
      </c>
      <c r="E1293" s="16"/>
      <c r="F1293" s="15"/>
      <c r="G1293" s="15" t="s">
        <v>1121</v>
      </c>
      <c r="H1293" s="15" t="s">
        <v>1122</v>
      </c>
      <c r="I1293" s="17" t="n">
        <v>7293</v>
      </c>
      <c r="J1293" s="16"/>
      <c r="K1293" s="15" t="s">
        <v>947</v>
      </c>
      <c r="L1293" s="15" t="n">
        <f aca="false">IF(AND(OR(Search!$C$4="",Search!$C$4="All",B1293=Search!$C$4),OR(Search!$C$5="",Search!$C$5="All",C1293=Search!$C$5),OR(Search!$C$6="",Search!$C$6="All",D1293=Search!$C$6),OR(Search!$C$7="",ISNUMBER(SEARCH(Search!$C$7,D1293&amp;" "&amp;E1293&amp;" "&amp;F1293&amp;" "&amp;G1293&amp;" "&amp;H1293&amp;" "&amp;J1293))),OR(Search!$C$8="",ISNUMBER(SEARCH(Search!$C$8,G1293)))),1,0)</f>
        <v>1</v>
      </c>
      <c r="M1293" s="15" t="n">
        <f aca="false">M1292+L1293</f>
        <v>1292</v>
      </c>
    </row>
    <row r="1294" customFormat="false" ht="15" hidden="false" customHeight="false" outlineLevel="0" collapsed="false">
      <c r="A1294" s="14" t="n">
        <v>1293</v>
      </c>
      <c r="B1294" s="15" t="s">
        <v>942</v>
      </c>
      <c r="C1294" s="15" t="s">
        <v>1055</v>
      </c>
      <c r="D1294" s="16" t="s">
        <v>1123</v>
      </c>
      <c r="E1294" s="16"/>
      <c r="F1294" s="15"/>
      <c r="G1294" s="15" t="s">
        <v>1121</v>
      </c>
      <c r="H1294" s="15" t="s">
        <v>1120</v>
      </c>
      <c r="I1294" s="17" t="n">
        <v>1099</v>
      </c>
      <c r="J1294" s="16"/>
      <c r="K1294" s="15" t="s">
        <v>947</v>
      </c>
      <c r="L1294" s="15" t="n">
        <f aca="false">IF(AND(OR(Search!$C$4="",Search!$C$4="All",B1294=Search!$C$4),OR(Search!$C$5="",Search!$C$5="All",C1294=Search!$C$5),OR(Search!$C$6="",Search!$C$6="All",D1294=Search!$C$6),OR(Search!$C$7="",ISNUMBER(SEARCH(Search!$C$7,D1294&amp;" "&amp;E1294&amp;" "&amp;F1294&amp;" "&amp;G1294&amp;" "&amp;H1294&amp;" "&amp;J1294))),OR(Search!$C$8="",ISNUMBER(SEARCH(Search!$C$8,G1294)))),1,0)</f>
        <v>1</v>
      </c>
      <c r="M1294" s="15" t="n">
        <f aca="false">M1293+L1294</f>
        <v>1293</v>
      </c>
    </row>
    <row r="1295" customFormat="false" ht="15" hidden="false" customHeight="false" outlineLevel="0" collapsed="false">
      <c r="A1295" s="14" t="n">
        <v>1294</v>
      </c>
      <c r="B1295" s="15" t="s">
        <v>942</v>
      </c>
      <c r="C1295" s="15" t="s">
        <v>1055</v>
      </c>
      <c r="D1295" s="16" t="s">
        <v>1124</v>
      </c>
      <c r="E1295" s="16"/>
      <c r="F1295" s="15"/>
      <c r="G1295" s="15" t="s">
        <v>1125</v>
      </c>
      <c r="H1295" s="15" t="s">
        <v>528</v>
      </c>
      <c r="I1295" s="17" t="n">
        <v>5830</v>
      </c>
      <c r="J1295" s="16"/>
      <c r="K1295" s="15" t="s">
        <v>947</v>
      </c>
      <c r="L1295" s="15" t="n">
        <f aca="false">IF(AND(OR(Search!$C$4="",Search!$C$4="All",B1295=Search!$C$4),OR(Search!$C$5="",Search!$C$5="All",C1295=Search!$C$5),OR(Search!$C$6="",Search!$C$6="All",D1295=Search!$C$6),OR(Search!$C$7="",ISNUMBER(SEARCH(Search!$C$7,D1295&amp;" "&amp;E1295&amp;" "&amp;F1295&amp;" "&amp;G1295&amp;" "&amp;H1295&amp;" "&amp;J1295))),OR(Search!$C$8="",ISNUMBER(SEARCH(Search!$C$8,G1295)))),1,0)</f>
        <v>1</v>
      </c>
      <c r="M1295" s="15" t="n">
        <f aca="false">M1294+L1295</f>
        <v>1294</v>
      </c>
    </row>
    <row r="1296" customFormat="false" ht="15" hidden="false" customHeight="false" outlineLevel="0" collapsed="false">
      <c r="A1296" s="14" t="n">
        <v>1295</v>
      </c>
      <c r="B1296" s="15" t="s">
        <v>942</v>
      </c>
      <c r="C1296" s="15" t="s">
        <v>1055</v>
      </c>
      <c r="D1296" s="16" t="s">
        <v>1126</v>
      </c>
      <c r="E1296" s="16"/>
      <c r="F1296" s="15"/>
      <c r="G1296" s="15" t="s">
        <v>1127</v>
      </c>
      <c r="H1296" s="15" t="s">
        <v>528</v>
      </c>
      <c r="I1296" s="17" t="n">
        <v>2090</v>
      </c>
      <c r="J1296" s="16"/>
      <c r="K1296" s="15" t="s">
        <v>947</v>
      </c>
      <c r="L1296" s="15" t="n">
        <f aca="false">IF(AND(OR(Search!$C$4="",Search!$C$4="All",B1296=Search!$C$4),OR(Search!$C$5="",Search!$C$5="All",C1296=Search!$C$5),OR(Search!$C$6="",Search!$C$6="All",D1296=Search!$C$6),OR(Search!$C$7="",ISNUMBER(SEARCH(Search!$C$7,D1296&amp;" "&amp;E1296&amp;" "&amp;F1296&amp;" "&amp;G1296&amp;" "&amp;H1296&amp;" "&amp;J1296))),OR(Search!$C$8="",ISNUMBER(SEARCH(Search!$C$8,G1296)))),1,0)</f>
        <v>1</v>
      </c>
      <c r="M1296" s="15" t="n">
        <f aca="false">M1295+L1296</f>
        <v>1295</v>
      </c>
    </row>
    <row r="1297" customFormat="false" ht="15" hidden="false" customHeight="false" outlineLevel="0" collapsed="false">
      <c r="A1297" s="14" t="n">
        <v>1296</v>
      </c>
      <c r="B1297" s="15" t="s">
        <v>942</v>
      </c>
      <c r="C1297" s="15" t="s">
        <v>1055</v>
      </c>
      <c r="D1297" s="16" t="s">
        <v>1128</v>
      </c>
      <c r="E1297" s="16"/>
      <c r="F1297" s="15"/>
      <c r="G1297" s="15" t="s">
        <v>1129</v>
      </c>
      <c r="H1297" s="15" t="s">
        <v>528</v>
      </c>
      <c r="I1297" s="17" t="n">
        <v>1117</v>
      </c>
      <c r="J1297" s="16"/>
      <c r="K1297" s="15" t="s">
        <v>947</v>
      </c>
      <c r="L1297" s="15" t="n">
        <f aca="false">IF(AND(OR(Search!$C$4="",Search!$C$4="All",B1297=Search!$C$4),OR(Search!$C$5="",Search!$C$5="All",C1297=Search!$C$5),OR(Search!$C$6="",Search!$C$6="All",D1297=Search!$C$6),OR(Search!$C$7="",ISNUMBER(SEARCH(Search!$C$7,D1297&amp;" "&amp;E1297&amp;" "&amp;F1297&amp;" "&amp;G1297&amp;" "&amp;H1297&amp;" "&amp;J1297))),OR(Search!$C$8="",ISNUMBER(SEARCH(Search!$C$8,G1297)))),1,0)</f>
        <v>1</v>
      </c>
      <c r="M1297" s="15" t="n">
        <f aca="false">M1296+L1297</f>
        <v>1296</v>
      </c>
    </row>
    <row r="1298" customFormat="false" ht="15" hidden="false" customHeight="false" outlineLevel="0" collapsed="false">
      <c r="A1298" s="14" t="n">
        <v>1297</v>
      </c>
      <c r="B1298" s="15" t="s">
        <v>942</v>
      </c>
      <c r="C1298" s="15" t="s">
        <v>1055</v>
      </c>
      <c r="D1298" s="16" t="s">
        <v>1128</v>
      </c>
      <c r="E1298" s="16"/>
      <c r="F1298" s="15"/>
      <c r="G1298" s="15" t="s">
        <v>1127</v>
      </c>
      <c r="H1298" s="15" t="s">
        <v>528</v>
      </c>
      <c r="I1298" s="17" t="n">
        <v>2695</v>
      </c>
      <c r="J1298" s="16"/>
      <c r="K1298" s="15" t="s">
        <v>947</v>
      </c>
      <c r="L1298" s="15" t="n">
        <f aca="false">IF(AND(OR(Search!$C$4="",Search!$C$4="All",B1298=Search!$C$4),OR(Search!$C$5="",Search!$C$5="All",C1298=Search!$C$5),OR(Search!$C$6="",Search!$C$6="All",D1298=Search!$C$6),OR(Search!$C$7="",ISNUMBER(SEARCH(Search!$C$7,D1298&amp;" "&amp;E1298&amp;" "&amp;F1298&amp;" "&amp;G1298&amp;" "&amp;H1298&amp;" "&amp;J1298))),OR(Search!$C$8="",ISNUMBER(SEARCH(Search!$C$8,G1298)))),1,0)</f>
        <v>1</v>
      </c>
      <c r="M1298" s="15" t="n">
        <f aca="false">M1297+L1298</f>
        <v>1297</v>
      </c>
    </row>
    <row r="1299" customFormat="false" ht="15" hidden="false" customHeight="false" outlineLevel="0" collapsed="false">
      <c r="A1299" s="14" t="n">
        <v>1298</v>
      </c>
      <c r="B1299" s="15" t="s">
        <v>942</v>
      </c>
      <c r="C1299" s="15" t="s">
        <v>1055</v>
      </c>
      <c r="D1299" s="16" t="s">
        <v>1130</v>
      </c>
      <c r="E1299" s="16"/>
      <c r="F1299" s="15"/>
      <c r="G1299" s="15" t="s">
        <v>1127</v>
      </c>
      <c r="H1299" s="15" t="s">
        <v>528</v>
      </c>
      <c r="I1299" s="17" t="n">
        <v>2690</v>
      </c>
      <c r="J1299" s="16"/>
      <c r="K1299" s="15" t="s">
        <v>947</v>
      </c>
      <c r="L1299" s="15" t="n">
        <f aca="false">IF(AND(OR(Search!$C$4="",Search!$C$4="All",B1299=Search!$C$4),OR(Search!$C$5="",Search!$C$5="All",C1299=Search!$C$5),OR(Search!$C$6="",Search!$C$6="All",D1299=Search!$C$6),OR(Search!$C$7="",ISNUMBER(SEARCH(Search!$C$7,D1299&amp;" "&amp;E1299&amp;" "&amp;F1299&amp;" "&amp;G1299&amp;" "&amp;H1299&amp;" "&amp;J1299))),OR(Search!$C$8="",ISNUMBER(SEARCH(Search!$C$8,G1299)))),1,0)</f>
        <v>1</v>
      </c>
      <c r="M1299" s="15" t="n">
        <f aca="false">M1298+L1299</f>
        <v>1298</v>
      </c>
    </row>
    <row r="1300" customFormat="false" ht="15" hidden="false" customHeight="false" outlineLevel="0" collapsed="false">
      <c r="A1300" s="14" t="n">
        <v>1299</v>
      </c>
      <c r="B1300" s="15" t="s">
        <v>942</v>
      </c>
      <c r="C1300" s="15" t="s">
        <v>1055</v>
      </c>
      <c r="D1300" s="16" t="s">
        <v>1131</v>
      </c>
      <c r="E1300" s="16"/>
      <c r="F1300" s="15"/>
      <c r="G1300" s="15" t="s">
        <v>1129</v>
      </c>
      <c r="H1300" s="15" t="s">
        <v>528</v>
      </c>
      <c r="I1300" s="17" t="n">
        <v>1117</v>
      </c>
      <c r="J1300" s="16"/>
      <c r="K1300" s="15" t="s">
        <v>947</v>
      </c>
      <c r="L1300" s="15" t="n">
        <f aca="false">IF(AND(OR(Search!$C$4="",Search!$C$4="All",B1300=Search!$C$4),OR(Search!$C$5="",Search!$C$5="All",C1300=Search!$C$5),OR(Search!$C$6="",Search!$C$6="All",D1300=Search!$C$6),OR(Search!$C$7="",ISNUMBER(SEARCH(Search!$C$7,D1300&amp;" "&amp;E1300&amp;" "&amp;F1300&amp;" "&amp;G1300&amp;" "&amp;H1300&amp;" "&amp;J1300))),OR(Search!$C$8="",ISNUMBER(SEARCH(Search!$C$8,G1300)))),1,0)</f>
        <v>1</v>
      </c>
      <c r="M1300" s="15" t="n">
        <f aca="false">M1299+L1300</f>
        <v>1299</v>
      </c>
    </row>
    <row r="1301" customFormat="false" ht="15" hidden="false" customHeight="false" outlineLevel="0" collapsed="false">
      <c r="A1301" s="14" t="n">
        <v>1300</v>
      </c>
      <c r="B1301" s="15" t="s">
        <v>942</v>
      </c>
      <c r="C1301" s="15" t="s">
        <v>1055</v>
      </c>
      <c r="D1301" s="16" t="s">
        <v>1132</v>
      </c>
      <c r="E1301" s="16"/>
      <c r="F1301" s="15"/>
      <c r="G1301" s="15" t="s">
        <v>1129</v>
      </c>
      <c r="H1301" s="15" t="s">
        <v>528</v>
      </c>
      <c r="I1301" s="17" t="n">
        <v>1117</v>
      </c>
      <c r="J1301" s="16"/>
      <c r="K1301" s="15" t="s">
        <v>947</v>
      </c>
      <c r="L1301" s="15" t="n">
        <f aca="false">IF(AND(OR(Search!$C$4="",Search!$C$4="All",B1301=Search!$C$4),OR(Search!$C$5="",Search!$C$5="All",C1301=Search!$C$5),OR(Search!$C$6="",Search!$C$6="All",D1301=Search!$C$6),OR(Search!$C$7="",ISNUMBER(SEARCH(Search!$C$7,D1301&amp;" "&amp;E1301&amp;" "&amp;F1301&amp;" "&amp;G1301&amp;" "&amp;H1301&amp;" "&amp;J1301))),OR(Search!$C$8="",ISNUMBER(SEARCH(Search!$C$8,G1301)))),1,0)</f>
        <v>1</v>
      </c>
      <c r="M1301" s="15" t="n">
        <f aca="false">M1300+L1301</f>
        <v>1300</v>
      </c>
    </row>
    <row r="1302" customFormat="false" ht="15" hidden="false" customHeight="false" outlineLevel="0" collapsed="false">
      <c r="A1302" s="14" t="n">
        <v>1301</v>
      </c>
      <c r="B1302" s="15" t="s">
        <v>942</v>
      </c>
      <c r="C1302" s="15" t="s">
        <v>1055</v>
      </c>
      <c r="D1302" s="16" t="s">
        <v>1133</v>
      </c>
      <c r="E1302" s="16"/>
      <c r="F1302" s="15"/>
      <c r="G1302" s="15" t="s">
        <v>1125</v>
      </c>
      <c r="H1302" s="15" t="s">
        <v>528</v>
      </c>
      <c r="I1302" s="17" t="n">
        <v>6881</v>
      </c>
      <c r="J1302" s="16"/>
      <c r="K1302" s="15" t="s">
        <v>947</v>
      </c>
      <c r="L1302" s="15" t="n">
        <f aca="false">IF(AND(OR(Search!$C$4="",Search!$C$4="All",B1302=Search!$C$4),OR(Search!$C$5="",Search!$C$5="All",C1302=Search!$C$5),OR(Search!$C$6="",Search!$C$6="All",D1302=Search!$C$6),OR(Search!$C$7="",ISNUMBER(SEARCH(Search!$C$7,D1302&amp;" "&amp;E1302&amp;" "&amp;F1302&amp;" "&amp;G1302&amp;" "&amp;H1302&amp;" "&amp;J1302))),OR(Search!$C$8="",ISNUMBER(SEARCH(Search!$C$8,G1302)))),1,0)</f>
        <v>1</v>
      </c>
      <c r="M1302" s="15" t="n">
        <f aca="false">M1301+L1302</f>
        <v>1301</v>
      </c>
    </row>
    <row r="1303" customFormat="false" ht="15" hidden="false" customHeight="false" outlineLevel="0" collapsed="false">
      <c r="A1303" s="14" t="n">
        <v>1302</v>
      </c>
      <c r="B1303" s="15" t="s">
        <v>942</v>
      </c>
      <c r="C1303" s="15" t="s">
        <v>1055</v>
      </c>
      <c r="D1303" s="16" t="s">
        <v>1133</v>
      </c>
      <c r="E1303" s="16"/>
      <c r="F1303" s="15"/>
      <c r="G1303" s="15" t="s">
        <v>1134</v>
      </c>
      <c r="H1303" s="15" t="s">
        <v>528</v>
      </c>
      <c r="I1303" s="17" t="n">
        <v>1403</v>
      </c>
      <c r="J1303" s="16"/>
      <c r="K1303" s="15" t="s">
        <v>947</v>
      </c>
      <c r="L1303" s="15" t="n">
        <f aca="false">IF(AND(OR(Search!$C$4="",Search!$C$4="All",B1303=Search!$C$4),OR(Search!$C$5="",Search!$C$5="All",C1303=Search!$C$5),OR(Search!$C$6="",Search!$C$6="All",D1303=Search!$C$6),OR(Search!$C$7="",ISNUMBER(SEARCH(Search!$C$7,D1303&amp;" "&amp;E1303&amp;" "&amp;F1303&amp;" "&amp;G1303&amp;" "&amp;H1303&amp;" "&amp;J1303))),OR(Search!$C$8="",ISNUMBER(SEARCH(Search!$C$8,G1303)))),1,0)</f>
        <v>1</v>
      </c>
      <c r="M1303" s="15" t="n">
        <f aca="false">M1302+L1303</f>
        <v>1302</v>
      </c>
    </row>
    <row r="1304" customFormat="false" ht="15" hidden="false" customHeight="false" outlineLevel="0" collapsed="false">
      <c r="A1304" s="14" t="n">
        <v>1303</v>
      </c>
      <c r="B1304" s="15" t="s">
        <v>942</v>
      </c>
      <c r="C1304" s="15" t="s">
        <v>1055</v>
      </c>
      <c r="D1304" s="16" t="s">
        <v>1135</v>
      </c>
      <c r="E1304" s="16" t="s">
        <v>1136</v>
      </c>
      <c r="F1304" s="15"/>
      <c r="G1304" s="15"/>
      <c r="H1304" s="15" t="s">
        <v>1137</v>
      </c>
      <c r="I1304" s="17" t="n">
        <v>2481</v>
      </c>
      <c r="J1304" s="16"/>
      <c r="K1304" s="15" t="s">
        <v>947</v>
      </c>
      <c r="L1304" s="15" t="n">
        <f aca="false">IF(AND(OR(Search!$C$4="",Search!$C$4="All",B1304=Search!$C$4),OR(Search!$C$5="",Search!$C$5="All",C1304=Search!$C$5),OR(Search!$C$6="",Search!$C$6="All",D1304=Search!$C$6),OR(Search!$C$7="",ISNUMBER(SEARCH(Search!$C$7,D1304&amp;" "&amp;E1304&amp;" "&amp;F1304&amp;" "&amp;G1304&amp;" "&amp;H1304&amp;" "&amp;J1304))),OR(Search!$C$8="",ISNUMBER(SEARCH(Search!$C$8,G1304)))),1,0)</f>
        <v>1</v>
      </c>
      <c r="M1304" s="15" t="n">
        <f aca="false">M1303+L1304</f>
        <v>1303</v>
      </c>
    </row>
    <row r="1305" customFormat="false" ht="15" hidden="false" customHeight="false" outlineLevel="0" collapsed="false">
      <c r="A1305" s="14" t="n">
        <v>1304</v>
      </c>
      <c r="B1305" s="15" t="s">
        <v>942</v>
      </c>
      <c r="C1305" s="15" t="s">
        <v>1055</v>
      </c>
      <c r="D1305" s="16" t="s">
        <v>1138</v>
      </c>
      <c r="E1305" s="16" t="s">
        <v>1139</v>
      </c>
      <c r="F1305" s="15"/>
      <c r="G1305" s="15"/>
      <c r="H1305" s="15" t="s">
        <v>528</v>
      </c>
      <c r="I1305" s="17" t="n">
        <v>913</v>
      </c>
      <c r="J1305" s="16"/>
      <c r="K1305" s="15" t="s">
        <v>947</v>
      </c>
      <c r="L1305" s="15" t="n">
        <f aca="false">IF(AND(OR(Search!$C$4="",Search!$C$4="All",B1305=Search!$C$4),OR(Search!$C$5="",Search!$C$5="All",C1305=Search!$C$5),OR(Search!$C$6="",Search!$C$6="All",D1305=Search!$C$6),OR(Search!$C$7="",ISNUMBER(SEARCH(Search!$C$7,D1305&amp;" "&amp;E1305&amp;" "&amp;F1305&amp;" "&amp;G1305&amp;" "&amp;H1305&amp;" "&amp;J1305))),OR(Search!$C$8="",ISNUMBER(SEARCH(Search!$C$8,G1305)))),1,0)</f>
        <v>1</v>
      </c>
      <c r="M1305" s="15" t="n">
        <f aca="false">M1304+L1305</f>
        <v>1304</v>
      </c>
    </row>
    <row r="1306" customFormat="false" ht="15" hidden="false" customHeight="false" outlineLevel="0" collapsed="false">
      <c r="A1306" s="14" t="n">
        <v>1305</v>
      </c>
      <c r="B1306" s="15" t="s">
        <v>942</v>
      </c>
      <c r="C1306" s="15" t="s">
        <v>1055</v>
      </c>
      <c r="D1306" s="16" t="s">
        <v>1138</v>
      </c>
      <c r="E1306" s="16" t="s">
        <v>1140</v>
      </c>
      <c r="F1306" s="15"/>
      <c r="G1306" s="15"/>
      <c r="H1306" s="15" t="s">
        <v>528</v>
      </c>
      <c r="I1306" s="17" t="n">
        <v>671</v>
      </c>
      <c r="J1306" s="16"/>
      <c r="K1306" s="15" t="s">
        <v>947</v>
      </c>
      <c r="L1306" s="15" t="n">
        <f aca="false">IF(AND(OR(Search!$C$4="",Search!$C$4="All",B1306=Search!$C$4),OR(Search!$C$5="",Search!$C$5="All",C1306=Search!$C$5),OR(Search!$C$6="",Search!$C$6="All",D1306=Search!$C$6),OR(Search!$C$7="",ISNUMBER(SEARCH(Search!$C$7,D1306&amp;" "&amp;E1306&amp;" "&amp;F1306&amp;" "&amp;G1306&amp;" "&amp;H1306&amp;" "&amp;J1306))),OR(Search!$C$8="",ISNUMBER(SEARCH(Search!$C$8,G1306)))),1,0)</f>
        <v>1</v>
      </c>
      <c r="M1306" s="15" t="n">
        <f aca="false">M1305+L1306</f>
        <v>1305</v>
      </c>
    </row>
    <row r="1307" customFormat="false" ht="15" hidden="false" customHeight="false" outlineLevel="0" collapsed="false">
      <c r="A1307" s="14" t="n">
        <v>1306</v>
      </c>
      <c r="B1307" s="15" t="s">
        <v>942</v>
      </c>
      <c r="C1307" s="15" t="s">
        <v>1055</v>
      </c>
      <c r="D1307" s="16" t="s">
        <v>1138</v>
      </c>
      <c r="E1307" s="16" t="s">
        <v>1141</v>
      </c>
      <c r="F1307" s="15"/>
      <c r="G1307" s="15"/>
      <c r="H1307" s="15" t="s">
        <v>528</v>
      </c>
      <c r="I1307" s="17" t="n">
        <v>737</v>
      </c>
      <c r="J1307" s="16"/>
      <c r="K1307" s="15" t="s">
        <v>947</v>
      </c>
      <c r="L1307" s="15" t="n">
        <f aca="false">IF(AND(OR(Search!$C$4="",Search!$C$4="All",B1307=Search!$C$4),OR(Search!$C$5="",Search!$C$5="All",C1307=Search!$C$5),OR(Search!$C$6="",Search!$C$6="All",D1307=Search!$C$6),OR(Search!$C$7="",ISNUMBER(SEARCH(Search!$C$7,D1307&amp;" "&amp;E1307&amp;" "&amp;F1307&amp;" "&amp;G1307&amp;" "&amp;H1307&amp;" "&amp;J1307))),OR(Search!$C$8="",ISNUMBER(SEARCH(Search!$C$8,G1307)))),1,0)</f>
        <v>1</v>
      </c>
      <c r="M1307" s="15" t="n">
        <f aca="false">M1306+L1307</f>
        <v>1306</v>
      </c>
    </row>
    <row r="1308" customFormat="false" ht="15" hidden="false" customHeight="false" outlineLevel="0" collapsed="false">
      <c r="A1308" s="14" t="n">
        <v>1307</v>
      </c>
      <c r="B1308" s="15" t="s">
        <v>942</v>
      </c>
      <c r="C1308" s="15" t="s">
        <v>1055</v>
      </c>
      <c r="D1308" s="16" t="s">
        <v>1138</v>
      </c>
      <c r="E1308" s="16" t="s">
        <v>1142</v>
      </c>
      <c r="F1308" s="15"/>
      <c r="G1308" s="15"/>
      <c r="H1308" s="15" t="s">
        <v>528</v>
      </c>
      <c r="I1308" s="17" t="n">
        <v>765</v>
      </c>
      <c r="J1308" s="16"/>
      <c r="K1308" s="15" t="s">
        <v>947</v>
      </c>
      <c r="L1308" s="15" t="n">
        <f aca="false">IF(AND(OR(Search!$C$4="",Search!$C$4="All",B1308=Search!$C$4),OR(Search!$C$5="",Search!$C$5="All",C1308=Search!$C$5),OR(Search!$C$6="",Search!$C$6="All",D1308=Search!$C$6),OR(Search!$C$7="",ISNUMBER(SEARCH(Search!$C$7,D1308&amp;" "&amp;E1308&amp;" "&amp;F1308&amp;" "&amp;G1308&amp;" "&amp;H1308&amp;" "&amp;J1308))),OR(Search!$C$8="",ISNUMBER(SEARCH(Search!$C$8,G1308)))),1,0)</f>
        <v>1</v>
      </c>
      <c r="M1308" s="15" t="n">
        <f aca="false">M1307+L1308</f>
        <v>1307</v>
      </c>
    </row>
    <row r="1309" customFormat="false" ht="15" hidden="false" customHeight="false" outlineLevel="0" collapsed="false">
      <c r="A1309" s="14" t="n">
        <v>1308</v>
      </c>
      <c r="B1309" s="15" t="s">
        <v>942</v>
      </c>
      <c r="C1309" s="15" t="s">
        <v>1055</v>
      </c>
      <c r="D1309" s="16" t="s">
        <v>1138</v>
      </c>
      <c r="E1309" s="16" t="s">
        <v>1143</v>
      </c>
      <c r="F1309" s="15"/>
      <c r="G1309" s="15"/>
      <c r="H1309" s="15" t="s">
        <v>528</v>
      </c>
      <c r="I1309" s="17" t="n">
        <v>897</v>
      </c>
      <c r="J1309" s="16"/>
      <c r="K1309" s="15" t="s">
        <v>947</v>
      </c>
      <c r="L1309" s="15" t="n">
        <f aca="false">IF(AND(OR(Search!$C$4="",Search!$C$4="All",B1309=Search!$C$4),OR(Search!$C$5="",Search!$C$5="All",C1309=Search!$C$5),OR(Search!$C$6="",Search!$C$6="All",D1309=Search!$C$6),OR(Search!$C$7="",ISNUMBER(SEARCH(Search!$C$7,D1309&amp;" "&amp;E1309&amp;" "&amp;F1309&amp;" "&amp;G1309&amp;" "&amp;H1309&amp;" "&amp;J1309))),OR(Search!$C$8="",ISNUMBER(SEARCH(Search!$C$8,G1309)))),1,0)</f>
        <v>1</v>
      </c>
      <c r="M1309" s="15" t="n">
        <f aca="false">M1308+L1309</f>
        <v>1308</v>
      </c>
    </row>
    <row r="1310" customFormat="false" ht="15" hidden="false" customHeight="false" outlineLevel="0" collapsed="false">
      <c r="A1310" s="14" t="n">
        <v>1309</v>
      </c>
      <c r="B1310" s="15" t="s">
        <v>942</v>
      </c>
      <c r="C1310" s="15" t="s">
        <v>1055</v>
      </c>
      <c r="D1310" s="16" t="s">
        <v>1138</v>
      </c>
      <c r="E1310" s="16" t="s">
        <v>1144</v>
      </c>
      <c r="F1310" s="15"/>
      <c r="G1310" s="15"/>
      <c r="H1310" s="15" t="s">
        <v>528</v>
      </c>
      <c r="I1310" s="17" t="n">
        <v>671</v>
      </c>
      <c r="J1310" s="16"/>
      <c r="K1310" s="15" t="s">
        <v>947</v>
      </c>
      <c r="L1310" s="15" t="n">
        <f aca="false">IF(AND(OR(Search!$C$4="",Search!$C$4="All",B1310=Search!$C$4),OR(Search!$C$5="",Search!$C$5="All",C1310=Search!$C$5),OR(Search!$C$6="",Search!$C$6="All",D1310=Search!$C$6),OR(Search!$C$7="",ISNUMBER(SEARCH(Search!$C$7,D1310&amp;" "&amp;E1310&amp;" "&amp;F1310&amp;" "&amp;G1310&amp;" "&amp;H1310&amp;" "&amp;J1310))),OR(Search!$C$8="",ISNUMBER(SEARCH(Search!$C$8,G1310)))),1,0)</f>
        <v>1</v>
      </c>
      <c r="M1310" s="15" t="n">
        <f aca="false">M1309+L1310</f>
        <v>1309</v>
      </c>
    </row>
    <row r="1311" customFormat="false" ht="15" hidden="false" customHeight="false" outlineLevel="0" collapsed="false">
      <c r="A1311" s="14" t="n">
        <v>1310</v>
      </c>
      <c r="B1311" s="15" t="s">
        <v>942</v>
      </c>
      <c r="C1311" s="15" t="s">
        <v>1055</v>
      </c>
      <c r="D1311" s="16" t="s">
        <v>1138</v>
      </c>
      <c r="E1311" s="16" t="s">
        <v>1145</v>
      </c>
      <c r="F1311" s="15"/>
      <c r="G1311" s="15"/>
      <c r="H1311" s="15" t="s">
        <v>528</v>
      </c>
      <c r="I1311" s="17" t="n">
        <v>737</v>
      </c>
      <c r="J1311" s="16"/>
      <c r="K1311" s="15" t="s">
        <v>947</v>
      </c>
      <c r="L1311" s="15" t="n">
        <f aca="false">IF(AND(OR(Search!$C$4="",Search!$C$4="All",B1311=Search!$C$4),OR(Search!$C$5="",Search!$C$5="All",C1311=Search!$C$5),OR(Search!$C$6="",Search!$C$6="All",D1311=Search!$C$6),OR(Search!$C$7="",ISNUMBER(SEARCH(Search!$C$7,D1311&amp;" "&amp;E1311&amp;" "&amp;F1311&amp;" "&amp;G1311&amp;" "&amp;H1311&amp;" "&amp;J1311))),OR(Search!$C$8="",ISNUMBER(SEARCH(Search!$C$8,G1311)))),1,0)</f>
        <v>1</v>
      </c>
      <c r="M1311" s="15" t="n">
        <f aca="false">M1310+L1311</f>
        <v>1310</v>
      </c>
    </row>
    <row r="1312" customFormat="false" ht="15" hidden="false" customHeight="false" outlineLevel="0" collapsed="false">
      <c r="A1312" s="14" t="n">
        <v>1311</v>
      </c>
      <c r="B1312" s="15" t="s">
        <v>942</v>
      </c>
      <c r="C1312" s="15" t="s">
        <v>1055</v>
      </c>
      <c r="D1312" s="16" t="s">
        <v>1138</v>
      </c>
      <c r="E1312" s="16" t="s">
        <v>1146</v>
      </c>
      <c r="F1312" s="15"/>
      <c r="G1312" s="15"/>
      <c r="H1312" s="15" t="s">
        <v>528</v>
      </c>
      <c r="I1312" s="17" t="n">
        <v>765</v>
      </c>
      <c r="J1312" s="16"/>
      <c r="K1312" s="15" t="s">
        <v>947</v>
      </c>
      <c r="L1312" s="15" t="n">
        <f aca="false">IF(AND(OR(Search!$C$4="",Search!$C$4="All",B1312=Search!$C$4),OR(Search!$C$5="",Search!$C$5="All",C1312=Search!$C$5),OR(Search!$C$6="",Search!$C$6="All",D1312=Search!$C$6),OR(Search!$C$7="",ISNUMBER(SEARCH(Search!$C$7,D1312&amp;" "&amp;E1312&amp;" "&amp;F1312&amp;" "&amp;G1312&amp;" "&amp;H1312&amp;" "&amp;J1312))),OR(Search!$C$8="",ISNUMBER(SEARCH(Search!$C$8,G1312)))),1,0)</f>
        <v>1</v>
      </c>
      <c r="M1312" s="15" t="n">
        <f aca="false">M1311+L1312</f>
        <v>1311</v>
      </c>
    </row>
    <row r="1313" customFormat="false" ht="15" hidden="false" customHeight="false" outlineLevel="0" collapsed="false">
      <c r="A1313" s="14" t="n">
        <v>1312</v>
      </c>
      <c r="B1313" s="15" t="s">
        <v>942</v>
      </c>
      <c r="C1313" s="15" t="s">
        <v>1055</v>
      </c>
      <c r="D1313" s="16" t="s">
        <v>1147</v>
      </c>
      <c r="E1313" s="16" t="s">
        <v>1148</v>
      </c>
      <c r="F1313" s="15"/>
      <c r="G1313" s="15"/>
      <c r="H1313" s="15" t="s">
        <v>528</v>
      </c>
      <c r="I1313" s="17" t="n">
        <v>2217</v>
      </c>
      <c r="J1313" s="16"/>
      <c r="K1313" s="15" t="s">
        <v>947</v>
      </c>
      <c r="L1313" s="15" t="n">
        <f aca="false">IF(AND(OR(Search!$C$4="",Search!$C$4="All",B1313=Search!$C$4),OR(Search!$C$5="",Search!$C$5="All",C1313=Search!$C$5),OR(Search!$C$6="",Search!$C$6="All",D1313=Search!$C$6),OR(Search!$C$7="",ISNUMBER(SEARCH(Search!$C$7,D1313&amp;" "&amp;E1313&amp;" "&amp;F1313&amp;" "&amp;G1313&amp;" "&amp;H1313&amp;" "&amp;J1313))),OR(Search!$C$8="",ISNUMBER(SEARCH(Search!$C$8,G1313)))),1,0)</f>
        <v>1</v>
      </c>
      <c r="M1313" s="15" t="n">
        <f aca="false">M1312+L1313</f>
        <v>1312</v>
      </c>
    </row>
    <row r="1314" customFormat="false" ht="15" hidden="false" customHeight="false" outlineLevel="0" collapsed="false">
      <c r="A1314" s="14" t="n">
        <v>1313</v>
      </c>
      <c r="B1314" s="15" t="s">
        <v>942</v>
      </c>
      <c r="C1314" s="15" t="s">
        <v>1055</v>
      </c>
      <c r="D1314" s="16" t="s">
        <v>1147</v>
      </c>
      <c r="E1314" s="16" t="s">
        <v>1149</v>
      </c>
      <c r="F1314" s="15"/>
      <c r="G1314" s="15"/>
      <c r="H1314" s="15" t="s">
        <v>528</v>
      </c>
      <c r="I1314" s="17" t="n">
        <v>710</v>
      </c>
      <c r="J1314" s="16"/>
      <c r="K1314" s="15" t="s">
        <v>947</v>
      </c>
      <c r="L1314" s="15" t="n">
        <f aca="false">IF(AND(OR(Search!$C$4="",Search!$C$4="All",B1314=Search!$C$4),OR(Search!$C$5="",Search!$C$5="All",C1314=Search!$C$5),OR(Search!$C$6="",Search!$C$6="All",D1314=Search!$C$6),OR(Search!$C$7="",ISNUMBER(SEARCH(Search!$C$7,D1314&amp;" "&amp;E1314&amp;" "&amp;F1314&amp;" "&amp;G1314&amp;" "&amp;H1314&amp;" "&amp;J1314))),OR(Search!$C$8="",ISNUMBER(SEARCH(Search!$C$8,G1314)))),1,0)</f>
        <v>1</v>
      </c>
      <c r="M1314" s="15" t="n">
        <f aca="false">M1313+L1314</f>
        <v>1313</v>
      </c>
    </row>
    <row r="1315" customFormat="false" ht="15" hidden="false" customHeight="false" outlineLevel="0" collapsed="false">
      <c r="A1315" s="14" t="n">
        <v>1314</v>
      </c>
      <c r="B1315" s="15" t="s">
        <v>942</v>
      </c>
      <c r="C1315" s="15" t="s">
        <v>1055</v>
      </c>
      <c r="D1315" s="16" t="s">
        <v>1147</v>
      </c>
      <c r="E1315" s="16" t="s">
        <v>1150</v>
      </c>
      <c r="F1315" s="15"/>
      <c r="G1315" s="15"/>
      <c r="H1315" s="15" t="s">
        <v>528</v>
      </c>
      <c r="I1315" s="17" t="n">
        <v>2195</v>
      </c>
      <c r="J1315" s="16"/>
      <c r="K1315" s="15" t="s">
        <v>947</v>
      </c>
      <c r="L1315" s="15" t="n">
        <f aca="false">IF(AND(OR(Search!$C$4="",Search!$C$4="All",B1315=Search!$C$4),OR(Search!$C$5="",Search!$C$5="All",C1315=Search!$C$5),OR(Search!$C$6="",Search!$C$6="All",D1315=Search!$C$6),OR(Search!$C$7="",ISNUMBER(SEARCH(Search!$C$7,D1315&amp;" "&amp;E1315&amp;" "&amp;F1315&amp;" "&amp;G1315&amp;" "&amp;H1315&amp;" "&amp;J1315))),OR(Search!$C$8="",ISNUMBER(SEARCH(Search!$C$8,G1315)))),1,0)</f>
        <v>1</v>
      </c>
      <c r="M1315" s="15" t="n">
        <f aca="false">M1314+L1315</f>
        <v>1314</v>
      </c>
    </row>
    <row r="1316" customFormat="false" ht="15" hidden="false" customHeight="false" outlineLevel="0" collapsed="false">
      <c r="A1316" s="14" t="n">
        <v>1315</v>
      </c>
      <c r="B1316" s="15" t="s">
        <v>942</v>
      </c>
      <c r="C1316" s="15" t="s">
        <v>1055</v>
      </c>
      <c r="D1316" s="16" t="s">
        <v>1151</v>
      </c>
      <c r="E1316" s="16" t="s">
        <v>1152</v>
      </c>
      <c r="F1316" s="15"/>
      <c r="G1316" s="15" t="s">
        <v>1153</v>
      </c>
      <c r="H1316" s="15" t="s">
        <v>528</v>
      </c>
      <c r="I1316" s="17" t="n">
        <v>1128</v>
      </c>
      <c r="J1316" s="16"/>
      <c r="K1316" s="15" t="s">
        <v>947</v>
      </c>
      <c r="L1316" s="15" t="n">
        <f aca="false">IF(AND(OR(Search!$C$4="",Search!$C$4="All",B1316=Search!$C$4),OR(Search!$C$5="",Search!$C$5="All",C1316=Search!$C$5),OR(Search!$C$6="",Search!$C$6="All",D1316=Search!$C$6),OR(Search!$C$7="",ISNUMBER(SEARCH(Search!$C$7,D1316&amp;" "&amp;E1316&amp;" "&amp;F1316&amp;" "&amp;G1316&amp;" "&amp;H1316&amp;" "&amp;J1316))),OR(Search!$C$8="",ISNUMBER(SEARCH(Search!$C$8,G1316)))),1,0)</f>
        <v>1</v>
      </c>
      <c r="M1316" s="15" t="n">
        <f aca="false">M1315+L1316</f>
        <v>1315</v>
      </c>
    </row>
    <row r="1317" customFormat="false" ht="15" hidden="false" customHeight="false" outlineLevel="0" collapsed="false">
      <c r="A1317" s="14" t="n">
        <v>1316</v>
      </c>
      <c r="B1317" s="15" t="s">
        <v>942</v>
      </c>
      <c r="C1317" s="15" t="s">
        <v>1055</v>
      </c>
      <c r="D1317" s="16" t="s">
        <v>1151</v>
      </c>
      <c r="E1317" s="16" t="s">
        <v>1154</v>
      </c>
      <c r="F1317" s="15"/>
      <c r="G1317" s="15" t="s">
        <v>1119</v>
      </c>
      <c r="H1317" s="15" t="s">
        <v>528</v>
      </c>
      <c r="I1317" s="17" t="n">
        <v>835</v>
      </c>
      <c r="J1317" s="16"/>
      <c r="K1317" s="15" t="s">
        <v>947</v>
      </c>
      <c r="L1317" s="15" t="n">
        <f aca="false">IF(AND(OR(Search!$C$4="",Search!$C$4="All",B1317=Search!$C$4),OR(Search!$C$5="",Search!$C$5="All",C1317=Search!$C$5),OR(Search!$C$6="",Search!$C$6="All",D1317=Search!$C$6),OR(Search!$C$7="",ISNUMBER(SEARCH(Search!$C$7,D1317&amp;" "&amp;E1317&amp;" "&amp;F1317&amp;" "&amp;G1317&amp;" "&amp;H1317&amp;" "&amp;J1317))),OR(Search!$C$8="",ISNUMBER(SEARCH(Search!$C$8,G1317)))),1,0)</f>
        <v>1</v>
      </c>
      <c r="M1317" s="15" t="n">
        <f aca="false">M1316+L1317</f>
        <v>1316</v>
      </c>
    </row>
    <row r="1318" customFormat="false" ht="23.85" hidden="false" customHeight="false" outlineLevel="0" collapsed="false">
      <c r="A1318" s="14" t="n">
        <v>1317</v>
      </c>
      <c r="B1318" s="15" t="s">
        <v>942</v>
      </c>
      <c r="C1318" s="15" t="s">
        <v>1055</v>
      </c>
      <c r="D1318" s="16" t="s">
        <v>1151</v>
      </c>
      <c r="E1318" s="16" t="s">
        <v>1155</v>
      </c>
      <c r="F1318" s="15"/>
      <c r="G1318" s="15" t="s">
        <v>1119</v>
      </c>
      <c r="H1318" s="15" t="s">
        <v>528</v>
      </c>
      <c r="I1318" s="17" t="n">
        <v>1001</v>
      </c>
      <c r="J1318" s="16"/>
      <c r="K1318" s="15" t="s">
        <v>947</v>
      </c>
      <c r="L1318" s="15" t="n">
        <f aca="false">IF(AND(OR(Search!$C$4="",Search!$C$4="All",B1318=Search!$C$4),OR(Search!$C$5="",Search!$C$5="All",C1318=Search!$C$5),OR(Search!$C$6="",Search!$C$6="All",D1318=Search!$C$6),OR(Search!$C$7="",ISNUMBER(SEARCH(Search!$C$7,D1318&amp;" "&amp;E1318&amp;" "&amp;F1318&amp;" "&amp;G1318&amp;" "&amp;H1318&amp;" "&amp;J1318))),OR(Search!$C$8="",ISNUMBER(SEARCH(Search!$C$8,G1318)))),1,0)</f>
        <v>1</v>
      </c>
      <c r="M1318" s="15" t="n">
        <f aca="false">M1317+L1318</f>
        <v>1317</v>
      </c>
    </row>
    <row r="1319" customFormat="false" ht="23.85" hidden="false" customHeight="false" outlineLevel="0" collapsed="false">
      <c r="A1319" s="14" t="n">
        <v>1318</v>
      </c>
      <c r="B1319" s="15" t="s">
        <v>942</v>
      </c>
      <c r="C1319" s="15" t="s">
        <v>1055</v>
      </c>
      <c r="D1319" s="16" t="s">
        <v>1156</v>
      </c>
      <c r="E1319" s="16"/>
      <c r="F1319" s="15"/>
      <c r="G1319" s="15"/>
      <c r="H1319" s="15" t="s">
        <v>631</v>
      </c>
      <c r="I1319" s="17" t="n">
        <v>501</v>
      </c>
      <c r="J1319" s="16"/>
      <c r="K1319" s="15" t="s">
        <v>947</v>
      </c>
      <c r="L1319" s="15" t="n">
        <f aca="false">IF(AND(OR(Search!$C$4="",Search!$C$4="All",B1319=Search!$C$4),OR(Search!$C$5="",Search!$C$5="All",C1319=Search!$C$5),OR(Search!$C$6="",Search!$C$6="All",D1319=Search!$C$6),OR(Search!$C$7="",ISNUMBER(SEARCH(Search!$C$7,D1319&amp;" "&amp;E1319&amp;" "&amp;F1319&amp;" "&amp;G1319&amp;" "&amp;H1319&amp;" "&amp;J1319))),OR(Search!$C$8="",ISNUMBER(SEARCH(Search!$C$8,G1319)))),1,0)</f>
        <v>1</v>
      </c>
      <c r="M1319" s="15" t="n">
        <f aca="false">M1318+L1319</f>
        <v>1318</v>
      </c>
    </row>
    <row r="1320" customFormat="false" ht="23.85" hidden="false" customHeight="false" outlineLevel="0" collapsed="false">
      <c r="A1320" s="14" t="n">
        <v>1319</v>
      </c>
      <c r="B1320" s="15" t="s">
        <v>942</v>
      </c>
      <c r="C1320" s="15" t="s">
        <v>1055</v>
      </c>
      <c r="D1320" s="16" t="s">
        <v>1157</v>
      </c>
      <c r="E1320" s="16"/>
      <c r="F1320" s="15"/>
      <c r="G1320" s="15"/>
      <c r="H1320" s="15" t="s">
        <v>631</v>
      </c>
      <c r="I1320" s="17" t="n">
        <v>501</v>
      </c>
      <c r="J1320" s="16"/>
      <c r="K1320" s="15" t="s">
        <v>947</v>
      </c>
      <c r="L1320" s="15" t="n">
        <f aca="false">IF(AND(OR(Search!$C$4="",Search!$C$4="All",B1320=Search!$C$4),OR(Search!$C$5="",Search!$C$5="All",C1320=Search!$C$5),OR(Search!$C$6="",Search!$C$6="All",D1320=Search!$C$6),OR(Search!$C$7="",ISNUMBER(SEARCH(Search!$C$7,D1320&amp;" "&amp;E1320&amp;" "&amp;F1320&amp;" "&amp;G1320&amp;" "&amp;H1320&amp;" "&amp;J1320))),OR(Search!$C$8="",ISNUMBER(SEARCH(Search!$C$8,G1320)))),1,0)</f>
        <v>1</v>
      </c>
      <c r="M1320" s="15" t="n">
        <f aca="false">M1319+L1320</f>
        <v>1319</v>
      </c>
    </row>
    <row r="1321" customFormat="false" ht="23.85" hidden="false" customHeight="false" outlineLevel="0" collapsed="false">
      <c r="A1321" s="14" t="n">
        <v>1320</v>
      </c>
      <c r="B1321" s="15" t="s">
        <v>942</v>
      </c>
      <c r="C1321" s="15" t="s">
        <v>1055</v>
      </c>
      <c r="D1321" s="16" t="s">
        <v>1158</v>
      </c>
      <c r="E1321" s="16"/>
      <c r="F1321" s="15"/>
      <c r="G1321" s="15"/>
      <c r="H1321" s="15" t="s">
        <v>631</v>
      </c>
      <c r="I1321" s="17" t="n">
        <v>506</v>
      </c>
      <c r="J1321" s="16"/>
      <c r="K1321" s="15" t="s">
        <v>947</v>
      </c>
      <c r="L1321" s="15" t="n">
        <f aca="false">IF(AND(OR(Search!$C$4="",Search!$C$4="All",B1321=Search!$C$4),OR(Search!$C$5="",Search!$C$5="All",C1321=Search!$C$5),OR(Search!$C$6="",Search!$C$6="All",D1321=Search!$C$6),OR(Search!$C$7="",ISNUMBER(SEARCH(Search!$C$7,D1321&amp;" "&amp;E1321&amp;" "&amp;F1321&amp;" "&amp;G1321&amp;" "&amp;H1321&amp;" "&amp;J1321))),OR(Search!$C$8="",ISNUMBER(SEARCH(Search!$C$8,G1321)))),1,0)</f>
        <v>1</v>
      </c>
      <c r="M1321" s="15" t="n">
        <f aca="false">M1320+L1321</f>
        <v>1320</v>
      </c>
    </row>
    <row r="1322" customFormat="false" ht="23.85" hidden="false" customHeight="false" outlineLevel="0" collapsed="false">
      <c r="A1322" s="14" t="n">
        <v>1321</v>
      </c>
      <c r="B1322" s="15" t="s">
        <v>942</v>
      </c>
      <c r="C1322" s="15" t="s">
        <v>1055</v>
      </c>
      <c r="D1322" s="16" t="s">
        <v>1159</v>
      </c>
      <c r="E1322" s="16"/>
      <c r="F1322" s="15"/>
      <c r="G1322" s="15"/>
      <c r="H1322" s="15" t="s">
        <v>631</v>
      </c>
      <c r="I1322" s="17" t="n">
        <v>506</v>
      </c>
      <c r="J1322" s="16"/>
      <c r="K1322" s="15" t="s">
        <v>947</v>
      </c>
      <c r="L1322" s="15" t="n">
        <f aca="false">IF(AND(OR(Search!$C$4="",Search!$C$4="All",B1322=Search!$C$4),OR(Search!$C$5="",Search!$C$5="All",C1322=Search!$C$5),OR(Search!$C$6="",Search!$C$6="All",D1322=Search!$C$6),OR(Search!$C$7="",ISNUMBER(SEARCH(Search!$C$7,D1322&amp;" "&amp;E1322&amp;" "&amp;F1322&amp;" "&amp;G1322&amp;" "&amp;H1322&amp;" "&amp;J1322))),OR(Search!$C$8="",ISNUMBER(SEARCH(Search!$C$8,G1322)))),1,0)</f>
        <v>1</v>
      </c>
      <c r="M1322" s="15" t="n">
        <f aca="false">M1321+L1322</f>
        <v>1321</v>
      </c>
    </row>
    <row r="1323" customFormat="false" ht="15" hidden="false" customHeight="false" outlineLevel="0" collapsed="false">
      <c r="A1323" s="14" t="n">
        <v>1322</v>
      </c>
      <c r="B1323" s="15" t="s">
        <v>942</v>
      </c>
      <c r="C1323" s="15" t="s">
        <v>1055</v>
      </c>
      <c r="D1323" s="16" t="s">
        <v>1160</v>
      </c>
      <c r="E1323" s="16"/>
      <c r="F1323" s="15"/>
      <c r="G1323" s="15"/>
      <c r="H1323" s="15" t="s">
        <v>631</v>
      </c>
      <c r="I1323" s="17" t="n">
        <v>523</v>
      </c>
      <c r="J1323" s="16"/>
      <c r="K1323" s="15" t="s">
        <v>947</v>
      </c>
      <c r="L1323" s="15" t="n">
        <f aca="false">IF(AND(OR(Search!$C$4="",Search!$C$4="All",B1323=Search!$C$4),OR(Search!$C$5="",Search!$C$5="All",C1323=Search!$C$5),OR(Search!$C$6="",Search!$C$6="All",D1323=Search!$C$6),OR(Search!$C$7="",ISNUMBER(SEARCH(Search!$C$7,D1323&amp;" "&amp;E1323&amp;" "&amp;F1323&amp;" "&amp;G1323&amp;" "&amp;H1323&amp;" "&amp;J1323))),OR(Search!$C$8="",ISNUMBER(SEARCH(Search!$C$8,G1323)))),1,0)</f>
        <v>1</v>
      </c>
      <c r="M1323" s="15" t="n">
        <f aca="false">M1322+L1323</f>
        <v>1322</v>
      </c>
    </row>
    <row r="1324" customFormat="false" ht="15" hidden="false" customHeight="false" outlineLevel="0" collapsed="false">
      <c r="A1324" s="14" t="n">
        <v>1323</v>
      </c>
      <c r="B1324" s="15" t="s">
        <v>942</v>
      </c>
      <c r="C1324" s="15" t="s">
        <v>1055</v>
      </c>
      <c r="D1324" s="16" t="s">
        <v>1161</v>
      </c>
      <c r="E1324" s="16"/>
      <c r="F1324" s="15"/>
      <c r="G1324" s="15"/>
      <c r="H1324" s="15" t="s">
        <v>631</v>
      </c>
      <c r="I1324" s="17" t="n">
        <v>523</v>
      </c>
      <c r="J1324" s="16"/>
      <c r="K1324" s="15" t="s">
        <v>947</v>
      </c>
      <c r="L1324" s="15" t="n">
        <f aca="false">IF(AND(OR(Search!$C$4="",Search!$C$4="All",B1324=Search!$C$4),OR(Search!$C$5="",Search!$C$5="All",C1324=Search!$C$5),OR(Search!$C$6="",Search!$C$6="All",D1324=Search!$C$6),OR(Search!$C$7="",ISNUMBER(SEARCH(Search!$C$7,D1324&amp;" "&amp;E1324&amp;" "&amp;F1324&amp;" "&amp;G1324&amp;" "&amp;H1324&amp;" "&amp;J1324))),OR(Search!$C$8="",ISNUMBER(SEARCH(Search!$C$8,G1324)))),1,0)</f>
        <v>1</v>
      </c>
      <c r="M1324" s="15" t="n">
        <f aca="false">M1323+L1324</f>
        <v>1323</v>
      </c>
    </row>
    <row r="1325" customFormat="false" ht="23.85" hidden="false" customHeight="false" outlineLevel="0" collapsed="false">
      <c r="A1325" s="14" t="n">
        <v>1324</v>
      </c>
      <c r="B1325" s="15" t="s">
        <v>942</v>
      </c>
      <c r="C1325" s="15" t="s">
        <v>1055</v>
      </c>
      <c r="D1325" s="16" t="s">
        <v>1162</v>
      </c>
      <c r="E1325" s="16"/>
      <c r="F1325" s="15"/>
      <c r="G1325" s="15"/>
      <c r="H1325" s="15" t="s">
        <v>631</v>
      </c>
      <c r="I1325" s="17" t="n">
        <v>523</v>
      </c>
      <c r="J1325" s="16"/>
      <c r="K1325" s="15" t="s">
        <v>947</v>
      </c>
      <c r="L1325" s="15" t="n">
        <f aca="false">IF(AND(OR(Search!$C$4="",Search!$C$4="All",B1325=Search!$C$4),OR(Search!$C$5="",Search!$C$5="All",C1325=Search!$C$5),OR(Search!$C$6="",Search!$C$6="All",D1325=Search!$C$6),OR(Search!$C$7="",ISNUMBER(SEARCH(Search!$C$7,D1325&amp;" "&amp;E1325&amp;" "&amp;F1325&amp;" "&amp;G1325&amp;" "&amp;H1325&amp;" "&amp;J1325))),OR(Search!$C$8="",ISNUMBER(SEARCH(Search!$C$8,G1325)))),1,0)</f>
        <v>1</v>
      </c>
      <c r="M1325" s="15" t="n">
        <f aca="false">M1324+L1325</f>
        <v>1324</v>
      </c>
    </row>
    <row r="1326" customFormat="false" ht="23.85" hidden="false" customHeight="false" outlineLevel="0" collapsed="false">
      <c r="A1326" s="14" t="n">
        <v>1325</v>
      </c>
      <c r="B1326" s="15" t="s">
        <v>942</v>
      </c>
      <c r="C1326" s="15" t="s">
        <v>1055</v>
      </c>
      <c r="D1326" s="16" t="s">
        <v>1163</v>
      </c>
      <c r="E1326" s="16"/>
      <c r="F1326" s="15"/>
      <c r="G1326" s="15"/>
      <c r="H1326" s="15" t="s">
        <v>631</v>
      </c>
      <c r="I1326" s="17" t="n">
        <v>523</v>
      </c>
      <c r="J1326" s="16"/>
      <c r="K1326" s="15" t="s">
        <v>947</v>
      </c>
      <c r="L1326" s="15" t="n">
        <f aca="false">IF(AND(OR(Search!$C$4="",Search!$C$4="All",B1326=Search!$C$4),OR(Search!$C$5="",Search!$C$5="All",C1326=Search!$C$5),OR(Search!$C$6="",Search!$C$6="All",D1326=Search!$C$6),OR(Search!$C$7="",ISNUMBER(SEARCH(Search!$C$7,D1326&amp;" "&amp;E1326&amp;" "&amp;F1326&amp;" "&amp;G1326&amp;" "&amp;H1326&amp;" "&amp;J1326))),OR(Search!$C$8="",ISNUMBER(SEARCH(Search!$C$8,G1326)))),1,0)</f>
        <v>1</v>
      </c>
      <c r="M1326" s="15" t="n">
        <f aca="false">M1325+L1326</f>
        <v>1325</v>
      </c>
    </row>
    <row r="1327" customFormat="false" ht="15" hidden="false" customHeight="false" outlineLevel="0" collapsed="false">
      <c r="A1327" s="14" t="n">
        <v>1326</v>
      </c>
      <c r="B1327" s="15" t="s">
        <v>942</v>
      </c>
      <c r="C1327" s="15" t="s">
        <v>1055</v>
      </c>
      <c r="D1327" s="16" t="s">
        <v>1164</v>
      </c>
      <c r="E1327" s="16"/>
      <c r="F1327" s="15"/>
      <c r="G1327" s="15"/>
      <c r="H1327" s="15" t="s">
        <v>631</v>
      </c>
      <c r="I1327" s="17" t="n">
        <v>1304</v>
      </c>
      <c r="J1327" s="16"/>
      <c r="K1327" s="15" t="s">
        <v>947</v>
      </c>
      <c r="L1327" s="15" t="n">
        <f aca="false">IF(AND(OR(Search!$C$4="",Search!$C$4="All",B1327=Search!$C$4),OR(Search!$C$5="",Search!$C$5="All",C1327=Search!$C$5),OR(Search!$C$6="",Search!$C$6="All",D1327=Search!$C$6),OR(Search!$C$7="",ISNUMBER(SEARCH(Search!$C$7,D1327&amp;" "&amp;E1327&amp;" "&amp;F1327&amp;" "&amp;G1327&amp;" "&amp;H1327&amp;" "&amp;J1327))),OR(Search!$C$8="",ISNUMBER(SEARCH(Search!$C$8,G1327)))),1,0)</f>
        <v>1</v>
      </c>
      <c r="M1327" s="15" t="n">
        <f aca="false">M1326+L1327</f>
        <v>1326</v>
      </c>
    </row>
    <row r="1328" customFormat="false" ht="15" hidden="false" customHeight="false" outlineLevel="0" collapsed="false">
      <c r="A1328" s="14" t="n">
        <v>1327</v>
      </c>
      <c r="B1328" s="15" t="s">
        <v>942</v>
      </c>
      <c r="C1328" s="15" t="s">
        <v>1055</v>
      </c>
      <c r="D1328" s="16" t="s">
        <v>1165</v>
      </c>
      <c r="E1328" s="16"/>
      <c r="F1328" s="15"/>
      <c r="G1328" s="15"/>
      <c r="H1328" s="15" t="s">
        <v>631</v>
      </c>
      <c r="I1328" s="17" t="n">
        <v>1304</v>
      </c>
      <c r="J1328" s="16"/>
      <c r="K1328" s="15" t="s">
        <v>947</v>
      </c>
      <c r="L1328" s="15" t="n">
        <f aca="false">IF(AND(OR(Search!$C$4="",Search!$C$4="All",B1328=Search!$C$4),OR(Search!$C$5="",Search!$C$5="All",C1328=Search!$C$5),OR(Search!$C$6="",Search!$C$6="All",D1328=Search!$C$6),OR(Search!$C$7="",ISNUMBER(SEARCH(Search!$C$7,D1328&amp;" "&amp;E1328&amp;" "&amp;F1328&amp;" "&amp;G1328&amp;" "&amp;H1328&amp;" "&amp;J1328))),OR(Search!$C$8="",ISNUMBER(SEARCH(Search!$C$8,G1328)))),1,0)</f>
        <v>1</v>
      </c>
      <c r="M1328" s="15" t="n">
        <f aca="false">M1327+L1328</f>
        <v>1327</v>
      </c>
    </row>
    <row r="1329" customFormat="false" ht="15" hidden="false" customHeight="false" outlineLevel="0" collapsed="false">
      <c r="A1329" s="14" t="n">
        <v>1328</v>
      </c>
      <c r="B1329" s="15" t="s">
        <v>942</v>
      </c>
      <c r="C1329" s="15" t="s">
        <v>1055</v>
      </c>
      <c r="D1329" s="16" t="s">
        <v>1166</v>
      </c>
      <c r="E1329" s="16"/>
      <c r="F1329" s="15"/>
      <c r="G1329" s="15"/>
      <c r="H1329" s="15" t="s">
        <v>631</v>
      </c>
      <c r="I1329" s="17" t="n">
        <v>1304</v>
      </c>
      <c r="J1329" s="16"/>
      <c r="K1329" s="15" t="s">
        <v>947</v>
      </c>
      <c r="L1329" s="15" t="n">
        <f aca="false">IF(AND(OR(Search!$C$4="",Search!$C$4="All",B1329=Search!$C$4),OR(Search!$C$5="",Search!$C$5="All",C1329=Search!$C$5),OR(Search!$C$6="",Search!$C$6="All",D1329=Search!$C$6),OR(Search!$C$7="",ISNUMBER(SEARCH(Search!$C$7,D1329&amp;" "&amp;E1329&amp;" "&amp;F1329&amp;" "&amp;G1329&amp;" "&amp;H1329&amp;" "&amp;J1329))),OR(Search!$C$8="",ISNUMBER(SEARCH(Search!$C$8,G1329)))),1,0)</f>
        <v>1</v>
      </c>
      <c r="M1329" s="15" t="n">
        <f aca="false">M1328+L1329</f>
        <v>1328</v>
      </c>
    </row>
    <row r="1330" customFormat="false" ht="23.85" hidden="false" customHeight="false" outlineLevel="0" collapsed="false">
      <c r="A1330" s="14" t="n">
        <v>1329</v>
      </c>
      <c r="B1330" s="15" t="s">
        <v>942</v>
      </c>
      <c r="C1330" s="15" t="s">
        <v>1055</v>
      </c>
      <c r="D1330" s="16" t="s">
        <v>1167</v>
      </c>
      <c r="E1330" s="16"/>
      <c r="F1330" s="15"/>
      <c r="G1330" s="15"/>
      <c r="H1330" s="15" t="s">
        <v>631</v>
      </c>
      <c r="I1330" s="17" t="n">
        <v>1304</v>
      </c>
      <c r="J1330" s="16"/>
      <c r="K1330" s="15" t="s">
        <v>947</v>
      </c>
      <c r="L1330" s="15" t="n">
        <f aca="false">IF(AND(OR(Search!$C$4="",Search!$C$4="All",B1330=Search!$C$4),OR(Search!$C$5="",Search!$C$5="All",C1330=Search!$C$5),OR(Search!$C$6="",Search!$C$6="All",D1330=Search!$C$6),OR(Search!$C$7="",ISNUMBER(SEARCH(Search!$C$7,D1330&amp;" "&amp;E1330&amp;" "&amp;F1330&amp;" "&amp;G1330&amp;" "&amp;H1330&amp;" "&amp;J1330))),OR(Search!$C$8="",ISNUMBER(SEARCH(Search!$C$8,G1330)))),1,0)</f>
        <v>1</v>
      </c>
      <c r="M1330" s="15" t="n">
        <f aca="false">M1329+L1330</f>
        <v>1329</v>
      </c>
    </row>
    <row r="1331" customFormat="false" ht="15" hidden="false" customHeight="false" outlineLevel="0" collapsed="false">
      <c r="A1331" s="14" t="n">
        <v>1330</v>
      </c>
      <c r="B1331" s="15" t="s">
        <v>942</v>
      </c>
      <c r="C1331" s="15" t="s">
        <v>1055</v>
      </c>
      <c r="D1331" s="16" t="s">
        <v>1168</v>
      </c>
      <c r="E1331" s="16"/>
      <c r="F1331" s="15"/>
      <c r="G1331" s="15"/>
      <c r="H1331" s="15" t="s">
        <v>631</v>
      </c>
      <c r="I1331" s="17" t="n">
        <v>1909</v>
      </c>
      <c r="J1331" s="16"/>
      <c r="K1331" s="15" t="s">
        <v>947</v>
      </c>
      <c r="L1331" s="15" t="n">
        <f aca="false">IF(AND(OR(Search!$C$4="",Search!$C$4="All",B1331=Search!$C$4),OR(Search!$C$5="",Search!$C$5="All",C1331=Search!$C$5),OR(Search!$C$6="",Search!$C$6="All",D1331=Search!$C$6),OR(Search!$C$7="",ISNUMBER(SEARCH(Search!$C$7,D1331&amp;" "&amp;E1331&amp;" "&amp;F1331&amp;" "&amp;G1331&amp;" "&amp;H1331&amp;" "&amp;J1331))),OR(Search!$C$8="",ISNUMBER(SEARCH(Search!$C$8,G1331)))),1,0)</f>
        <v>1</v>
      </c>
      <c r="M1331" s="15" t="n">
        <f aca="false">M1330+L1331</f>
        <v>1330</v>
      </c>
    </row>
    <row r="1332" customFormat="false" ht="15" hidden="false" customHeight="false" outlineLevel="0" collapsed="false">
      <c r="A1332" s="14" t="n">
        <v>1331</v>
      </c>
      <c r="B1332" s="15" t="s">
        <v>1169</v>
      </c>
      <c r="C1332" s="15" t="s">
        <v>1170</v>
      </c>
      <c r="D1332" s="16" t="s">
        <v>1171</v>
      </c>
      <c r="E1332" s="16"/>
      <c r="F1332" s="15"/>
      <c r="G1332" s="15"/>
      <c r="H1332" s="15"/>
      <c r="I1332" s="17"/>
      <c r="J1332" s="16" t="s">
        <v>1172</v>
      </c>
      <c r="K1332" s="15" t="s">
        <v>1173</v>
      </c>
      <c r="L1332" s="15" t="n">
        <f aca="false">IF(AND(OR(Search!$C$4="",Search!$C$4="All",B1332=Search!$C$4),OR(Search!$C$5="",Search!$C$5="All",C1332=Search!$C$5),OR(Search!$C$6="",Search!$C$6="All",D1332=Search!$C$6),OR(Search!$C$7="",ISNUMBER(SEARCH(Search!$C$7,D1332&amp;" "&amp;E1332&amp;" "&amp;F1332&amp;" "&amp;G1332&amp;" "&amp;H1332&amp;" "&amp;J1332))),OR(Search!$C$8="",ISNUMBER(SEARCH(Search!$C$8,G1332)))),1,0)</f>
        <v>1</v>
      </c>
      <c r="M1332" s="15" t="n">
        <f aca="false">M1331+L1332</f>
        <v>1331</v>
      </c>
    </row>
    <row r="1333" customFormat="false" ht="15" hidden="false" customHeight="false" outlineLevel="0" collapsed="false">
      <c r="A1333" s="14" t="n">
        <v>1332</v>
      </c>
      <c r="B1333" s="15" t="s">
        <v>1169</v>
      </c>
      <c r="C1333" s="15" t="s">
        <v>1170</v>
      </c>
      <c r="D1333" s="16" t="s">
        <v>1174</v>
      </c>
      <c r="E1333" s="16"/>
      <c r="F1333" s="15"/>
      <c r="G1333" s="15"/>
      <c r="H1333" s="15"/>
      <c r="I1333" s="17"/>
      <c r="J1333" s="16" t="s">
        <v>1172</v>
      </c>
      <c r="K1333" s="15" t="s">
        <v>1173</v>
      </c>
      <c r="L1333" s="15" t="n">
        <f aca="false">IF(AND(OR(Search!$C$4="",Search!$C$4="All",B1333=Search!$C$4),OR(Search!$C$5="",Search!$C$5="All",C1333=Search!$C$5),OR(Search!$C$6="",Search!$C$6="All",D1333=Search!$C$6),OR(Search!$C$7="",ISNUMBER(SEARCH(Search!$C$7,D1333&amp;" "&amp;E1333&amp;" "&amp;F1333&amp;" "&amp;G1333&amp;" "&amp;H1333&amp;" "&amp;J1333))),OR(Search!$C$8="",ISNUMBER(SEARCH(Search!$C$8,G1333)))),1,0)</f>
        <v>1</v>
      </c>
      <c r="M1333" s="15" t="n">
        <f aca="false">M1332+L1333</f>
        <v>1332</v>
      </c>
    </row>
    <row r="1334" customFormat="false" ht="15" hidden="false" customHeight="false" outlineLevel="0" collapsed="false">
      <c r="A1334" s="14" t="n">
        <v>1333</v>
      </c>
      <c r="B1334" s="15" t="s">
        <v>1169</v>
      </c>
      <c r="C1334" s="15" t="s">
        <v>1170</v>
      </c>
      <c r="D1334" s="16" t="s">
        <v>1175</v>
      </c>
      <c r="E1334" s="16"/>
      <c r="F1334" s="15"/>
      <c r="G1334" s="15"/>
      <c r="H1334" s="15"/>
      <c r="I1334" s="17"/>
      <c r="J1334" s="16" t="s">
        <v>1172</v>
      </c>
      <c r="K1334" s="15" t="s">
        <v>1173</v>
      </c>
      <c r="L1334" s="15" t="n">
        <f aca="false">IF(AND(OR(Search!$C$4="",Search!$C$4="All",B1334=Search!$C$4),OR(Search!$C$5="",Search!$C$5="All",C1334=Search!$C$5),OR(Search!$C$6="",Search!$C$6="All",D1334=Search!$C$6),OR(Search!$C$7="",ISNUMBER(SEARCH(Search!$C$7,D1334&amp;" "&amp;E1334&amp;" "&amp;F1334&amp;" "&amp;G1334&amp;" "&amp;H1334&amp;" "&amp;J1334))),OR(Search!$C$8="",ISNUMBER(SEARCH(Search!$C$8,G1334)))),1,0)</f>
        <v>1</v>
      </c>
      <c r="M1334" s="15" t="n">
        <f aca="false">M1333+L1334</f>
        <v>1333</v>
      </c>
    </row>
    <row r="1335" customFormat="false" ht="15" hidden="false" customHeight="false" outlineLevel="0" collapsed="false">
      <c r="A1335" s="14" t="n">
        <v>1334</v>
      </c>
      <c r="B1335" s="15" t="s">
        <v>1169</v>
      </c>
      <c r="C1335" s="15" t="s">
        <v>1170</v>
      </c>
      <c r="D1335" s="16" t="s">
        <v>1176</v>
      </c>
      <c r="E1335" s="16"/>
      <c r="F1335" s="15"/>
      <c r="G1335" s="15"/>
      <c r="H1335" s="15"/>
      <c r="I1335" s="17"/>
      <c r="J1335" s="16" t="s">
        <v>1172</v>
      </c>
      <c r="K1335" s="15" t="s">
        <v>1173</v>
      </c>
      <c r="L1335" s="15" t="n">
        <f aca="false">IF(AND(OR(Search!$C$4="",Search!$C$4="All",B1335=Search!$C$4),OR(Search!$C$5="",Search!$C$5="All",C1335=Search!$C$5),OR(Search!$C$6="",Search!$C$6="All",D1335=Search!$C$6),OR(Search!$C$7="",ISNUMBER(SEARCH(Search!$C$7,D1335&amp;" "&amp;E1335&amp;" "&amp;F1335&amp;" "&amp;G1335&amp;" "&amp;H1335&amp;" "&amp;J1335))),OR(Search!$C$8="",ISNUMBER(SEARCH(Search!$C$8,G1335)))),1,0)</f>
        <v>1</v>
      </c>
      <c r="M1335" s="15" t="n">
        <f aca="false">M1334+L1335</f>
        <v>1334</v>
      </c>
    </row>
    <row r="1336" customFormat="false" ht="15" hidden="false" customHeight="false" outlineLevel="0" collapsed="false">
      <c r="A1336" s="14" t="n">
        <v>1335</v>
      </c>
      <c r="B1336" s="15" t="s">
        <v>1169</v>
      </c>
      <c r="C1336" s="15" t="s">
        <v>1170</v>
      </c>
      <c r="D1336" s="16" t="s">
        <v>1177</v>
      </c>
      <c r="E1336" s="16"/>
      <c r="F1336" s="15"/>
      <c r="G1336" s="15"/>
      <c r="H1336" s="15"/>
      <c r="I1336" s="17"/>
      <c r="J1336" s="16" t="s">
        <v>1172</v>
      </c>
      <c r="K1336" s="15" t="s">
        <v>1173</v>
      </c>
      <c r="L1336" s="15" t="n">
        <f aca="false">IF(AND(OR(Search!$C$4="",Search!$C$4="All",B1336=Search!$C$4),OR(Search!$C$5="",Search!$C$5="All",C1336=Search!$C$5),OR(Search!$C$6="",Search!$C$6="All",D1336=Search!$C$6),OR(Search!$C$7="",ISNUMBER(SEARCH(Search!$C$7,D1336&amp;" "&amp;E1336&amp;" "&amp;F1336&amp;" "&amp;G1336&amp;" "&amp;H1336&amp;" "&amp;J1336))),OR(Search!$C$8="",ISNUMBER(SEARCH(Search!$C$8,G1336)))),1,0)</f>
        <v>1</v>
      </c>
      <c r="M1336" s="15" t="n">
        <f aca="false">M1335+L1336</f>
        <v>1335</v>
      </c>
    </row>
    <row r="1337" customFormat="false" ht="15" hidden="false" customHeight="false" outlineLevel="0" collapsed="false">
      <c r="A1337" s="14" t="n">
        <v>1336</v>
      </c>
      <c r="B1337" s="15" t="s">
        <v>1169</v>
      </c>
      <c r="C1337" s="15" t="s">
        <v>1170</v>
      </c>
      <c r="D1337" s="16" t="s">
        <v>1178</v>
      </c>
      <c r="E1337" s="16"/>
      <c r="F1337" s="15"/>
      <c r="G1337" s="15"/>
      <c r="H1337" s="15"/>
      <c r="I1337" s="17"/>
      <c r="J1337" s="16" t="s">
        <v>1172</v>
      </c>
      <c r="K1337" s="15" t="s">
        <v>1173</v>
      </c>
      <c r="L1337" s="15" t="n">
        <f aca="false">IF(AND(OR(Search!$C$4="",Search!$C$4="All",B1337=Search!$C$4),OR(Search!$C$5="",Search!$C$5="All",C1337=Search!$C$5),OR(Search!$C$6="",Search!$C$6="All",D1337=Search!$C$6),OR(Search!$C$7="",ISNUMBER(SEARCH(Search!$C$7,D1337&amp;" "&amp;E1337&amp;" "&amp;F1337&amp;" "&amp;G1337&amp;" "&amp;H1337&amp;" "&amp;J1337))),OR(Search!$C$8="",ISNUMBER(SEARCH(Search!$C$8,G1337)))),1,0)</f>
        <v>1</v>
      </c>
      <c r="M1337" s="15" t="n">
        <f aca="false">M1336+L1337</f>
        <v>1336</v>
      </c>
    </row>
    <row r="1338" customFormat="false" ht="15" hidden="false" customHeight="false" outlineLevel="0" collapsed="false">
      <c r="A1338" s="14" t="n">
        <v>1337</v>
      </c>
      <c r="B1338" s="15" t="s">
        <v>1169</v>
      </c>
      <c r="C1338" s="15" t="s">
        <v>1170</v>
      </c>
      <c r="D1338" s="16" t="s">
        <v>1179</v>
      </c>
      <c r="E1338" s="16"/>
      <c r="F1338" s="15"/>
      <c r="G1338" s="15"/>
      <c r="H1338" s="15"/>
      <c r="I1338" s="17"/>
      <c r="J1338" s="16" t="s">
        <v>1172</v>
      </c>
      <c r="K1338" s="15" t="s">
        <v>1173</v>
      </c>
      <c r="L1338" s="15" t="n">
        <f aca="false">IF(AND(OR(Search!$C$4="",Search!$C$4="All",B1338=Search!$C$4),OR(Search!$C$5="",Search!$C$5="All",C1338=Search!$C$5),OR(Search!$C$6="",Search!$C$6="All",D1338=Search!$C$6),OR(Search!$C$7="",ISNUMBER(SEARCH(Search!$C$7,D1338&amp;" "&amp;E1338&amp;" "&amp;F1338&amp;" "&amp;G1338&amp;" "&amp;H1338&amp;" "&amp;J1338))),OR(Search!$C$8="",ISNUMBER(SEARCH(Search!$C$8,G1338)))),1,0)</f>
        <v>1</v>
      </c>
      <c r="M1338" s="15" t="n">
        <f aca="false">M1337+L1338</f>
        <v>1337</v>
      </c>
    </row>
    <row r="1339" customFormat="false" ht="15" hidden="false" customHeight="false" outlineLevel="0" collapsed="false">
      <c r="A1339" s="14" t="n">
        <v>1338</v>
      </c>
      <c r="B1339" s="15" t="s">
        <v>1169</v>
      </c>
      <c r="C1339" s="15" t="s">
        <v>1170</v>
      </c>
      <c r="D1339" s="16" t="s">
        <v>1180</v>
      </c>
      <c r="E1339" s="16"/>
      <c r="F1339" s="15"/>
      <c r="G1339" s="15"/>
      <c r="H1339" s="15"/>
      <c r="I1339" s="17"/>
      <c r="J1339" s="16" t="s">
        <v>1172</v>
      </c>
      <c r="K1339" s="15" t="s">
        <v>1173</v>
      </c>
      <c r="L1339" s="15" t="n">
        <f aca="false">IF(AND(OR(Search!$C$4="",Search!$C$4="All",B1339=Search!$C$4),OR(Search!$C$5="",Search!$C$5="All",C1339=Search!$C$5),OR(Search!$C$6="",Search!$C$6="All",D1339=Search!$C$6),OR(Search!$C$7="",ISNUMBER(SEARCH(Search!$C$7,D1339&amp;" "&amp;E1339&amp;" "&amp;F1339&amp;" "&amp;G1339&amp;" "&amp;H1339&amp;" "&amp;J1339))),OR(Search!$C$8="",ISNUMBER(SEARCH(Search!$C$8,G1339)))),1,0)</f>
        <v>1</v>
      </c>
      <c r="M1339" s="15" t="n">
        <f aca="false">M1338+L1339</f>
        <v>1338</v>
      </c>
    </row>
    <row r="1340" customFormat="false" ht="15" hidden="false" customHeight="false" outlineLevel="0" collapsed="false">
      <c r="A1340" s="14" t="n">
        <v>1339</v>
      </c>
      <c r="B1340" s="15" t="s">
        <v>1169</v>
      </c>
      <c r="C1340" s="15" t="s">
        <v>1170</v>
      </c>
      <c r="D1340" s="16" t="s">
        <v>1181</v>
      </c>
      <c r="E1340" s="16"/>
      <c r="F1340" s="15"/>
      <c r="G1340" s="15"/>
      <c r="H1340" s="15"/>
      <c r="I1340" s="17"/>
      <c r="J1340" s="16" t="s">
        <v>1172</v>
      </c>
      <c r="K1340" s="15" t="s">
        <v>1173</v>
      </c>
      <c r="L1340" s="15" t="n">
        <f aca="false">IF(AND(OR(Search!$C$4="",Search!$C$4="All",B1340=Search!$C$4),OR(Search!$C$5="",Search!$C$5="All",C1340=Search!$C$5),OR(Search!$C$6="",Search!$C$6="All",D1340=Search!$C$6),OR(Search!$C$7="",ISNUMBER(SEARCH(Search!$C$7,D1340&amp;" "&amp;E1340&amp;" "&amp;F1340&amp;" "&amp;G1340&amp;" "&amp;H1340&amp;" "&amp;J1340))),OR(Search!$C$8="",ISNUMBER(SEARCH(Search!$C$8,G1340)))),1,0)</f>
        <v>1</v>
      </c>
      <c r="M1340" s="15" t="n">
        <f aca="false">M1339+L1340</f>
        <v>1339</v>
      </c>
    </row>
    <row r="1341" customFormat="false" ht="15" hidden="false" customHeight="false" outlineLevel="0" collapsed="false">
      <c r="A1341" s="14" t="n">
        <v>1340</v>
      </c>
      <c r="B1341" s="15" t="s">
        <v>1169</v>
      </c>
      <c r="C1341" s="15" t="s">
        <v>1170</v>
      </c>
      <c r="D1341" s="16" t="s">
        <v>1182</v>
      </c>
      <c r="E1341" s="16"/>
      <c r="F1341" s="15"/>
      <c r="G1341" s="15"/>
      <c r="H1341" s="15"/>
      <c r="I1341" s="17"/>
      <c r="J1341" s="16" t="s">
        <v>1172</v>
      </c>
      <c r="K1341" s="15" t="s">
        <v>1173</v>
      </c>
      <c r="L1341" s="15" t="n">
        <f aca="false">IF(AND(OR(Search!$C$4="",Search!$C$4="All",B1341=Search!$C$4),OR(Search!$C$5="",Search!$C$5="All",C1341=Search!$C$5),OR(Search!$C$6="",Search!$C$6="All",D1341=Search!$C$6),OR(Search!$C$7="",ISNUMBER(SEARCH(Search!$C$7,D1341&amp;" "&amp;E1341&amp;" "&amp;F1341&amp;" "&amp;G1341&amp;" "&amp;H1341&amp;" "&amp;J1341))),OR(Search!$C$8="",ISNUMBER(SEARCH(Search!$C$8,G1341)))),1,0)</f>
        <v>1</v>
      </c>
      <c r="M1341" s="15" t="n">
        <f aca="false">M1340+L1341</f>
        <v>1340</v>
      </c>
    </row>
    <row r="1342" customFormat="false" ht="15" hidden="false" customHeight="false" outlineLevel="0" collapsed="false">
      <c r="A1342" s="14" t="n">
        <v>1341</v>
      </c>
      <c r="B1342" s="15" t="s">
        <v>1169</v>
      </c>
      <c r="C1342" s="15" t="s">
        <v>1170</v>
      </c>
      <c r="D1342" s="16" t="s">
        <v>1183</v>
      </c>
      <c r="E1342" s="16"/>
      <c r="F1342" s="15"/>
      <c r="G1342" s="15"/>
      <c r="H1342" s="15"/>
      <c r="I1342" s="17"/>
      <c r="J1342" s="16" t="s">
        <v>1172</v>
      </c>
      <c r="K1342" s="15" t="s">
        <v>1173</v>
      </c>
      <c r="L1342" s="15" t="n">
        <f aca="false">IF(AND(OR(Search!$C$4="",Search!$C$4="All",B1342=Search!$C$4),OR(Search!$C$5="",Search!$C$5="All",C1342=Search!$C$5),OR(Search!$C$6="",Search!$C$6="All",D1342=Search!$C$6),OR(Search!$C$7="",ISNUMBER(SEARCH(Search!$C$7,D1342&amp;" "&amp;E1342&amp;" "&amp;F1342&amp;" "&amp;G1342&amp;" "&amp;H1342&amp;" "&amp;J1342))),OR(Search!$C$8="",ISNUMBER(SEARCH(Search!$C$8,G1342)))),1,0)</f>
        <v>1</v>
      </c>
      <c r="M1342" s="15" t="n">
        <f aca="false">M1341+L1342</f>
        <v>1341</v>
      </c>
    </row>
    <row r="1343" customFormat="false" ht="15" hidden="false" customHeight="false" outlineLevel="0" collapsed="false">
      <c r="A1343" s="14" t="n">
        <v>1342</v>
      </c>
      <c r="B1343" s="15" t="s">
        <v>1169</v>
      </c>
      <c r="C1343" s="15" t="s">
        <v>1170</v>
      </c>
      <c r="D1343" s="16" t="s">
        <v>1184</v>
      </c>
      <c r="E1343" s="16"/>
      <c r="F1343" s="15"/>
      <c r="G1343" s="15"/>
      <c r="H1343" s="15"/>
      <c r="I1343" s="17"/>
      <c r="J1343" s="16" t="s">
        <v>1172</v>
      </c>
      <c r="K1343" s="15" t="s">
        <v>1173</v>
      </c>
      <c r="L1343" s="15" t="n">
        <f aca="false">IF(AND(OR(Search!$C$4="",Search!$C$4="All",B1343=Search!$C$4),OR(Search!$C$5="",Search!$C$5="All",C1343=Search!$C$5),OR(Search!$C$6="",Search!$C$6="All",D1343=Search!$C$6),OR(Search!$C$7="",ISNUMBER(SEARCH(Search!$C$7,D1343&amp;" "&amp;E1343&amp;" "&amp;F1343&amp;" "&amp;G1343&amp;" "&amp;H1343&amp;" "&amp;J1343))),OR(Search!$C$8="",ISNUMBER(SEARCH(Search!$C$8,G1343)))),1,0)</f>
        <v>1</v>
      </c>
      <c r="M1343" s="15" t="n">
        <f aca="false">M1342+L1343</f>
        <v>1342</v>
      </c>
    </row>
    <row r="1344" customFormat="false" ht="15" hidden="false" customHeight="false" outlineLevel="0" collapsed="false">
      <c r="A1344" s="14" t="n">
        <v>1343</v>
      </c>
      <c r="B1344" s="15" t="s">
        <v>1169</v>
      </c>
      <c r="C1344" s="15" t="s">
        <v>1170</v>
      </c>
      <c r="D1344" s="16" t="s">
        <v>1185</v>
      </c>
      <c r="E1344" s="16"/>
      <c r="F1344" s="15"/>
      <c r="G1344" s="15"/>
      <c r="H1344" s="15"/>
      <c r="I1344" s="17"/>
      <c r="J1344" s="16" t="s">
        <v>1172</v>
      </c>
      <c r="K1344" s="15" t="s">
        <v>1173</v>
      </c>
      <c r="L1344" s="15" t="n">
        <f aca="false">IF(AND(OR(Search!$C$4="",Search!$C$4="All",B1344=Search!$C$4),OR(Search!$C$5="",Search!$C$5="All",C1344=Search!$C$5),OR(Search!$C$6="",Search!$C$6="All",D1344=Search!$C$6),OR(Search!$C$7="",ISNUMBER(SEARCH(Search!$C$7,D1344&amp;" "&amp;E1344&amp;" "&amp;F1344&amp;" "&amp;G1344&amp;" "&amp;H1344&amp;" "&amp;J1344))),OR(Search!$C$8="",ISNUMBER(SEARCH(Search!$C$8,G1344)))),1,0)</f>
        <v>1</v>
      </c>
      <c r="M1344" s="15" t="n">
        <f aca="false">M1343+L1344</f>
        <v>1343</v>
      </c>
    </row>
    <row r="1345" customFormat="false" ht="15" hidden="false" customHeight="false" outlineLevel="0" collapsed="false">
      <c r="A1345" s="14" t="n">
        <v>1344</v>
      </c>
      <c r="B1345" s="15" t="s">
        <v>1169</v>
      </c>
      <c r="C1345" s="15" t="s">
        <v>1170</v>
      </c>
      <c r="D1345" s="16" t="s">
        <v>293</v>
      </c>
      <c r="E1345" s="16"/>
      <c r="F1345" s="15"/>
      <c r="G1345" s="15"/>
      <c r="H1345" s="15"/>
      <c r="I1345" s="17"/>
      <c r="J1345" s="16" t="s">
        <v>1172</v>
      </c>
      <c r="K1345" s="15" t="s">
        <v>1173</v>
      </c>
      <c r="L1345" s="15" t="n">
        <f aca="false">IF(AND(OR(Search!$C$4="",Search!$C$4="All",B1345=Search!$C$4),OR(Search!$C$5="",Search!$C$5="All",C1345=Search!$C$5),OR(Search!$C$6="",Search!$C$6="All",D1345=Search!$C$6),OR(Search!$C$7="",ISNUMBER(SEARCH(Search!$C$7,D1345&amp;" "&amp;E1345&amp;" "&amp;F1345&amp;" "&amp;G1345&amp;" "&amp;H1345&amp;" "&amp;J1345))),OR(Search!$C$8="",ISNUMBER(SEARCH(Search!$C$8,G1345)))),1,0)</f>
        <v>1</v>
      </c>
      <c r="M1345" s="15" t="n">
        <f aca="false">M1344+L1345</f>
        <v>1344</v>
      </c>
    </row>
    <row r="1346" customFormat="false" ht="15" hidden="false" customHeight="false" outlineLevel="0" collapsed="false">
      <c r="A1346" s="14" t="n">
        <v>1345</v>
      </c>
      <c r="B1346" s="15" t="s">
        <v>1169</v>
      </c>
      <c r="C1346" s="15" t="s">
        <v>1170</v>
      </c>
      <c r="D1346" s="16" t="s">
        <v>1186</v>
      </c>
      <c r="E1346" s="16"/>
      <c r="F1346" s="15"/>
      <c r="G1346" s="15"/>
      <c r="H1346" s="15"/>
      <c r="I1346" s="17"/>
      <c r="J1346" s="16" t="s">
        <v>1172</v>
      </c>
      <c r="K1346" s="15" t="s">
        <v>1173</v>
      </c>
      <c r="L1346" s="15" t="n">
        <f aca="false">IF(AND(OR(Search!$C$4="",Search!$C$4="All",B1346=Search!$C$4),OR(Search!$C$5="",Search!$C$5="All",C1346=Search!$C$5),OR(Search!$C$6="",Search!$C$6="All",D1346=Search!$C$6),OR(Search!$C$7="",ISNUMBER(SEARCH(Search!$C$7,D1346&amp;" "&amp;E1346&amp;" "&amp;F1346&amp;" "&amp;G1346&amp;" "&amp;H1346&amp;" "&amp;J1346))),OR(Search!$C$8="",ISNUMBER(SEARCH(Search!$C$8,G1346)))),1,0)</f>
        <v>1</v>
      </c>
      <c r="M1346" s="15" t="n">
        <f aca="false">M1345+L1346</f>
        <v>1345</v>
      </c>
    </row>
    <row r="1347" customFormat="false" ht="15" hidden="false" customHeight="false" outlineLevel="0" collapsed="false">
      <c r="A1347" s="14" t="n">
        <v>1346</v>
      </c>
      <c r="B1347" s="15" t="s">
        <v>1169</v>
      </c>
      <c r="C1347" s="15" t="s">
        <v>1170</v>
      </c>
      <c r="D1347" s="16" t="s">
        <v>1187</v>
      </c>
      <c r="E1347" s="16"/>
      <c r="F1347" s="15"/>
      <c r="G1347" s="15"/>
      <c r="H1347" s="15"/>
      <c r="I1347" s="17"/>
      <c r="J1347" s="16" t="s">
        <v>1172</v>
      </c>
      <c r="K1347" s="15" t="s">
        <v>1173</v>
      </c>
      <c r="L1347" s="15" t="n">
        <f aca="false">IF(AND(OR(Search!$C$4="",Search!$C$4="All",B1347=Search!$C$4),OR(Search!$C$5="",Search!$C$5="All",C1347=Search!$C$5),OR(Search!$C$6="",Search!$C$6="All",D1347=Search!$C$6),OR(Search!$C$7="",ISNUMBER(SEARCH(Search!$C$7,D1347&amp;" "&amp;E1347&amp;" "&amp;F1347&amp;" "&amp;G1347&amp;" "&amp;H1347&amp;" "&amp;J1347))),OR(Search!$C$8="",ISNUMBER(SEARCH(Search!$C$8,G1347)))),1,0)</f>
        <v>1</v>
      </c>
      <c r="M1347" s="15" t="n">
        <f aca="false">M1346+L1347</f>
        <v>1346</v>
      </c>
    </row>
    <row r="1348" customFormat="false" ht="15" hidden="false" customHeight="false" outlineLevel="0" collapsed="false">
      <c r="A1348" s="14" t="n">
        <v>1347</v>
      </c>
      <c r="B1348" s="15" t="s">
        <v>1169</v>
      </c>
      <c r="C1348" s="15" t="s">
        <v>1188</v>
      </c>
      <c r="D1348" s="16" t="s">
        <v>1189</v>
      </c>
      <c r="E1348" s="16"/>
      <c r="F1348" s="15"/>
      <c r="G1348" s="15"/>
      <c r="H1348" s="15"/>
      <c r="I1348" s="17"/>
      <c r="J1348" s="16" t="s">
        <v>1172</v>
      </c>
      <c r="K1348" s="15" t="s">
        <v>1173</v>
      </c>
      <c r="L1348" s="15" t="n">
        <f aca="false">IF(AND(OR(Search!$C$4="",Search!$C$4="All",B1348=Search!$C$4),OR(Search!$C$5="",Search!$C$5="All",C1348=Search!$C$5),OR(Search!$C$6="",Search!$C$6="All",D1348=Search!$C$6),OR(Search!$C$7="",ISNUMBER(SEARCH(Search!$C$7,D1348&amp;" "&amp;E1348&amp;" "&amp;F1348&amp;" "&amp;G1348&amp;" "&amp;H1348&amp;" "&amp;J1348))),OR(Search!$C$8="",ISNUMBER(SEARCH(Search!$C$8,G1348)))),1,0)</f>
        <v>1</v>
      </c>
      <c r="M1348" s="15" t="n">
        <f aca="false">M1347+L1348</f>
        <v>1347</v>
      </c>
    </row>
    <row r="1349" customFormat="false" ht="15" hidden="false" customHeight="false" outlineLevel="0" collapsed="false">
      <c r="A1349" s="14" t="n">
        <v>1348</v>
      </c>
      <c r="B1349" s="15" t="s">
        <v>1169</v>
      </c>
      <c r="C1349" s="15" t="s">
        <v>1188</v>
      </c>
      <c r="D1349" s="16" t="s">
        <v>1190</v>
      </c>
      <c r="E1349" s="16"/>
      <c r="F1349" s="15"/>
      <c r="G1349" s="15"/>
      <c r="H1349" s="15"/>
      <c r="I1349" s="17"/>
      <c r="J1349" s="16" t="s">
        <v>1172</v>
      </c>
      <c r="K1349" s="15" t="s">
        <v>1173</v>
      </c>
      <c r="L1349" s="15" t="n">
        <f aca="false">IF(AND(OR(Search!$C$4="",Search!$C$4="All",B1349=Search!$C$4),OR(Search!$C$5="",Search!$C$5="All",C1349=Search!$C$5),OR(Search!$C$6="",Search!$C$6="All",D1349=Search!$C$6),OR(Search!$C$7="",ISNUMBER(SEARCH(Search!$C$7,D1349&amp;" "&amp;E1349&amp;" "&amp;F1349&amp;" "&amp;G1349&amp;" "&amp;H1349&amp;" "&amp;J1349))),OR(Search!$C$8="",ISNUMBER(SEARCH(Search!$C$8,G1349)))),1,0)</f>
        <v>1</v>
      </c>
      <c r="M1349" s="15" t="n">
        <f aca="false">M1348+L1349</f>
        <v>1348</v>
      </c>
    </row>
    <row r="1350" customFormat="false" ht="15" hidden="false" customHeight="false" outlineLevel="0" collapsed="false">
      <c r="A1350" s="14" t="n">
        <v>1349</v>
      </c>
      <c r="B1350" s="15" t="s">
        <v>1169</v>
      </c>
      <c r="C1350" s="15" t="s">
        <v>1188</v>
      </c>
      <c r="D1350" s="16" t="s">
        <v>1191</v>
      </c>
      <c r="E1350" s="16"/>
      <c r="F1350" s="15"/>
      <c r="G1350" s="15"/>
      <c r="H1350" s="15"/>
      <c r="I1350" s="17"/>
      <c r="J1350" s="16" t="s">
        <v>1172</v>
      </c>
      <c r="K1350" s="15" t="s">
        <v>1173</v>
      </c>
      <c r="L1350" s="15" t="n">
        <f aca="false">IF(AND(OR(Search!$C$4="",Search!$C$4="All",B1350=Search!$C$4),OR(Search!$C$5="",Search!$C$5="All",C1350=Search!$C$5),OR(Search!$C$6="",Search!$C$6="All",D1350=Search!$C$6),OR(Search!$C$7="",ISNUMBER(SEARCH(Search!$C$7,D1350&amp;" "&amp;E1350&amp;" "&amp;F1350&amp;" "&amp;G1350&amp;" "&amp;H1350&amp;" "&amp;J1350))),OR(Search!$C$8="",ISNUMBER(SEARCH(Search!$C$8,G1350)))),1,0)</f>
        <v>1</v>
      </c>
      <c r="M1350" s="15" t="n">
        <f aca="false">M1349+L1350</f>
        <v>1349</v>
      </c>
    </row>
    <row r="1351" customFormat="false" ht="15" hidden="false" customHeight="false" outlineLevel="0" collapsed="false">
      <c r="A1351" s="14" t="n">
        <v>1350</v>
      </c>
      <c r="B1351" s="15" t="s">
        <v>1169</v>
      </c>
      <c r="C1351" s="15" t="s">
        <v>1188</v>
      </c>
      <c r="D1351" s="16" t="s">
        <v>1192</v>
      </c>
      <c r="E1351" s="16"/>
      <c r="F1351" s="15"/>
      <c r="G1351" s="15"/>
      <c r="H1351" s="15"/>
      <c r="I1351" s="17"/>
      <c r="J1351" s="16" t="s">
        <v>1172</v>
      </c>
      <c r="K1351" s="15" t="s">
        <v>1173</v>
      </c>
      <c r="L1351" s="15" t="n">
        <f aca="false">IF(AND(OR(Search!$C$4="",Search!$C$4="All",B1351=Search!$C$4),OR(Search!$C$5="",Search!$C$5="All",C1351=Search!$C$5),OR(Search!$C$6="",Search!$C$6="All",D1351=Search!$C$6),OR(Search!$C$7="",ISNUMBER(SEARCH(Search!$C$7,D1351&amp;" "&amp;E1351&amp;" "&amp;F1351&amp;" "&amp;G1351&amp;" "&amp;H1351&amp;" "&amp;J1351))),OR(Search!$C$8="",ISNUMBER(SEARCH(Search!$C$8,G1351)))),1,0)</f>
        <v>1</v>
      </c>
      <c r="M1351" s="15" t="n">
        <f aca="false">M1350+L1351</f>
        <v>1350</v>
      </c>
    </row>
    <row r="1352" customFormat="false" ht="15" hidden="false" customHeight="false" outlineLevel="0" collapsed="false">
      <c r="A1352" s="14" t="n">
        <v>1351</v>
      </c>
      <c r="B1352" s="15" t="s">
        <v>1169</v>
      </c>
      <c r="C1352" s="15" t="s">
        <v>1188</v>
      </c>
      <c r="D1352" s="16" t="s">
        <v>1193</v>
      </c>
      <c r="E1352" s="16"/>
      <c r="F1352" s="15"/>
      <c r="G1352" s="15"/>
      <c r="H1352" s="15"/>
      <c r="I1352" s="17"/>
      <c r="J1352" s="16" t="s">
        <v>1172</v>
      </c>
      <c r="K1352" s="15" t="s">
        <v>1173</v>
      </c>
      <c r="L1352" s="15" t="n">
        <f aca="false">IF(AND(OR(Search!$C$4="",Search!$C$4="All",B1352=Search!$C$4),OR(Search!$C$5="",Search!$C$5="All",C1352=Search!$C$5),OR(Search!$C$6="",Search!$C$6="All",D1352=Search!$C$6),OR(Search!$C$7="",ISNUMBER(SEARCH(Search!$C$7,D1352&amp;" "&amp;E1352&amp;" "&amp;F1352&amp;" "&amp;G1352&amp;" "&amp;H1352&amp;" "&amp;J1352))),OR(Search!$C$8="",ISNUMBER(SEARCH(Search!$C$8,G1352)))),1,0)</f>
        <v>1</v>
      </c>
      <c r="M1352" s="15" t="n">
        <f aca="false">M1351+L1352</f>
        <v>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54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8" t="s">
        <v>2</v>
      </c>
      <c r="B1" s="8" t="s">
        <v>19</v>
      </c>
      <c r="C1" s="8" t="s">
        <v>1194</v>
      </c>
      <c r="D1" s="8" t="s">
        <v>1195</v>
      </c>
      <c r="E1" s="8" t="s">
        <v>1196</v>
      </c>
      <c r="F1" s="8" t="s">
        <v>1197</v>
      </c>
      <c r="G1" s="8" t="s">
        <v>1198</v>
      </c>
      <c r="H1" s="8" t="s">
        <v>1199</v>
      </c>
      <c r="I1" s="8" t="s">
        <v>1200</v>
      </c>
    </row>
    <row r="2" customFormat="false" ht="35.05" hidden="false" customHeight="false" outlineLevel="0" collapsed="false">
      <c r="A2" s="16" t="s">
        <v>24</v>
      </c>
      <c r="B2" s="16" t="s">
        <v>29</v>
      </c>
      <c r="C2" s="16" t="n">
        <f aca="false">COUNTIF('Price List'!$B$2:$B$1352,A2)</f>
        <v>24</v>
      </c>
      <c r="D2" s="16" t="s">
        <v>1201</v>
      </c>
      <c r="E2" s="16"/>
      <c r="F2" s="16" t="s">
        <v>1202</v>
      </c>
      <c r="G2" s="16" t="s">
        <v>1203</v>
      </c>
      <c r="H2" s="16" t="s">
        <v>1204</v>
      </c>
      <c r="I2" s="16" t="s">
        <v>1205</v>
      </c>
    </row>
    <row r="3" customFormat="false" ht="23.85" hidden="false" customHeight="false" outlineLevel="0" collapsed="false">
      <c r="A3" s="16" t="s">
        <v>76</v>
      </c>
      <c r="B3" s="16" t="s">
        <v>84</v>
      </c>
      <c r="C3" s="16" t="n">
        <f aca="false">COUNTIF('Price List'!$B$2:$B$1352,A3)</f>
        <v>27</v>
      </c>
      <c r="D3" s="16"/>
      <c r="E3" s="16" t="s">
        <v>1206</v>
      </c>
      <c r="F3" s="16" t="s">
        <v>1207</v>
      </c>
      <c r="G3" s="16"/>
      <c r="H3" s="16" t="s">
        <v>1208</v>
      </c>
      <c r="I3" s="16" t="s">
        <v>1209</v>
      </c>
    </row>
    <row r="4" customFormat="false" ht="23.85" hidden="false" customHeight="false" outlineLevel="0" collapsed="false">
      <c r="A4" s="16" t="s">
        <v>157</v>
      </c>
      <c r="B4" s="16" t="s">
        <v>162</v>
      </c>
      <c r="C4" s="16" t="n">
        <f aca="false">COUNTIF('Price List'!$B$2:$B$1352,A4)</f>
        <v>30</v>
      </c>
      <c r="D4" s="16" t="s">
        <v>1210</v>
      </c>
      <c r="E4" s="16"/>
      <c r="F4" s="16"/>
      <c r="G4" s="16"/>
      <c r="H4" s="16" t="s">
        <v>1211</v>
      </c>
      <c r="I4" s="16" t="s">
        <v>1212</v>
      </c>
    </row>
    <row r="5" customFormat="false" ht="15" hidden="false" customHeight="false" outlineLevel="0" collapsed="false">
      <c r="A5" s="16" t="s">
        <v>199</v>
      </c>
      <c r="B5" s="16" t="s">
        <v>204</v>
      </c>
      <c r="C5" s="16" t="n">
        <f aca="false">COUNTIF('Price List'!$B$2:$B$1352,A5)</f>
        <v>151</v>
      </c>
      <c r="D5" s="16"/>
      <c r="E5" s="16"/>
      <c r="F5" s="16"/>
      <c r="G5" s="16"/>
      <c r="H5" s="16" t="s">
        <v>1213</v>
      </c>
      <c r="I5" s="16" t="s">
        <v>1214</v>
      </c>
    </row>
    <row r="6" customFormat="false" ht="35.05" hidden="false" customHeight="false" outlineLevel="0" collapsed="false">
      <c r="A6" s="16" t="s">
        <v>347</v>
      </c>
      <c r="B6" s="16" t="s">
        <v>348</v>
      </c>
      <c r="C6" s="16" t="n">
        <f aca="false">COUNTIF('Price List'!$B$2:$B$1352,A6)</f>
        <v>149</v>
      </c>
      <c r="D6" s="16"/>
      <c r="E6" s="16"/>
      <c r="F6" s="16"/>
      <c r="G6" s="16"/>
      <c r="H6" s="16" t="s">
        <v>1215</v>
      </c>
      <c r="I6" s="16" t="s">
        <v>1216</v>
      </c>
    </row>
    <row r="7" customFormat="false" ht="35.05" hidden="false" customHeight="false" outlineLevel="0" collapsed="false">
      <c r="A7" s="16" t="s">
        <v>370</v>
      </c>
      <c r="B7" s="16" t="s">
        <v>372</v>
      </c>
      <c r="C7" s="16" t="n">
        <f aca="false">COUNTIF('Price List'!$B$2:$B$1352,A7)</f>
        <v>407</v>
      </c>
      <c r="D7" s="16"/>
      <c r="E7" s="16" t="s">
        <v>1217</v>
      </c>
      <c r="F7" s="16" t="s">
        <v>1218</v>
      </c>
      <c r="G7" s="16"/>
      <c r="H7" s="16" t="s">
        <v>1219</v>
      </c>
      <c r="I7" s="16" t="s">
        <v>1220</v>
      </c>
    </row>
    <row r="8" customFormat="false" ht="23.85" hidden="false" customHeight="false" outlineLevel="0" collapsed="false">
      <c r="A8" s="16" t="s">
        <v>639</v>
      </c>
      <c r="B8" s="16" t="s">
        <v>646</v>
      </c>
      <c r="C8" s="16" t="n">
        <f aca="false">COUNTIF('Price List'!$B$2:$B$1352,A8)</f>
        <v>283</v>
      </c>
      <c r="D8" s="16" t="s">
        <v>1221</v>
      </c>
      <c r="E8" s="16"/>
      <c r="F8" s="16" t="s">
        <v>1222</v>
      </c>
      <c r="G8" s="16"/>
      <c r="H8" s="16" t="s">
        <v>1223</v>
      </c>
      <c r="I8" s="16" t="s">
        <v>1224</v>
      </c>
    </row>
    <row r="9" customFormat="false" ht="35.05" hidden="false" customHeight="false" outlineLevel="0" collapsed="false">
      <c r="A9" s="16" t="s">
        <v>942</v>
      </c>
      <c r="B9" s="16" t="s">
        <v>947</v>
      </c>
      <c r="C9" s="16" t="n">
        <f aca="false">COUNTIF('Price List'!$B$2:$B$1352,A9)</f>
        <v>259</v>
      </c>
      <c r="D9" s="16"/>
      <c r="E9" s="16" t="s">
        <v>1225</v>
      </c>
      <c r="F9" s="16" t="s">
        <v>1226</v>
      </c>
      <c r="G9" s="16" t="s">
        <v>1227</v>
      </c>
      <c r="H9" s="16" t="s">
        <v>1228</v>
      </c>
      <c r="I9" s="16" t="s">
        <v>1229</v>
      </c>
    </row>
    <row r="10" customFormat="false" ht="46.25" hidden="false" customHeight="false" outlineLevel="0" collapsed="false">
      <c r="A10" s="16" t="s">
        <v>1169</v>
      </c>
      <c r="B10" s="16" t="s">
        <v>1173</v>
      </c>
      <c r="C10" s="16" t="n">
        <f aca="false">COUNTIF('Price List'!$B$2:$B$1352,A10)</f>
        <v>21</v>
      </c>
      <c r="D10" s="16" t="s">
        <v>1230</v>
      </c>
      <c r="E10" s="16" t="s">
        <v>1231</v>
      </c>
      <c r="F10" s="16" t="s">
        <v>1232</v>
      </c>
      <c r="G10" s="16" t="s">
        <v>1233</v>
      </c>
      <c r="H10" s="16" t="s">
        <v>1234</v>
      </c>
      <c r="I10" s="16" t="s">
        <v>1235</v>
      </c>
    </row>
    <row r="12" customFormat="false" ht="15" hidden="false" customHeight="false" outlineLevel="0" collapsed="false">
      <c r="A12" s="5" t="s">
        <v>1236</v>
      </c>
    </row>
    <row r="13" customFormat="false" ht="15" hidden="false" customHeight="false" outlineLevel="0" collapsed="false">
      <c r="A13" s="18" t="s">
        <v>1237</v>
      </c>
    </row>
    <row r="14" customFormat="false" ht="15" hidden="false" customHeight="false" outlineLevel="0" collapsed="false">
      <c r="A14" s="18" t="s">
        <v>1238</v>
      </c>
    </row>
    <row r="15" customFormat="false" ht="15" hidden="false" customHeight="false" outlineLevel="0" collapsed="false">
      <c r="A15" s="18" t="s">
        <v>1239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6"/>
  </cols>
  <sheetData>
    <row r="1" customFormat="false" ht="15" hidden="false" customHeight="false" outlineLevel="0" collapsed="false">
      <c r="A1" s="5" t="s">
        <v>1240</v>
      </c>
      <c r="B1" s="5" t="s">
        <v>1241</v>
      </c>
      <c r="C1" s="5" t="s">
        <v>1242</v>
      </c>
      <c r="D1" s="5" t="s">
        <v>1243</v>
      </c>
      <c r="E1" s="5" t="s">
        <v>1244</v>
      </c>
    </row>
    <row r="2" customFormat="false" ht="15" hidden="false" customHeight="false" outlineLevel="0" collapsed="false">
      <c r="A2" s="0" t="s">
        <v>3</v>
      </c>
      <c r="B2" s="0" t="s">
        <v>3</v>
      </c>
      <c r="C2" s="0" t="s">
        <v>3</v>
      </c>
      <c r="D2" s="0" t="s">
        <v>251</v>
      </c>
      <c r="E2" s="0" t="s">
        <v>254</v>
      </c>
    </row>
    <row r="3" customFormat="false" ht="15" hidden="false" customHeight="false" outlineLevel="0" collapsed="false">
      <c r="A3" s="0" t="s">
        <v>24</v>
      </c>
      <c r="B3" s="0" t="s">
        <v>251</v>
      </c>
      <c r="C3" s="0" t="s">
        <v>30</v>
      </c>
      <c r="D3" s="0" t="s">
        <v>251</v>
      </c>
      <c r="E3" s="0" t="s">
        <v>257</v>
      </c>
    </row>
    <row r="4" customFormat="false" ht="15" hidden="false" customHeight="false" outlineLevel="0" collapsed="false">
      <c r="A4" s="0" t="s">
        <v>76</v>
      </c>
      <c r="B4" s="0" t="s">
        <v>258</v>
      </c>
      <c r="C4" s="0" t="s">
        <v>34</v>
      </c>
      <c r="D4" s="0" t="s">
        <v>251</v>
      </c>
      <c r="E4" s="0" t="s">
        <v>526</v>
      </c>
    </row>
    <row r="5" customFormat="false" ht="15" hidden="false" customHeight="false" outlineLevel="0" collapsed="false">
      <c r="A5" s="0" t="s">
        <v>157</v>
      </c>
      <c r="B5" s="0" t="s">
        <v>166</v>
      </c>
      <c r="C5" s="0" t="s">
        <v>33</v>
      </c>
      <c r="D5" s="0" t="s">
        <v>251</v>
      </c>
      <c r="E5" s="0" t="s">
        <v>563</v>
      </c>
    </row>
    <row r="6" customFormat="false" ht="15" hidden="false" customHeight="false" outlineLevel="0" collapsed="false">
      <c r="A6" s="0" t="s">
        <v>199</v>
      </c>
      <c r="B6" s="0" t="s">
        <v>913</v>
      </c>
      <c r="C6" s="0" t="s">
        <v>35</v>
      </c>
      <c r="D6" s="0" t="s">
        <v>251</v>
      </c>
      <c r="E6" s="0" t="s">
        <v>256</v>
      </c>
    </row>
    <row r="7" customFormat="false" ht="15" hidden="false" customHeight="false" outlineLevel="0" collapsed="false">
      <c r="A7" s="0" t="s">
        <v>347</v>
      </c>
      <c r="B7" s="0" t="s">
        <v>282</v>
      </c>
      <c r="C7" s="0" t="s">
        <v>32</v>
      </c>
      <c r="D7" s="0" t="s">
        <v>251</v>
      </c>
      <c r="E7" s="0" t="s">
        <v>252</v>
      </c>
    </row>
    <row r="8" customFormat="false" ht="15" hidden="false" customHeight="false" outlineLevel="0" collapsed="false">
      <c r="A8" s="0" t="s">
        <v>370</v>
      </c>
      <c r="B8" s="0" t="s">
        <v>326</v>
      </c>
      <c r="C8" s="0" t="s">
        <v>74</v>
      </c>
      <c r="D8" s="0" t="s">
        <v>251</v>
      </c>
      <c r="E8" s="0" t="s">
        <v>255</v>
      </c>
    </row>
    <row r="9" customFormat="false" ht="15" hidden="false" customHeight="false" outlineLevel="0" collapsed="false">
      <c r="A9" s="0" t="s">
        <v>639</v>
      </c>
      <c r="B9" s="0" t="s">
        <v>331</v>
      </c>
      <c r="C9" s="0" t="s">
        <v>67</v>
      </c>
      <c r="D9" s="0" t="s">
        <v>258</v>
      </c>
      <c r="E9" s="0" t="s">
        <v>259</v>
      </c>
    </row>
    <row r="10" customFormat="false" ht="15" hidden="false" customHeight="false" outlineLevel="0" collapsed="false">
      <c r="A10" s="0" t="s">
        <v>942</v>
      </c>
      <c r="B10" s="0" t="s">
        <v>242</v>
      </c>
      <c r="C10" s="0" t="s">
        <v>36</v>
      </c>
      <c r="D10" s="0" t="s">
        <v>258</v>
      </c>
      <c r="E10" s="0" t="s">
        <v>258</v>
      </c>
    </row>
    <row r="11" customFormat="false" ht="15" hidden="false" customHeight="false" outlineLevel="0" collapsed="false">
      <c r="A11" s="0" t="s">
        <v>1169</v>
      </c>
      <c r="B11" s="0" t="s">
        <v>229</v>
      </c>
      <c r="C11" s="0" t="s">
        <v>26</v>
      </c>
      <c r="D11" s="0" t="s">
        <v>258</v>
      </c>
      <c r="E11" s="0" t="s">
        <v>433</v>
      </c>
    </row>
    <row r="12" customFormat="false" ht="15" hidden="false" customHeight="false" outlineLevel="0" collapsed="false">
      <c r="B12" s="0" t="s">
        <v>391</v>
      </c>
      <c r="C12" s="0" t="s">
        <v>641</v>
      </c>
      <c r="D12" s="0" t="s">
        <v>258</v>
      </c>
      <c r="E12" s="0" t="s">
        <v>269</v>
      </c>
    </row>
    <row r="13" customFormat="false" ht="15" hidden="false" customHeight="false" outlineLevel="0" collapsed="false">
      <c r="B13" s="0" t="s">
        <v>544</v>
      </c>
      <c r="C13" s="0" t="s">
        <v>914</v>
      </c>
      <c r="D13" s="0" t="s">
        <v>258</v>
      </c>
      <c r="E13" s="0" t="s">
        <v>270</v>
      </c>
    </row>
    <row r="14" customFormat="false" ht="15" hidden="false" customHeight="false" outlineLevel="0" collapsed="false">
      <c r="B14" s="0" t="s">
        <v>928</v>
      </c>
      <c r="C14" s="0" t="s">
        <v>556</v>
      </c>
      <c r="D14" s="0" t="s">
        <v>258</v>
      </c>
      <c r="E14" s="0" t="s">
        <v>272</v>
      </c>
    </row>
    <row r="15" customFormat="false" ht="15" hidden="false" customHeight="false" outlineLevel="0" collapsed="false">
      <c r="B15" s="0" t="s">
        <v>565</v>
      </c>
      <c r="C15" s="0" t="s">
        <v>652</v>
      </c>
      <c r="D15" s="0" t="s">
        <v>258</v>
      </c>
      <c r="E15" s="0" t="s">
        <v>274</v>
      </c>
    </row>
    <row r="16" customFormat="false" ht="15" hidden="false" customHeight="false" outlineLevel="0" collapsed="false">
      <c r="B16" s="0" t="s">
        <v>1055</v>
      </c>
      <c r="C16" s="0" t="s">
        <v>991</v>
      </c>
      <c r="D16" s="0" t="s">
        <v>258</v>
      </c>
      <c r="E16" s="0" t="s">
        <v>264</v>
      </c>
    </row>
    <row r="17" customFormat="false" ht="15" hidden="false" customHeight="false" outlineLevel="0" collapsed="false">
      <c r="B17" s="0" t="s">
        <v>596</v>
      </c>
      <c r="C17" s="0" t="s">
        <v>996</v>
      </c>
      <c r="D17" s="0" t="s">
        <v>258</v>
      </c>
      <c r="E17" s="0" t="s">
        <v>266</v>
      </c>
    </row>
    <row r="18" customFormat="false" ht="15" hidden="false" customHeight="false" outlineLevel="0" collapsed="false">
      <c r="B18" s="0" t="s">
        <v>339</v>
      </c>
      <c r="C18" s="0" t="s">
        <v>998</v>
      </c>
      <c r="D18" s="0" t="s">
        <v>258</v>
      </c>
      <c r="E18" s="0" t="s">
        <v>267</v>
      </c>
    </row>
    <row r="19" customFormat="false" ht="15" hidden="false" customHeight="false" outlineLevel="0" collapsed="false">
      <c r="B19" s="0" t="s">
        <v>293</v>
      </c>
      <c r="C19" s="0" t="s">
        <v>259</v>
      </c>
      <c r="D19" s="0" t="s">
        <v>258</v>
      </c>
      <c r="E19" s="0" t="s">
        <v>268</v>
      </c>
    </row>
    <row r="20" customFormat="false" ht="15" hidden="false" customHeight="false" outlineLevel="0" collapsed="false">
      <c r="B20" s="0" t="s">
        <v>25</v>
      </c>
      <c r="C20" s="0" t="s">
        <v>665</v>
      </c>
      <c r="D20" s="0" t="s">
        <v>258</v>
      </c>
      <c r="E20" s="0" t="s">
        <v>439</v>
      </c>
    </row>
    <row r="21" customFormat="false" ht="15" hidden="false" customHeight="false" outlineLevel="0" collapsed="false">
      <c r="B21" s="0" t="s">
        <v>77</v>
      </c>
      <c r="C21" s="0" t="s">
        <v>516</v>
      </c>
      <c r="D21" s="0" t="s">
        <v>258</v>
      </c>
      <c r="E21" s="0" t="s">
        <v>438</v>
      </c>
    </row>
    <row r="22" customFormat="false" ht="15" hidden="false" customHeight="false" outlineLevel="0" collapsed="false">
      <c r="B22" s="0" t="s">
        <v>158</v>
      </c>
      <c r="C22" s="0" t="s">
        <v>1033</v>
      </c>
      <c r="D22" s="0" t="s">
        <v>258</v>
      </c>
      <c r="E22" s="0" t="s">
        <v>261</v>
      </c>
    </row>
    <row r="23" customFormat="false" ht="15" hidden="false" customHeight="false" outlineLevel="0" collapsed="false">
      <c r="B23" s="0" t="s">
        <v>1044</v>
      </c>
      <c r="C23" s="0" t="s">
        <v>258</v>
      </c>
      <c r="D23" s="0" t="s">
        <v>258</v>
      </c>
      <c r="E23" s="0" t="s">
        <v>263</v>
      </c>
    </row>
    <row r="24" customFormat="false" ht="15" hidden="false" customHeight="false" outlineLevel="0" collapsed="false">
      <c r="B24" s="0" t="s">
        <v>1170</v>
      </c>
      <c r="C24" s="0" t="s">
        <v>433</v>
      </c>
      <c r="D24" s="0" t="s">
        <v>258</v>
      </c>
      <c r="E24" s="0" t="s">
        <v>485</v>
      </c>
    </row>
    <row r="25" customFormat="false" ht="15" hidden="false" customHeight="false" outlineLevel="0" collapsed="false">
      <c r="B25" s="0" t="s">
        <v>532</v>
      </c>
      <c r="C25" s="0" t="s">
        <v>250</v>
      </c>
      <c r="D25" s="0" t="s">
        <v>166</v>
      </c>
      <c r="E25" s="0" t="s">
        <v>250</v>
      </c>
    </row>
    <row r="26" customFormat="false" ht="15" hidden="false" customHeight="false" outlineLevel="0" collapsed="false">
      <c r="B26" s="0" t="s">
        <v>200</v>
      </c>
      <c r="C26" s="0" t="s">
        <v>244</v>
      </c>
      <c r="D26" s="0" t="s">
        <v>166</v>
      </c>
      <c r="E26" s="0" t="s">
        <v>244</v>
      </c>
    </row>
    <row r="27" customFormat="false" ht="15" hidden="false" customHeight="false" outlineLevel="0" collapsed="false">
      <c r="B27" s="0" t="s">
        <v>604</v>
      </c>
      <c r="C27" s="0" t="s">
        <v>167</v>
      </c>
      <c r="D27" s="0" t="s">
        <v>166</v>
      </c>
      <c r="E27" s="0" t="s">
        <v>167</v>
      </c>
    </row>
    <row r="28" customFormat="false" ht="15" hidden="false" customHeight="false" outlineLevel="0" collapsed="false">
      <c r="B28" s="0" t="s">
        <v>580</v>
      </c>
      <c r="C28" s="0" t="s">
        <v>176</v>
      </c>
      <c r="D28" s="0" t="s">
        <v>166</v>
      </c>
      <c r="E28" s="0" t="s">
        <v>176</v>
      </c>
    </row>
    <row r="29" customFormat="false" ht="15" hidden="false" customHeight="false" outlineLevel="0" collapsed="false">
      <c r="B29" s="0" t="s">
        <v>1188</v>
      </c>
      <c r="C29" s="0" t="s">
        <v>180</v>
      </c>
      <c r="D29" s="0" t="s">
        <v>166</v>
      </c>
      <c r="E29" s="0" t="s">
        <v>180</v>
      </c>
    </row>
    <row r="30" customFormat="false" ht="15" hidden="false" customHeight="false" outlineLevel="0" collapsed="false">
      <c r="B30" s="0" t="s">
        <v>640</v>
      </c>
      <c r="C30" s="0" t="s">
        <v>185</v>
      </c>
      <c r="D30" s="0" t="s">
        <v>166</v>
      </c>
      <c r="E30" s="0" t="s">
        <v>185</v>
      </c>
    </row>
    <row r="31" customFormat="false" ht="15" hidden="false" customHeight="false" outlineLevel="0" collapsed="false">
      <c r="B31" s="0" t="s">
        <v>943</v>
      </c>
      <c r="C31" s="0" t="s">
        <v>190</v>
      </c>
      <c r="D31" s="0" t="s">
        <v>166</v>
      </c>
      <c r="E31" s="0" t="s">
        <v>190</v>
      </c>
    </row>
    <row r="32" customFormat="false" ht="15" hidden="false" customHeight="false" outlineLevel="0" collapsed="false">
      <c r="B32" s="0" t="s">
        <v>335</v>
      </c>
      <c r="C32" s="0" t="s">
        <v>166</v>
      </c>
      <c r="D32" s="0" t="s">
        <v>166</v>
      </c>
      <c r="E32" s="0" t="s">
        <v>166</v>
      </c>
    </row>
    <row r="33" customFormat="false" ht="15" hidden="false" customHeight="false" outlineLevel="0" collapsed="false">
      <c r="C33" s="0" t="s">
        <v>444</v>
      </c>
      <c r="D33" s="0" t="s">
        <v>166</v>
      </c>
      <c r="E33" s="0" t="s">
        <v>444</v>
      </c>
    </row>
    <row r="34" customFormat="false" ht="15" hidden="false" customHeight="false" outlineLevel="0" collapsed="false">
      <c r="C34" s="0" t="s">
        <v>421</v>
      </c>
      <c r="D34" s="0" t="s">
        <v>166</v>
      </c>
      <c r="E34" s="0" t="s">
        <v>491</v>
      </c>
    </row>
    <row r="35" customFormat="false" ht="15" hidden="false" customHeight="false" outlineLevel="0" collapsed="false">
      <c r="C35" s="0" t="s">
        <v>417</v>
      </c>
      <c r="D35" s="0" t="s">
        <v>913</v>
      </c>
      <c r="E35" s="0" t="s">
        <v>914</v>
      </c>
    </row>
    <row r="36" customFormat="false" ht="15" hidden="false" customHeight="false" outlineLevel="0" collapsed="false">
      <c r="C36" s="0" t="s">
        <v>411</v>
      </c>
      <c r="D36" s="0" t="s">
        <v>913</v>
      </c>
      <c r="E36" s="0" t="s">
        <v>920</v>
      </c>
    </row>
    <row r="37" customFormat="false" ht="15" hidden="false" customHeight="false" outlineLevel="0" collapsed="false">
      <c r="C37" s="0" t="s">
        <v>283</v>
      </c>
      <c r="D37" s="0" t="s">
        <v>913</v>
      </c>
      <c r="E37" s="0" t="s">
        <v>926</v>
      </c>
    </row>
    <row r="38" customFormat="false" ht="15" hidden="false" customHeight="false" outlineLevel="0" collapsed="false">
      <c r="C38" s="0" t="s">
        <v>285</v>
      </c>
      <c r="D38" s="0" t="s">
        <v>282</v>
      </c>
      <c r="E38" s="0" t="s">
        <v>283</v>
      </c>
    </row>
    <row r="39" customFormat="false" ht="15" hidden="false" customHeight="false" outlineLevel="0" collapsed="false">
      <c r="C39" s="0" t="s">
        <v>457</v>
      </c>
      <c r="D39" s="0" t="s">
        <v>282</v>
      </c>
      <c r="E39" s="0" t="s">
        <v>285</v>
      </c>
    </row>
    <row r="40" customFormat="false" ht="15" hidden="false" customHeight="false" outlineLevel="0" collapsed="false">
      <c r="C40" s="0" t="s">
        <v>477</v>
      </c>
      <c r="D40" s="0" t="s">
        <v>282</v>
      </c>
      <c r="E40" s="0" t="s">
        <v>457</v>
      </c>
    </row>
    <row r="41" customFormat="false" ht="15" hidden="false" customHeight="false" outlineLevel="0" collapsed="false">
      <c r="C41" s="0" t="s">
        <v>558</v>
      </c>
      <c r="D41" s="0" t="s">
        <v>282</v>
      </c>
      <c r="E41" s="0" t="s">
        <v>477</v>
      </c>
    </row>
    <row r="42" customFormat="false" ht="15" hidden="false" customHeight="false" outlineLevel="0" collapsed="false">
      <c r="C42" s="0" t="s">
        <v>468</v>
      </c>
      <c r="D42" s="0" t="s">
        <v>282</v>
      </c>
      <c r="E42" s="0" t="s">
        <v>558</v>
      </c>
    </row>
    <row r="43" customFormat="false" ht="15" hidden="false" customHeight="false" outlineLevel="0" collapsed="false">
      <c r="C43" s="0" t="s">
        <v>475</v>
      </c>
      <c r="D43" s="0" t="s">
        <v>282</v>
      </c>
      <c r="E43" s="0" t="s">
        <v>468</v>
      </c>
    </row>
    <row r="44" customFormat="false" ht="15" hidden="false" customHeight="false" outlineLevel="0" collapsed="false">
      <c r="C44" s="0" t="s">
        <v>602</v>
      </c>
      <c r="D44" s="0" t="s">
        <v>282</v>
      </c>
      <c r="E44" s="0" t="s">
        <v>475</v>
      </c>
    </row>
    <row r="45" customFormat="false" ht="15" hidden="false" customHeight="false" outlineLevel="0" collapsed="false">
      <c r="C45" s="0" t="s">
        <v>1178</v>
      </c>
      <c r="D45" s="0" t="s">
        <v>326</v>
      </c>
      <c r="E45" s="0" t="s">
        <v>327</v>
      </c>
    </row>
    <row r="46" customFormat="false" ht="15" hidden="false" customHeight="false" outlineLevel="0" collapsed="false">
      <c r="C46" s="0" t="s">
        <v>920</v>
      </c>
      <c r="D46" s="0" t="s">
        <v>326</v>
      </c>
      <c r="E46" s="0" t="s">
        <v>328</v>
      </c>
    </row>
    <row r="47" customFormat="false" ht="15" hidden="false" customHeight="false" outlineLevel="0" collapsed="false">
      <c r="C47" s="0" t="s">
        <v>668</v>
      </c>
      <c r="D47" s="0" t="s">
        <v>326</v>
      </c>
      <c r="E47" s="0" t="s">
        <v>330</v>
      </c>
    </row>
    <row r="48" customFormat="false" ht="15" hidden="false" customHeight="false" outlineLevel="0" collapsed="false">
      <c r="C48" s="0" t="s">
        <v>1021</v>
      </c>
      <c r="D48" s="0" t="s">
        <v>326</v>
      </c>
      <c r="E48" s="0" t="s">
        <v>329</v>
      </c>
    </row>
    <row r="49" customFormat="false" ht="15" hidden="false" customHeight="false" outlineLevel="0" collapsed="false">
      <c r="C49" s="0" t="s">
        <v>243</v>
      </c>
      <c r="D49" s="0" t="s">
        <v>331</v>
      </c>
      <c r="E49" s="0" t="s">
        <v>332</v>
      </c>
    </row>
    <row r="50" customFormat="false" ht="15" hidden="false" customHeight="false" outlineLevel="0" collapsed="false">
      <c r="C50" s="0" t="s">
        <v>373</v>
      </c>
      <c r="D50" s="0" t="s">
        <v>331</v>
      </c>
      <c r="E50" s="0" t="s">
        <v>495</v>
      </c>
    </row>
    <row r="51" customFormat="false" ht="15" hidden="false" customHeight="false" outlineLevel="0" collapsed="false">
      <c r="C51" s="0" t="s">
        <v>230</v>
      </c>
      <c r="D51" s="0" t="s">
        <v>242</v>
      </c>
      <c r="E51" s="0" t="s">
        <v>243</v>
      </c>
    </row>
    <row r="52" customFormat="false" ht="15" hidden="false" customHeight="false" outlineLevel="0" collapsed="false">
      <c r="C52" s="0" t="s">
        <v>378</v>
      </c>
      <c r="D52" s="0" t="s">
        <v>229</v>
      </c>
      <c r="E52" s="0" t="s">
        <v>373</v>
      </c>
    </row>
    <row r="53" customFormat="false" ht="15" hidden="false" customHeight="false" outlineLevel="0" collapsed="false">
      <c r="C53" s="0" t="s">
        <v>383</v>
      </c>
      <c r="D53" s="0" t="s">
        <v>229</v>
      </c>
      <c r="E53" s="0" t="s">
        <v>230</v>
      </c>
    </row>
    <row r="54" customFormat="false" ht="15" hidden="false" customHeight="false" outlineLevel="0" collapsed="false">
      <c r="C54" s="0" t="s">
        <v>979</v>
      </c>
      <c r="D54" s="0" t="s">
        <v>229</v>
      </c>
      <c r="E54" s="0" t="s">
        <v>378</v>
      </c>
    </row>
    <row r="55" customFormat="false" ht="15" hidden="false" customHeight="false" outlineLevel="0" collapsed="false">
      <c r="C55" s="0" t="s">
        <v>973</v>
      </c>
      <c r="D55" s="0" t="s">
        <v>229</v>
      </c>
      <c r="E55" s="0" t="s">
        <v>383</v>
      </c>
    </row>
    <row r="56" customFormat="false" ht="15" hidden="false" customHeight="false" outlineLevel="0" collapsed="false">
      <c r="C56" s="0" t="s">
        <v>975</v>
      </c>
      <c r="D56" s="0" t="s">
        <v>229</v>
      </c>
      <c r="E56" s="0" t="s">
        <v>389</v>
      </c>
    </row>
    <row r="57" customFormat="false" ht="15" hidden="false" customHeight="false" outlineLevel="0" collapsed="false">
      <c r="C57" s="0" t="s">
        <v>976</v>
      </c>
      <c r="D57" s="0" t="s">
        <v>391</v>
      </c>
      <c r="E57" s="0" t="s">
        <v>392</v>
      </c>
    </row>
    <row r="58" customFormat="false" ht="15" hidden="false" customHeight="false" outlineLevel="0" collapsed="false">
      <c r="C58" s="0" t="s">
        <v>977</v>
      </c>
      <c r="D58" s="0" t="s">
        <v>544</v>
      </c>
      <c r="E58" s="0" t="s">
        <v>556</v>
      </c>
    </row>
    <row r="59" customFormat="false" ht="15" hidden="false" customHeight="false" outlineLevel="0" collapsed="false">
      <c r="C59" s="0" t="s">
        <v>674</v>
      </c>
      <c r="D59" s="0" t="s">
        <v>544</v>
      </c>
      <c r="E59" s="0" t="s">
        <v>544</v>
      </c>
    </row>
    <row r="60" customFormat="false" ht="15" hidden="false" customHeight="false" outlineLevel="0" collapsed="false">
      <c r="C60" s="0" t="s">
        <v>1060</v>
      </c>
      <c r="D60" s="0" t="s">
        <v>544</v>
      </c>
      <c r="E60" s="0" t="s">
        <v>552</v>
      </c>
    </row>
    <row r="61" customFormat="false" ht="15" hidden="false" customHeight="false" outlineLevel="0" collapsed="false">
      <c r="C61" s="0" t="s">
        <v>1056</v>
      </c>
      <c r="D61" s="0" t="s">
        <v>928</v>
      </c>
      <c r="E61" s="0" t="s">
        <v>934</v>
      </c>
    </row>
    <row r="62" customFormat="false" ht="15" hidden="false" customHeight="false" outlineLevel="0" collapsed="false">
      <c r="C62" s="0" t="s">
        <v>1063</v>
      </c>
      <c r="D62" s="0" t="s">
        <v>928</v>
      </c>
      <c r="E62" s="0" t="s">
        <v>941</v>
      </c>
    </row>
    <row r="63" customFormat="false" ht="15" hidden="false" customHeight="false" outlineLevel="0" collapsed="false">
      <c r="C63" s="0" t="s">
        <v>1070</v>
      </c>
      <c r="D63" s="0" t="s">
        <v>928</v>
      </c>
      <c r="E63" s="0" t="s">
        <v>933</v>
      </c>
    </row>
    <row r="64" customFormat="false" ht="15" hidden="false" customHeight="false" outlineLevel="0" collapsed="false">
      <c r="C64" s="0" t="s">
        <v>1068</v>
      </c>
      <c r="D64" s="0" t="s">
        <v>928</v>
      </c>
      <c r="E64" s="0" t="s">
        <v>929</v>
      </c>
    </row>
    <row r="65" customFormat="false" ht="15" hidden="false" customHeight="false" outlineLevel="0" collapsed="false">
      <c r="C65" s="0" t="s">
        <v>1071</v>
      </c>
      <c r="D65" s="0" t="s">
        <v>928</v>
      </c>
      <c r="E65" s="0" t="s">
        <v>937</v>
      </c>
    </row>
    <row r="66" customFormat="false" ht="15" hidden="false" customHeight="false" outlineLevel="0" collapsed="false">
      <c r="C66" s="0" t="s">
        <v>1176</v>
      </c>
      <c r="D66" s="0" t="s">
        <v>928</v>
      </c>
      <c r="E66" s="0" t="s">
        <v>939</v>
      </c>
    </row>
    <row r="67" customFormat="false" ht="15" hidden="false" customHeight="false" outlineLevel="0" collapsed="false">
      <c r="C67" s="0" t="s">
        <v>401</v>
      </c>
      <c r="D67" s="0" t="s">
        <v>928</v>
      </c>
      <c r="E67" s="0" t="s">
        <v>940</v>
      </c>
    </row>
    <row r="68" customFormat="false" ht="15" hidden="false" customHeight="false" outlineLevel="0" collapsed="false">
      <c r="C68" s="0" t="s">
        <v>208</v>
      </c>
      <c r="D68" s="0" t="s">
        <v>565</v>
      </c>
      <c r="E68" s="0" t="s">
        <v>991</v>
      </c>
    </row>
    <row r="69" customFormat="false" ht="15" hidden="false" customHeight="false" outlineLevel="0" collapsed="false">
      <c r="C69" s="0" t="s">
        <v>327</v>
      </c>
      <c r="D69" s="0" t="s">
        <v>565</v>
      </c>
      <c r="E69" s="0" t="s">
        <v>996</v>
      </c>
    </row>
    <row r="70" customFormat="false" ht="15" hidden="false" customHeight="false" outlineLevel="0" collapsed="false">
      <c r="C70" s="0" t="s">
        <v>328</v>
      </c>
      <c r="D70" s="0" t="s">
        <v>565</v>
      </c>
      <c r="E70" s="0" t="s">
        <v>998</v>
      </c>
    </row>
    <row r="71" customFormat="false" ht="15" hidden="false" customHeight="false" outlineLevel="0" collapsed="false">
      <c r="C71" s="0" t="s">
        <v>220</v>
      </c>
      <c r="D71" s="0" t="s">
        <v>565</v>
      </c>
      <c r="E71" s="0" t="s">
        <v>979</v>
      </c>
    </row>
    <row r="72" customFormat="false" ht="15" hidden="false" customHeight="false" outlineLevel="0" collapsed="false">
      <c r="C72" s="0" t="s">
        <v>679</v>
      </c>
      <c r="D72" s="0" t="s">
        <v>565</v>
      </c>
      <c r="E72" s="0" t="s">
        <v>973</v>
      </c>
    </row>
    <row r="73" customFormat="false" ht="15" hidden="false" customHeight="false" outlineLevel="0" collapsed="false">
      <c r="C73" s="0" t="s">
        <v>981</v>
      </c>
      <c r="D73" s="0" t="s">
        <v>565</v>
      </c>
      <c r="E73" s="0" t="s">
        <v>975</v>
      </c>
    </row>
    <row r="74" customFormat="false" ht="15" hidden="false" customHeight="false" outlineLevel="0" collapsed="false">
      <c r="C74" s="0" t="s">
        <v>677</v>
      </c>
      <c r="D74" s="0" t="s">
        <v>565</v>
      </c>
      <c r="E74" s="0" t="s">
        <v>976</v>
      </c>
    </row>
    <row r="75" customFormat="false" ht="15" hidden="false" customHeight="false" outlineLevel="0" collapsed="false">
      <c r="C75" s="0" t="s">
        <v>330</v>
      </c>
      <c r="D75" s="0" t="s">
        <v>565</v>
      </c>
      <c r="E75" s="0" t="s">
        <v>977</v>
      </c>
    </row>
    <row r="76" customFormat="false" ht="15" hidden="false" customHeight="false" outlineLevel="0" collapsed="false">
      <c r="C76" s="0" t="s">
        <v>329</v>
      </c>
      <c r="D76" s="0" t="s">
        <v>565</v>
      </c>
      <c r="E76" s="0" t="s">
        <v>568</v>
      </c>
    </row>
    <row r="77" customFormat="false" ht="15" hidden="false" customHeight="false" outlineLevel="0" collapsed="false">
      <c r="C77" s="0" t="s">
        <v>254</v>
      </c>
      <c r="D77" s="0" t="s">
        <v>565</v>
      </c>
      <c r="E77" s="0" t="s">
        <v>566</v>
      </c>
    </row>
    <row r="78" customFormat="false" ht="15" hidden="false" customHeight="false" outlineLevel="0" collapsed="false">
      <c r="C78" s="0" t="s">
        <v>681</v>
      </c>
      <c r="D78" s="0" t="s">
        <v>565</v>
      </c>
      <c r="E78" s="0" t="s">
        <v>1004</v>
      </c>
    </row>
    <row r="79" customFormat="false" ht="15" hidden="false" customHeight="false" outlineLevel="0" collapsed="false">
      <c r="C79" s="0" t="s">
        <v>206</v>
      </c>
      <c r="D79" s="0" t="s">
        <v>565</v>
      </c>
      <c r="E79" s="0" t="s">
        <v>1007</v>
      </c>
    </row>
    <row r="80" customFormat="false" ht="15" hidden="false" customHeight="false" outlineLevel="0" collapsed="false">
      <c r="C80" s="0" t="s">
        <v>404</v>
      </c>
      <c r="D80" s="0" t="s">
        <v>565</v>
      </c>
      <c r="E80" s="0" t="s">
        <v>1009</v>
      </c>
    </row>
    <row r="81" customFormat="false" ht="15" hidden="false" customHeight="false" outlineLevel="0" collapsed="false">
      <c r="C81" s="0" t="s">
        <v>269</v>
      </c>
      <c r="D81" s="0" t="s">
        <v>565</v>
      </c>
      <c r="E81" s="0" t="s">
        <v>1010</v>
      </c>
    </row>
    <row r="82" customFormat="false" ht="15" hidden="false" customHeight="false" outlineLevel="0" collapsed="false">
      <c r="C82" s="0" t="s">
        <v>952</v>
      </c>
      <c r="D82" s="0" t="s">
        <v>565</v>
      </c>
      <c r="E82" s="0" t="s">
        <v>1011</v>
      </c>
    </row>
    <row r="83" customFormat="false" ht="15" hidden="false" customHeight="false" outlineLevel="0" collapsed="false">
      <c r="C83" s="0" t="s">
        <v>544</v>
      </c>
      <c r="D83" s="0" t="s">
        <v>565</v>
      </c>
      <c r="E83" s="0" t="s">
        <v>1013</v>
      </c>
    </row>
    <row r="84" customFormat="false" ht="15" hidden="false" customHeight="false" outlineLevel="0" collapsed="false">
      <c r="C84" s="0" t="s">
        <v>552</v>
      </c>
      <c r="D84" s="0" t="s">
        <v>565</v>
      </c>
      <c r="E84" s="0" t="s">
        <v>572</v>
      </c>
    </row>
    <row r="85" customFormat="false" ht="15" hidden="false" customHeight="false" outlineLevel="0" collapsed="false">
      <c r="C85" s="0" t="s">
        <v>684</v>
      </c>
      <c r="D85" s="0" t="s">
        <v>565</v>
      </c>
      <c r="E85" s="0" t="s">
        <v>574</v>
      </c>
    </row>
    <row r="86" customFormat="false" ht="15" hidden="false" customHeight="false" outlineLevel="0" collapsed="false">
      <c r="C86" s="0" t="s">
        <v>692</v>
      </c>
      <c r="D86" s="0" t="s">
        <v>565</v>
      </c>
      <c r="E86" s="0" t="s">
        <v>577</v>
      </c>
    </row>
    <row r="87" customFormat="false" ht="15" hidden="false" customHeight="false" outlineLevel="0" collapsed="false">
      <c r="C87" s="0" t="s">
        <v>707</v>
      </c>
      <c r="D87" s="0" t="s">
        <v>565</v>
      </c>
      <c r="E87" s="0" t="s">
        <v>1026</v>
      </c>
    </row>
    <row r="88" customFormat="false" ht="15" hidden="false" customHeight="false" outlineLevel="0" collapsed="false">
      <c r="C88" s="0" t="s">
        <v>491</v>
      </c>
      <c r="D88" s="0" t="s">
        <v>565</v>
      </c>
      <c r="E88" s="0" t="s">
        <v>1028</v>
      </c>
    </row>
    <row r="89" customFormat="false" ht="15" hidden="false" customHeight="false" outlineLevel="0" collapsed="false">
      <c r="C89" s="0" t="s">
        <v>984</v>
      </c>
      <c r="D89" s="0" t="s">
        <v>565</v>
      </c>
      <c r="E89" s="0" t="s">
        <v>1029</v>
      </c>
    </row>
    <row r="90" customFormat="false" ht="15" hidden="false" customHeight="false" outlineLevel="0" collapsed="false">
      <c r="C90" s="0" t="s">
        <v>712</v>
      </c>
      <c r="D90" s="0" t="s">
        <v>565</v>
      </c>
      <c r="E90" s="0" t="s">
        <v>1030</v>
      </c>
    </row>
    <row r="91" customFormat="false" ht="15" hidden="false" customHeight="false" outlineLevel="0" collapsed="false">
      <c r="C91" s="0" t="s">
        <v>717</v>
      </c>
      <c r="D91" s="0" t="s">
        <v>565</v>
      </c>
      <c r="E91" s="0" t="s">
        <v>1031</v>
      </c>
    </row>
    <row r="92" customFormat="false" ht="15" hidden="false" customHeight="false" outlineLevel="0" collapsed="false">
      <c r="C92" s="0" t="s">
        <v>730</v>
      </c>
      <c r="D92" s="0" t="s">
        <v>565</v>
      </c>
      <c r="E92" s="0" t="s">
        <v>1032</v>
      </c>
    </row>
    <row r="93" customFormat="false" ht="15" hidden="false" customHeight="false" outlineLevel="0" collapsed="false">
      <c r="C93" s="0" t="s">
        <v>1183</v>
      </c>
      <c r="D93" s="0" t="s">
        <v>565</v>
      </c>
      <c r="E93" s="0" t="s">
        <v>969</v>
      </c>
    </row>
    <row r="94" customFormat="false" ht="15" hidden="false" customHeight="false" outlineLevel="0" collapsed="false">
      <c r="C94" s="0" t="s">
        <v>735</v>
      </c>
      <c r="D94" s="0" t="s">
        <v>565</v>
      </c>
      <c r="E94" s="0" t="s">
        <v>961</v>
      </c>
    </row>
    <row r="95" customFormat="false" ht="15" hidden="false" customHeight="false" outlineLevel="0" collapsed="false">
      <c r="C95" s="0" t="s">
        <v>1175</v>
      </c>
      <c r="D95" s="0" t="s">
        <v>565</v>
      </c>
      <c r="E95" s="0" t="s">
        <v>965</v>
      </c>
    </row>
    <row r="96" customFormat="false" ht="15" hidden="false" customHeight="false" outlineLevel="0" collapsed="false">
      <c r="C96" s="0" t="s">
        <v>568</v>
      </c>
      <c r="D96" s="0" t="s">
        <v>565</v>
      </c>
      <c r="E96" s="0" t="s">
        <v>967</v>
      </c>
    </row>
    <row r="97" customFormat="false" ht="15" hidden="false" customHeight="false" outlineLevel="0" collapsed="false">
      <c r="C97" s="0" t="s">
        <v>566</v>
      </c>
      <c r="D97" s="0" t="s">
        <v>1055</v>
      </c>
      <c r="E97" s="0" t="s">
        <v>1060</v>
      </c>
    </row>
    <row r="98" customFormat="false" ht="15" hidden="false" customHeight="false" outlineLevel="0" collapsed="false">
      <c r="C98" s="0" t="s">
        <v>611</v>
      </c>
      <c r="D98" s="0" t="s">
        <v>1055</v>
      </c>
      <c r="E98" s="0" t="s">
        <v>1056</v>
      </c>
    </row>
    <row r="99" customFormat="false" ht="15" hidden="false" customHeight="false" outlineLevel="0" collapsed="false">
      <c r="C99" s="0" t="s">
        <v>1186</v>
      </c>
      <c r="D99" s="0" t="s">
        <v>1055</v>
      </c>
      <c r="E99" s="0" t="s">
        <v>1063</v>
      </c>
    </row>
    <row r="100" customFormat="false" ht="15" hidden="false" customHeight="false" outlineLevel="0" collapsed="false">
      <c r="C100" s="0" t="s">
        <v>1190</v>
      </c>
      <c r="D100" s="0" t="s">
        <v>1055</v>
      </c>
      <c r="E100" s="0" t="s">
        <v>1070</v>
      </c>
    </row>
    <row r="101" customFormat="false" ht="15" hidden="false" customHeight="false" outlineLevel="0" collapsed="false">
      <c r="C101" s="0" t="s">
        <v>1189</v>
      </c>
      <c r="D101" s="0" t="s">
        <v>1055</v>
      </c>
      <c r="E101" s="0" t="s">
        <v>1068</v>
      </c>
    </row>
    <row r="102" customFormat="false" ht="15" hidden="false" customHeight="false" outlineLevel="0" collapsed="false">
      <c r="C102" s="0" t="s">
        <v>1000</v>
      </c>
      <c r="D102" s="0" t="s">
        <v>1055</v>
      </c>
      <c r="E102" s="0" t="s">
        <v>1071</v>
      </c>
    </row>
    <row r="103" customFormat="false" ht="15" hidden="false" customHeight="false" outlineLevel="0" collapsed="false">
      <c r="C103" s="0" t="s">
        <v>1004</v>
      </c>
      <c r="D103" s="0" t="s">
        <v>1055</v>
      </c>
      <c r="E103" s="0" t="s">
        <v>1078</v>
      </c>
    </row>
    <row r="104" customFormat="false" ht="15" hidden="false" customHeight="false" outlineLevel="0" collapsed="false">
      <c r="C104" s="0" t="s">
        <v>1007</v>
      </c>
      <c r="D104" s="0" t="s">
        <v>1055</v>
      </c>
      <c r="E104" s="0" t="s">
        <v>1074</v>
      </c>
    </row>
    <row r="105" customFormat="false" ht="15" hidden="false" customHeight="false" outlineLevel="0" collapsed="false">
      <c r="C105" s="0" t="s">
        <v>1009</v>
      </c>
      <c r="D105" s="0" t="s">
        <v>1055</v>
      </c>
      <c r="E105" s="0" t="s">
        <v>1076</v>
      </c>
    </row>
    <row r="106" customFormat="false" ht="15" hidden="false" customHeight="false" outlineLevel="0" collapsed="false">
      <c r="C106" s="0" t="s">
        <v>1010</v>
      </c>
      <c r="D106" s="0" t="s">
        <v>1055</v>
      </c>
      <c r="E106" s="0" t="s">
        <v>1087</v>
      </c>
    </row>
    <row r="107" customFormat="false" ht="15" hidden="false" customHeight="false" outlineLevel="0" collapsed="false">
      <c r="C107" s="0" t="s">
        <v>1011</v>
      </c>
      <c r="D107" s="0" t="s">
        <v>1055</v>
      </c>
      <c r="E107" s="0" t="s">
        <v>1082</v>
      </c>
    </row>
    <row r="108" customFormat="false" ht="15" hidden="false" customHeight="false" outlineLevel="0" collapsed="false">
      <c r="C108" s="0" t="s">
        <v>1013</v>
      </c>
      <c r="D108" s="0" t="s">
        <v>1055</v>
      </c>
      <c r="E108" s="0" t="s">
        <v>1108</v>
      </c>
    </row>
    <row r="109" customFormat="false" ht="15" hidden="false" customHeight="false" outlineLevel="0" collapsed="false">
      <c r="C109" s="0" t="s">
        <v>738</v>
      </c>
      <c r="D109" s="0" t="s">
        <v>1055</v>
      </c>
      <c r="E109" s="0" t="s">
        <v>1128</v>
      </c>
    </row>
    <row r="110" customFormat="false" ht="15" hidden="false" customHeight="false" outlineLevel="0" collapsed="false">
      <c r="C110" s="0" t="s">
        <v>201</v>
      </c>
      <c r="D110" s="0" t="s">
        <v>1055</v>
      </c>
      <c r="E110" s="0" t="s">
        <v>1131</v>
      </c>
    </row>
    <row r="111" customFormat="false" ht="15" hidden="false" customHeight="false" outlineLevel="0" collapsed="false">
      <c r="C111" s="0" t="s">
        <v>205</v>
      </c>
      <c r="D111" s="0" t="s">
        <v>1055</v>
      </c>
      <c r="E111" s="0" t="s">
        <v>1138</v>
      </c>
    </row>
    <row r="112" customFormat="false" ht="15" hidden="false" customHeight="false" outlineLevel="0" collapsed="false">
      <c r="C112" s="0" t="s">
        <v>395</v>
      </c>
      <c r="D112" s="0" t="s">
        <v>1055</v>
      </c>
      <c r="E112" s="0" t="s">
        <v>1147</v>
      </c>
    </row>
    <row r="113" customFormat="false" ht="15" hidden="false" customHeight="false" outlineLevel="0" collapsed="false">
      <c r="C113" s="0" t="s">
        <v>400</v>
      </c>
      <c r="D113" s="0" t="s">
        <v>1055</v>
      </c>
      <c r="E113" s="0" t="s">
        <v>1135</v>
      </c>
    </row>
    <row r="114" customFormat="false" ht="15" hidden="false" customHeight="false" outlineLevel="0" collapsed="false">
      <c r="C114" s="0" t="s">
        <v>257</v>
      </c>
      <c r="D114" s="0" t="s">
        <v>1055</v>
      </c>
      <c r="E114" s="0" t="s">
        <v>1114</v>
      </c>
    </row>
    <row r="115" customFormat="false" ht="15" hidden="false" customHeight="false" outlineLevel="0" collapsed="false">
      <c r="C115" s="0" t="s">
        <v>634</v>
      </c>
      <c r="D115" s="0" t="s">
        <v>1055</v>
      </c>
      <c r="E115" s="0" t="s">
        <v>1124</v>
      </c>
    </row>
    <row r="116" customFormat="false" ht="15" hidden="false" customHeight="false" outlineLevel="0" collapsed="false">
      <c r="C116" s="0" t="s">
        <v>632</v>
      </c>
      <c r="D116" s="0" t="s">
        <v>1055</v>
      </c>
      <c r="E116" s="0" t="s">
        <v>1123</v>
      </c>
    </row>
    <row r="117" customFormat="false" ht="15" hidden="false" customHeight="false" outlineLevel="0" collapsed="false">
      <c r="C117" s="0" t="s">
        <v>601</v>
      </c>
      <c r="D117" s="0" t="s">
        <v>1055</v>
      </c>
      <c r="E117" s="0" t="s">
        <v>1126</v>
      </c>
    </row>
    <row r="118" customFormat="false" ht="15" hidden="false" customHeight="false" outlineLevel="0" collapsed="false">
      <c r="C118" s="0" t="s">
        <v>340</v>
      </c>
      <c r="D118" s="0" t="s">
        <v>1055</v>
      </c>
      <c r="E118" s="0" t="s">
        <v>1130</v>
      </c>
    </row>
    <row r="119" customFormat="false" ht="15" hidden="false" customHeight="false" outlineLevel="0" collapsed="false">
      <c r="C119" s="0" t="s">
        <v>504</v>
      </c>
      <c r="D119" s="0" t="s">
        <v>1055</v>
      </c>
      <c r="E119" s="0" t="s">
        <v>1151</v>
      </c>
    </row>
    <row r="120" customFormat="false" ht="15" hidden="false" customHeight="false" outlineLevel="0" collapsed="false">
      <c r="C120" s="0" t="s">
        <v>501</v>
      </c>
      <c r="D120" s="0" t="s">
        <v>1055</v>
      </c>
      <c r="E120" s="0" t="s">
        <v>1117</v>
      </c>
    </row>
    <row r="121" customFormat="false" ht="15" hidden="false" customHeight="false" outlineLevel="0" collapsed="false">
      <c r="C121" s="0" t="s">
        <v>1174</v>
      </c>
      <c r="D121" s="0" t="s">
        <v>1055</v>
      </c>
      <c r="E121" s="0" t="s">
        <v>1132</v>
      </c>
    </row>
    <row r="122" customFormat="false" ht="15" hidden="false" customHeight="false" outlineLevel="0" collapsed="false">
      <c r="C122" s="0" t="s">
        <v>740</v>
      </c>
      <c r="D122" s="0" t="s">
        <v>1055</v>
      </c>
      <c r="E122" s="0" t="s">
        <v>1133</v>
      </c>
    </row>
    <row r="123" customFormat="false" ht="15" hidden="false" customHeight="false" outlineLevel="0" collapsed="false">
      <c r="C123" s="0" t="s">
        <v>48</v>
      </c>
      <c r="D123" s="0" t="s">
        <v>1055</v>
      </c>
      <c r="E123" s="0" t="s">
        <v>1096</v>
      </c>
    </row>
    <row r="124" customFormat="false" ht="15" hidden="false" customHeight="false" outlineLevel="0" collapsed="false">
      <c r="C124" s="0" t="s">
        <v>526</v>
      </c>
      <c r="D124" s="0" t="s">
        <v>1055</v>
      </c>
      <c r="E124" s="0" t="s">
        <v>1097</v>
      </c>
    </row>
    <row r="125" customFormat="false" ht="15" hidden="false" customHeight="false" outlineLevel="0" collapsed="false">
      <c r="C125" s="0" t="s">
        <v>594</v>
      </c>
      <c r="D125" s="0" t="s">
        <v>1055</v>
      </c>
      <c r="E125" s="0" t="s">
        <v>1100</v>
      </c>
    </row>
    <row r="126" customFormat="false" ht="15" hidden="false" customHeight="false" outlineLevel="0" collapsed="false">
      <c r="C126" s="0" t="s">
        <v>591</v>
      </c>
      <c r="D126" s="0" t="s">
        <v>1055</v>
      </c>
      <c r="E126" s="0" t="s">
        <v>1161</v>
      </c>
    </row>
    <row r="127" customFormat="false" ht="15" hidden="false" customHeight="false" outlineLevel="0" collapsed="false">
      <c r="C127" s="0" t="s">
        <v>587</v>
      </c>
      <c r="D127" s="0" t="s">
        <v>1055</v>
      </c>
      <c r="E127" s="0" t="s">
        <v>1164</v>
      </c>
    </row>
    <row r="128" customFormat="false" ht="15" hidden="false" customHeight="false" outlineLevel="0" collapsed="false">
      <c r="C128" s="0" t="s">
        <v>589</v>
      </c>
      <c r="D128" s="0" t="s">
        <v>1055</v>
      </c>
      <c r="E128" s="0" t="s">
        <v>1156</v>
      </c>
    </row>
    <row r="129" customFormat="false" ht="15" hidden="false" customHeight="false" outlineLevel="0" collapsed="false">
      <c r="C129" s="0" t="s">
        <v>581</v>
      </c>
      <c r="D129" s="0" t="s">
        <v>1055</v>
      </c>
      <c r="E129" s="0" t="s">
        <v>1157</v>
      </c>
    </row>
    <row r="130" customFormat="false" ht="15" hidden="false" customHeight="false" outlineLevel="0" collapsed="false">
      <c r="C130" s="0" t="s">
        <v>584</v>
      </c>
      <c r="D130" s="0" t="s">
        <v>1055</v>
      </c>
      <c r="E130" s="0" t="s">
        <v>1158</v>
      </c>
    </row>
    <row r="131" customFormat="false" ht="15" hidden="false" customHeight="false" outlineLevel="0" collapsed="false">
      <c r="C131" s="0" t="s">
        <v>585</v>
      </c>
      <c r="D131" s="0" t="s">
        <v>1055</v>
      </c>
      <c r="E131" s="0" t="s">
        <v>1159</v>
      </c>
    </row>
    <row r="132" customFormat="false" ht="15" hidden="false" customHeight="false" outlineLevel="0" collapsed="false">
      <c r="C132" s="0" t="s">
        <v>586</v>
      </c>
      <c r="D132" s="0" t="s">
        <v>1055</v>
      </c>
      <c r="E132" s="0" t="s">
        <v>1160</v>
      </c>
    </row>
    <row r="133" customFormat="false" ht="15" hidden="false" customHeight="false" outlineLevel="0" collapsed="false">
      <c r="C133" s="0" t="s">
        <v>595</v>
      </c>
      <c r="D133" s="0" t="s">
        <v>1055</v>
      </c>
      <c r="E133" s="0" t="s">
        <v>1165</v>
      </c>
    </row>
    <row r="134" customFormat="false" ht="15" hidden="false" customHeight="false" outlineLevel="0" collapsed="false">
      <c r="C134" s="0" t="s">
        <v>590</v>
      </c>
      <c r="D134" s="0" t="s">
        <v>1055</v>
      </c>
      <c r="E134" s="0" t="s">
        <v>1163</v>
      </c>
    </row>
    <row r="135" customFormat="false" ht="15" hidden="false" customHeight="false" outlineLevel="0" collapsed="false">
      <c r="C135" s="0" t="s">
        <v>593</v>
      </c>
      <c r="D135" s="0" t="s">
        <v>1055</v>
      </c>
      <c r="E135" s="0" t="s">
        <v>1167</v>
      </c>
    </row>
    <row r="136" customFormat="false" ht="15" hidden="false" customHeight="false" outlineLevel="0" collapsed="false">
      <c r="C136" s="0" t="s">
        <v>742</v>
      </c>
      <c r="D136" s="0" t="s">
        <v>1055</v>
      </c>
      <c r="E136" s="0" t="s">
        <v>1168</v>
      </c>
    </row>
    <row r="137" customFormat="false" ht="15" hidden="false" customHeight="false" outlineLevel="0" collapsed="false">
      <c r="C137" s="0" t="s">
        <v>748</v>
      </c>
      <c r="D137" s="0" t="s">
        <v>1055</v>
      </c>
      <c r="E137" s="0" t="s">
        <v>1162</v>
      </c>
    </row>
    <row r="138" customFormat="false" ht="15" hidden="false" customHeight="false" outlineLevel="0" collapsed="false">
      <c r="C138" s="0" t="s">
        <v>1078</v>
      </c>
      <c r="D138" s="0" t="s">
        <v>1055</v>
      </c>
      <c r="E138" s="0" t="s">
        <v>1166</v>
      </c>
    </row>
    <row r="139" customFormat="false" ht="15" hidden="false" customHeight="false" outlineLevel="0" collapsed="false">
      <c r="C139" s="0" t="s">
        <v>1074</v>
      </c>
      <c r="D139" s="0" t="s">
        <v>1055</v>
      </c>
      <c r="E139" s="0" t="s">
        <v>1102</v>
      </c>
    </row>
    <row r="140" customFormat="false" ht="15" hidden="false" customHeight="false" outlineLevel="0" collapsed="false">
      <c r="C140" s="0" t="s">
        <v>1076</v>
      </c>
      <c r="D140" s="0" t="s">
        <v>596</v>
      </c>
      <c r="E140" s="0" t="s">
        <v>602</v>
      </c>
    </row>
    <row r="141" customFormat="false" ht="15" hidden="false" customHeight="false" outlineLevel="0" collapsed="false">
      <c r="C141" s="0" t="s">
        <v>1087</v>
      </c>
      <c r="D141" s="0" t="s">
        <v>596</v>
      </c>
      <c r="E141" s="0" t="s">
        <v>611</v>
      </c>
    </row>
    <row r="142" customFormat="false" ht="15" hidden="false" customHeight="false" outlineLevel="0" collapsed="false">
      <c r="C142" s="0" t="s">
        <v>1082</v>
      </c>
      <c r="D142" s="0" t="s">
        <v>596</v>
      </c>
      <c r="E142" s="0" t="s">
        <v>601</v>
      </c>
    </row>
    <row r="143" customFormat="false" ht="15" hidden="false" customHeight="false" outlineLevel="0" collapsed="false">
      <c r="C143" s="0" t="s">
        <v>46</v>
      </c>
      <c r="D143" s="0" t="s">
        <v>596</v>
      </c>
      <c r="E143" s="0" t="s">
        <v>599</v>
      </c>
    </row>
    <row r="144" customFormat="false" ht="15" hidden="false" customHeight="false" outlineLevel="0" collapsed="false">
      <c r="C144" s="0" t="s">
        <v>270</v>
      </c>
      <c r="D144" s="0" t="s">
        <v>596</v>
      </c>
      <c r="E144" s="0" t="s">
        <v>600</v>
      </c>
    </row>
    <row r="145" customFormat="false" ht="15" hidden="false" customHeight="false" outlineLevel="0" collapsed="false">
      <c r="C145" s="0" t="s">
        <v>272</v>
      </c>
      <c r="D145" s="0" t="s">
        <v>596</v>
      </c>
      <c r="E145" s="0" t="s">
        <v>597</v>
      </c>
    </row>
    <row r="146" customFormat="false" ht="15" hidden="false" customHeight="false" outlineLevel="0" collapsed="false">
      <c r="C146" s="0" t="s">
        <v>274</v>
      </c>
      <c r="D146" s="0" t="s">
        <v>339</v>
      </c>
      <c r="E146" s="0" t="s">
        <v>340</v>
      </c>
    </row>
    <row r="147" customFormat="false" ht="15" hidden="false" customHeight="false" outlineLevel="0" collapsed="false">
      <c r="C147" s="0" t="s">
        <v>956</v>
      </c>
      <c r="D147" s="0" t="s">
        <v>339</v>
      </c>
      <c r="E147" s="0" t="s">
        <v>504</v>
      </c>
    </row>
    <row r="148" customFormat="false" ht="15" hidden="false" customHeight="false" outlineLevel="0" collapsed="false">
      <c r="C148" s="0" t="s">
        <v>958</v>
      </c>
      <c r="D148" s="0" t="s">
        <v>339</v>
      </c>
      <c r="E148" s="0" t="s">
        <v>501</v>
      </c>
    </row>
    <row r="149" customFormat="false" ht="15" hidden="false" customHeight="false" outlineLevel="0" collapsed="false">
      <c r="C149" s="0" t="s">
        <v>754</v>
      </c>
      <c r="D149" s="0" t="s">
        <v>293</v>
      </c>
      <c r="E149" s="0" t="s">
        <v>516</v>
      </c>
    </row>
    <row r="150" customFormat="false" ht="15" hidden="false" customHeight="false" outlineLevel="0" collapsed="false">
      <c r="C150" s="0" t="s">
        <v>757</v>
      </c>
      <c r="D150" s="0" t="s">
        <v>293</v>
      </c>
      <c r="E150" s="0" t="s">
        <v>510</v>
      </c>
    </row>
    <row r="151" customFormat="false" ht="15" hidden="false" customHeight="false" outlineLevel="0" collapsed="false">
      <c r="C151" s="0" t="s">
        <v>510</v>
      </c>
      <c r="D151" s="0" t="s">
        <v>293</v>
      </c>
      <c r="E151" s="0" t="s">
        <v>300</v>
      </c>
    </row>
    <row r="152" customFormat="false" ht="15" hidden="false" customHeight="false" outlineLevel="0" collapsed="false">
      <c r="C152" s="0" t="s">
        <v>542</v>
      </c>
      <c r="D152" s="0" t="s">
        <v>293</v>
      </c>
      <c r="E152" s="0" t="s">
        <v>299</v>
      </c>
    </row>
    <row r="153" customFormat="false" ht="15" hidden="false" customHeight="false" outlineLevel="0" collapsed="false">
      <c r="C153" s="0" t="s">
        <v>293</v>
      </c>
      <c r="D153" s="0" t="s">
        <v>293</v>
      </c>
      <c r="E153" s="0" t="s">
        <v>309</v>
      </c>
    </row>
    <row r="154" customFormat="false" ht="15" hidden="false" customHeight="false" outlineLevel="0" collapsed="false">
      <c r="C154" s="0" t="s">
        <v>300</v>
      </c>
      <c r="D154" s="0" t="s">
        <v>293</v>
      </c>
      <c r="E154" s="0" t="s">
        <v>294</v>
      </c>
    </row>
    <row r="155" customFormat="false" ht="15" hidden="false" customHeight="false" outlineLevel="0" collapsed="false">
      <c r="C155" s="0" t="s">
        <v>299</v>
      </c>
      <c r="D155" s="0" t="s">
        <v>293</v>
      </c>
      <c r="E155" s="0" t="s">
        <v>494</v>
      </c>
    </row>
    <row r="156" customFormat="false" ht="15" hidden="false" customHeight="false" outlineLevel="0" collapsed="false">
      <c r="C156" s="0" t="s">
        <v>309</v>
      </c>
      <c r="D156" s="0" t="s">
        <v>293</v>
      </c>
      <c r="E156" s="0" t="s">
        <v>506</v>
      </c>
    </row>
    <row r="157" customFormat="false" ht="15" hidden="false" customHeight="false" outlineLevel="0" collapsed="false">
      <c r="C157" s="0" t="s">
        <v>294</v>
      </c>
      <c r="D157" s="0" t="s">
        <v>293</v>
      </c>
      <c r="E157" s="0" t="s">
        <v>521</v>
      </c>
    </row>
    <row r="158" customFormat="false" ht="15" hidden="false" customHeight="false" outlineLevel="0" collapsed="false">
      <c r="C158" s="0" t="s">
        <v>332</v>
      </c>
      <c r="D158" s="0" t="s">
        <v>25</v>
      </c>
      <c r="E158" s="0" t="s">
        <v>30</v>
      </c>
    </row>
    <row r="159" customFormat="false" ht="15" hidden="false" customHeight="false" outlineLevel="0" collapsed="false">
      <c r="C159" s="0" t="s">
        <v>761</v>
      </c>
      <c r="D159" s="0" t="s">
        <v>25</v>
      </c>
      <c r="E159" s="0" t="s">
        <v>34</v>
      </c>
    </row>
    <row r="160" customFormat="false" ht="15" hidden="false" customHeight="false" outlineLevel="0" collapsed="false">
      <c r="C160" s="0" t="s">
        <v>1108</v>
      </c>
      <c r="D160" s="0" t="s">
        <v>25</v>
      </c>
      <c r="E160" s="0" t="s">
        <v>33</v>
      </c>
    </row>
    <row r="161" customFormat="false" ht="15" hidden="false" customHeight="false" outlineLevel="0" collapsed="false">
      <c r="C161" s="0" t="s">
        <v>1128</v>
      </c>
      <c r="D161" s="0" t="s">
        <v>25</v>
      </c>
      <c r="E161" s="0" t="s">
        <v>35</v>
      </c>
    </row>
    <row r="162" customFormat="false" ht="15" hidden="false" customHeight="false" outlineLevel="0" collapsed="false">
      <c r="C162" s="0" t="s">
        <v>1131</v>
      </c>
      <c r="D162" s="0" t="s">
        <v>25</v>
      </c>
      <c r="E162" s="0" t="s">
        <v>32</v>
      </c>
    </row>
    <row r="163" customFormat="false" ht="15" hidden="false" customHeight="false" outlineLevel="0" collapsed="false">
      <c r="C163" s="0" t="s">
        <v>1138</v>
      </c>
      <c r="D163" s="0" t="s">
        <v>25</v>
      </c>
      <c r="E163" s="0" t="s">
        <v>74</v>
      </c>
    </row>
    <row r="164" customFormat="false" ht="15" hidden="false" customHeight="false" outlineLevel="0" collapsed="false">
      <c r="C164" s="0" t="s">
        <v>1147</v>
      </c>
      <c r="D164" s="0" t="s">
        <v>25</v>
      </c>
      <c r="E164" s="0" t="s">
        <v>67</v>
      </c>
    </row>
    <row r="165" customFormat="false" ht="15" hidden="false" customHeight="false" outlineLevel="0" collapsed="false">
      <c r="C165" s="0" t="s">
        <v>1135</v>
      </c>
      <c r="D165" s="0" t="s">
        <v>25</v>
      </c>
      <c r="E165" s="0" t="s">
        <v>36</v>
      </c>
    </row>
    <row r="166" customFormat="false" ht="15" hidden="false" customHeight="false" outlineLevel="0" collapsed="false">
      <c r="C166" s="0" t="s">
        <v>1114</v>
      </c>
      <c r="D166" s="0" t="s">
        <v>25</v>
      </c>
      <c r="E166" s="0" t="s">
        <v>26</v>
      </c>
    </row>
    <row r="167" customFormat="false" ht="15" hidden="false" customHeight="false" outlineLevel="0" collapsed="false">
      <c r="C167" s="0" t="s">
        <v>1124</v>
      </c>
      <c r="D167" s="0" t="s">
        <v>25</v>
      </c>
      <c r="E167" s="0" t="s">
        <v>48</v>
      </c>
    </row>
    <row r="168" customFormat="false" ht="15" hidden="false" customHeight="false" outlineLevel="0" collapsed="false">
      <c r="C168" s="0" t="s">
        <v>1123</v>
      </c>
      <c r="D168" s="0" t="s">
        <v>25</v>
      </c>
      <c r="E168" s="0" t="s">
        <v>46</v>
      </c>
    </row>
    <row r="169" customFormat="false" ht="15" hidden="false" customHeight="false" outlineLevel="0" collapsed="false">
      <c r="C169" s="0" t="s">
        <v>1126</v>
      </c>
      <c r="D169" s="0" t="s">
        <v>25</v>
      </c>
      <c r="E169" s="0" t="s">
        <v>45</v>
      </c>
    </row>
    <row r="170" customFormat="false" ht="15" hidden="false" customHeight="false" outlineLevel="0" collapsed="false">
      <c r="C170" s="0" t="s">
        <v>1130</v>
      </c>
      <c r="D170" s="0" t="s">
        <v>25</v>
      </c>
      <c r="E170" s="0" t="s">
        <v>54</v>
      </c>
    </row>
    <row r="171" customFormat="false" ht="15" hidden="false" customHeight="false" outlineLevel="0" collapsed="false">
      <c r="C171" s="0" t="s">
        <v>1151</v>
      </c>
      <c r="D171" s="0" t="s">
        <v>25</v>
      </c>
      <c r="E171" s="0" t="s">
        <v>41</v>
      </c>
    </row>
    <row r="172" customFormat="false" ht="15" hidden="false" customHeight="false" outlineLevel="0" collapsed="false">
      <c r="C172" s="0" t="s">
        <v>1117</v>
      </c>
      <c r="D172" s="0" t="s">
        <v>25</v>
      </c>
      <c r="E172" s="0" t="s">
        <v>61</v>
      </c>
    </row>
    <row r="173" customFormat="false" ht="15" hidden="false" customHeight="false" outlineLevel="0" collapsed="false">
      <c r="C173" s="0" t="s">
        <v>1132</v>
      </c>
      <c r="D173" s="0" t="s">
        <v>25</v>
      </c>
      <c r="E173" s="0" t="s">
        <v>37</v>
      </c>
    </row>
    <row r="174" customFormat="false" ht="15" hidden="false" customHeight="false" outlineLevel="0" collapsed="false">
      <c r="C174" s="0" t="s">
        <v>1133</v>
      </c>
      <c r="D174" s="0" t="s">
        <v>25</v>
      </c>
      <c r="E174" s="0" t="s">
        <v>39</v>
      </c>
    </row>
    <row r="175" customFormat="false" ht="15" hidden="false" customHeight="false" outlineLevel="0" collapsed="false">
      <c r="C175" s="0" t="s">
        <v>764</v>
      </c>
      <c r="D175" s="0" t="s">
        <v>25</v>
      </c>
      <c r="E175" s="0" t="s">
        <v>52</v>
      </c>
    </row>
    <row r="176" customFormat="false" ht="15" hidden="false" customHeight="false" outlineLevel="0" collapsed="false">
      <c r="C176" s="0" t="s">
        <v>769</v>
      </c>
      <c r="D176" s="0" t="s">
        <v>25</v>
      </c>
      <c r="E176" s="0" t="s">
        <v>51</v>
      </c>
    </row>
    <row r="177" customFormat="false" ht="15" hidden="false" customHeight="false" outlineLevel="0" collapsed="false">
      <c r="C177" s="0" t="s">
        <v>768</v>
      </c>
      <c r="D177" s="0" t="s">
        <v>25</v>
      </c>
      <c r="E177" s="0" t="s">
        <v>43</v>
      </c>
    </row>
    <row r="178" customFormat="false" ht="15" hidden="false" customHeight="false" outlineLevel="0" collapsed="false">
      <c r="C178" s="0" t="s">
        <v>572</v>
      </c>
      <c r="D178" s="0" t="s">
        <v>77</v>
      </c>
      <c r="E178" s="0" t="s">
        <v>78</v>
      </c>
    </row>
    <row r="179" customFormat="false" ht="15" hidden="false" customHeight="false" outlineLevel="0" collapsed="false">
      <c r="C179" s="0" t="s">
        <v>574</v>
      </c>
      <c r="D179" s="0" t="s">
        <v>77</v>
      </c>
      <c r="E179" s="0" t="s">
        <v>144</v>
      </c>
    </row>
    <row r="180" customFormat="false" ht="15" hidden="false" customHeight="false" outlineLevel="0" collapsed="false">
      <c r="C180" s="0" t="s">
        <v>577</v>
      </c>
      <c r="D180" s="0" t="s">
        <v>77</v>
      </c>
      <c r="E180" s="0" t="s">
        <v>127</v>
      </c>
    </row>
    <row r="181" customFormat="false" ht="15" hidden="false" customHeight="false" outlineLevel="0" collapsed="false">
      <c r="C181" s="0" t="s">
        <v>494</v>
      </c>
      <c r="D181" s="0" t="s">
        <v>158</v>
      </c>
      <c r="E181" s="0" t="s">
        <v>158</v>
      </c>
    </row>
    <row r="182" customFormat="false" ht="15" hidden="false" customHeight="false" outlineLevel="0" collapsed="false">
      <c r="C182" s="0" t="s">
        <v>1096</v>
      </c>
      <c r="D182" s="0" t="s">
        <v>158</v>
      </c>
      <c r="E182" s="0" t="s">
        <v>453</v>
      </c>
    </row>
    <row r="183" customFormat="false" ht="15" hidden="false" customHeight="false" outlineLevel="0" collapsed="false">
      <c r="C183" s="0" t="s">
        <v>771</v>
      </c>
      <c r="D183" s="0" t="s">
        <v>158</v>
      </c>
      <c r="E183" s="0" t="s">
        <v>447</v>
      </c>
    </row>
    <row r="184" customFormat="false" ht="15" hidden="false" customHeight="false" outlineLevel="0" collapsed="false">
      <c r="C184" s="0" t="s">
        <v>389</v>
      </c>
      <c r="D184" s="0" t="s">
        <v>1044</v>
      </c>
      <c r="E184" s="0" t="s">
        <v>1045</v>
      </c>
    </row>
    <row r="185" customFormat="false" ht="15" hidden="false" customHeight="false" outlineLevel="0" collapsed="false">
      <c r="C185" s="0" t="s">
        <v>45</v>
      </c>
      <c r="D185" s="0" t="s">
        <v>1044</v>
      </c>
      <c r="E185" s="0" t="s">
        <v>1048</v>
      </c>
    </row>
    <row r="186" customFormat="false" ht="15" hidden="false" customHeight="false" outlineLevel="0" collapsed="false">
      <c r="C186" s="0" t="s">
        <v>533</v>
      </c>
      <c r="D186" s="0" t="s">
        <v>1170</v>
      </c>
      <c r="E186" s="0" t="s">
        <v>1178</v>
      </c>
    </row>
    <row r="187" customFormat="false" ht="15" hidden="false" customHeight="false" outlineLevel="0" collapsed="false">
      <c r="C187" s="0" t="s">
        <v>54</v>
      </c>
      <c r="D187" s="0" t="s">
        <v>1170</v>
      </c>
      <c r="E187" s="0" t="s">
        <v>1176</v>
      </c>
    </row>
    <row r="188" customFormat="false" ht="15" hidden="false" customHeight="false" outlineLevel="0" collapsed="false">
      <c r="C188" s="0" t="s">
        <v>495</v>
      </c>
      <c r="D188" s="0" t="s">
        <v>1170</v>
      </c>
      <c r="E188" s="0" t="s">
        <v>1183</v>
      </c>
    </row>
    <row r="189" customFormat="false" ht="15" hidden="false" customHeight="false" outlineLevel="0" collapsed="false">
      <c r="C189" s="0" t="s">
        <v>223</v>
      </c>
      <c r="D189" s="0" t="s">
        <v>1170</v>
      </c>
      <c r="E189" s="0" t="s">
        <v>1175</v>
      </c>
    </row>
    <row r="190" customFormat="false" ht="15" hidden="false" customHeight="false" outlineLevel="0" collapsed="false">
      <c r="C190" s="0" t="s">
        <v>772</v>
      </c>
      <c r="D190" s="0" t="s">
        <v>1170</v>
      </c>
      <c r="E190" s="0" t="s">
        <v>1186</v>
      </c>
    </row>
    <row r="191" customFormat="false" ht="15" hidden="false" customHeight="false" outlineLevel="0" collapsed="false">
      <c r="C191" s="0" t="s">
        <v>780</v>
      </c>
      <c r="D191" s="0" t="s">
        <v>1170</v>
      </c>
      <c r="E191" s="0" t="s">
        <v>1174</v>
      </c>
    </row>
    <row r="192" customFormat="false" ht="15" hidden="false" customHeight="false" outlineLevel="0" collapsed="false">
      <c r="C192" s="0" t="s">
        <v>786</v>
      </c>
      <c r="D192" s="0" t="s">
        <v>1170</v>
      </c>
      <c r="E192" s="0" t="s">
        <v>293</v>
      </c>
    </row>
    <row r="193" customFormat="false" ht="15" hidden="false" customHeight="false" outlineLevel="0" collapsed="false">
      <c r="C193" s="0" t="s">
        <v>790</v>
      </c>
      <c r="D193" s="0" t="s">
        <v>1170</v>
      </c>
      <c r="E193" s="0" t="s">
        <v>1179</v>
      </c>
    </row>
    <row r="194" customFormat="false" ht="15" hidden="false" customHeight="false" outlineLevel="0" collapsed="false">
      <c r="C194" s="0" t="s">
        <v>792</v>
      </c>
      <c r="D194" s="0" t="s">
        <v>1170</v>
      </c>
      <c r="E194" s="0" t="s">
        <v>1185</v>
      </c>
    </row>
    <row r="195" customFormat="false" ht="15" hidden="false" customHeight="false" outlineLevel="0" collapsed="false">
      <c r="C195" s="0" t="s">
        <v>1018</v>
      </c>
      <c r="D195" s="0" t="s">
        <v>1170</v>
      </c>
      <c r="E195" s="0" t="s">
        <v>1181</v>
      </c>
    </row>
    <row r="196" customFormat="false" ht="15" hidden="false" customHeight="false" outlineLevel="0" collapsed="false">
      <c r="C196" s="0" t="s">
        <v>1015</v>
      </c>
      <c r="D196" s="0" t="s">
        <v>1170</v>
      </c>
      <c r="E196" s="0" t="s">
        <v>1187</v>
      </c>
    </row>
    <row r="197" customFormat="false" ht="15" hidden="false" customHeight="false" outlineLevel="0" collapsed="false">
      <c r="C197" s="0" t="s">
        <v>264</v>
      </c>
      <c r="D197" s="0" t="s">
        <v>1170</v>
      </c>
      <c r="E197" s="0" t="s">
        <v>1180</v>
      </c>
    </row>
    <row r="198" customFormat="false" ht="15" hidden="false" customHeight="false" outlineLevel="0" collapsed="false">
      <c r="C198" s="0" t="s">
        <v>266</v>
      </c>
      <c r="D198" s="0" t="s">
        <v>1170</v>
      </c>
      <c r="E198" s="0" t="s">
        <v>1182</v>
      </c>
    </row>
    <row r="199" customFormat="false" ht="15" hidden="false" customHeight="false" outlineLevel="0" collapsed="false">
      <c r="C199" s="0" t="s">
        <v>267</v>
      </c>
      <c r="D199" s="0" t="s">
        <v>1170</v>
      </c>
      <c r="E199" s="0" t="s">
        <v>1177</v>
      </c>
    </row>
    <row r="200" customFormat="false" ht="15" hidden="false" customHeight="false" outlineLevel="0" collapsed="false">
      <c r="C200" s="0" t="s">
        <v>268</v>
      </c>
      <c r="D200" s="0" t="s">
        <v>1170</v>
      </c>
      <c r="E200" s="0" t="s">
        <v>1171</v>
      </c>
    </row>
    <row r="201" customFormat="false" ht="15" hidden="false" customHeight="false" outlineLevel="0" collapsed="false">
      <c r="C201" s="0" t="s">
        <v>1097</v>
      </c>
      <c r="D201" s="0" t="s">
        <v>1170</v>
      </c>
      <c r="E201" s="0" t="s">
        <v>1184</v>
      </c>
    </row>
    <row r="202" customFormat="false" ht="15" hidden="false" customHeight="false" outlineLevel="0" collapsed="false">
      <c r="C202" s="0" t="s">
        <v>1100</v>
      </c>
      <c r="D202" s="0" t="s">
        <v>532</v>
      </c>
      <c r="E202" s="0" t="s">
        <v>956</v>
      </c>
    </row>
    <row r="203" customFormat="false" ht="15" hidden="false" customHeight="false" outlineLevel="0" collapsed="false">
      <c r="C203" s="0" t="s">
        <v>794</v>
      </c>
      <c r="D203" s="0" t="s">
        <v>532</v>
      </c>
      <c r="E203" s="0" t="s">
        <v>958</v>
      </c>
    </row>
    <row r="204" customFormat="false" ht="15" hidden="false" customHeight="false" outlineLevel="0" collapsed="false">
      <c r="C204" s="0" t="s">
        <v>506</v>
      </c>
      <c r="D204" s="0" t="s">
        <v>532</v>
      </c>
      <c r="E204" s="0" t="s">
        <v>542</v>
      </c>
    </row>
    <row r="205" customFormat="false" ht="15" hidden="false" customHeight="false" outlineLevel="0" collapsed="false">
      <c r="C205" s="0" t="s">
        <v>795</v>
      </c>
      <c r="D205" s="0" t="s">
        <v>532</v>
      </c>
      <c r="E205" s="0" t="s">
        <v>533</v>
      </c>
    </row>
    <row r="206" customFormat="false" ht="15" hidden="false" customHeight="false" outlineLevel="0" collapsed="false">
      <c r="C206" s="0" t="s">
        <v>797</v>
      </c>
      <c r="D206" s="0" t="s">
        <v>532</v>
      </c>
      <c r="E206" s="0" t="s">
        <v>538</v>
      </c>
    </row>
    <row r="207" customFormat="false" ht="15" hidden="false" customHeight="false" outlineLevel="0" collapsed="false">
      <c r="C207" s="0" t="s">
        <v>800</v>
      </c>
      <c r="D207" s="0" t="s">
        <v>200</v>
      </c>
      <c r="E207" s="0" t="s">
        <v>421</v>
      </c>
    </row>
    <row r="208" customFormat="false" ht="15" hidden="false" customHeight="false" outlineLevel="0" collapsed="false">
      <c r="C208" s="0" t="s">
        <v>802</v>
      </c>
      <c r="D208" s="0" t="s">
        <v>200</v>
      </c>
      <c r="E208" s="0" t="s">
        <v>417</v>
      </c>
    </row>
    <row r="209" customFormat="false" ht="15" hidden="false" customHeight="false" outlineLevel="0" collapsed="false">
      <c r="C209" s="0" t="s">
        <v>812</v>
      </c>
      <c r="D209" s="0" t="s">
        <v>200</v>
      </c>
      <c r="E209" s="0" t="s">
        <v>411</v>
      </c>
    </row>
    <row r="210" customFormat="false" ht="15" hidden="false" customHeight="false" outlineLevel="0" collapsed="false">
      <c r="C210" s="0" t="s">
        <v>819</v>
      </c>
      <c r="D210" s="0" t="s">
        <v>200</v>
      </c>
      <c r="E210" s="0" t="s">
        <v>220</v>
      </c>
    </row>
    <row r="211" customFormat="false" ht="15" hidden="false" customHeight="false" outlineLevel="0" collapsed="false">
      <c r="C211" s="0" t="s">
        <v>830</v>
      </c>
      <c r="D211" s="0" t="s">
        <v>200</v>
      </c>
      <c r="E211" s="0" t="s">
        <v>401</v>
      </c>
    </row>
    <row r="212" customFormat="false" ht="15" hidden="false" customHeight="false" outlineLevel="0" collapsed="false">
      <c r="C212" s="0" t="s">
        <v>833</v>
      </c>
      <c r="D212" s="0" t="s">
        <v>200</v>
      </c>
      <c r="E212" s="0" t="s">
        <v>208</v>
      </c>
    </row>
    <row r="213" customFormat="false" ht="15" hidden="false" customHeight="false" outlineLevel="0" collapsed="false">
      <c r="C213" s="0" t="s">
        <v>838</v>
      </c>
      <c r="D213" s="0" t="s">
        <v>200</v>
      </c>
      <c r="E213" s="0" t="s">
        <v>206</v>
      </c>
    </row>
    <row r="214" customFormat="false" ht="15" hidden="false" customHeight="false" outlineLevel="0" collapsed="false">
      <c r="C214" s="0" t="s">
        <v>934</v>
      </c>
      <c r="D214" s="0" t="s">
        <v>200</v>
      </c>
      <c r="E214" s="0" t="s">
        <v>404</v>
      </c>
    </row>
    <row r="215" customFormat="false" ht="15" hidden="false" customHeight="false" outlineLevel="0" collapsed="false">
      <c r="C215" s="0" t="s">
        <v>846</v>
      </c>
      <c r="D215" s="0" t="s">
        <v>200</v>
      </c>
      <c r="E215" s="0" t="s">
        <v>201</v>
      </c>
    </row>
    <row r="216" customFormat="false" ht="15" hidden="false" customHeight="false" outlineLevel="0" collapsed="false">
      <c r="C216" s="0" t="s">
        <v>158</v>
      </c>
      <c r="D216" s="0" t="s">
        <v>200</v>
      </c>
      <c r="E216" s="0" t="s">
        <v>205</v>
      </c>
    </row>
    <row r="217" customFormat="false" ht="15" hidden="false" customHeight="false" outlineLevel="0" collapsed="false">
      <c r="C217" s="0" t="s">
        <v>453</v>
      </c>
      <c r="D217" s="0" t="s">
        <v>200</v>
      </c>
      <c r="E217" s="0" t="s">
        <v>395</v>
      </c>
    </row>
    <row r="218" customFormat="false" ht="15" hidden="false" customHeight="false" outlineLevel="0" collapsed="false">
      <c r="C218" s="0" t="s">
        <v>447</v>
      </c>
      <c r="D218" s="0" t="s">
        <v>200</v>
      </c>
      <c r="E218" s="0" t="s">
        <v>400</v>
      </c>
    </row>
    <row r="219" customFormat="false" ht="15" hidden="false" customHeight="false" outlineLevel="0" collapsed="false">
      <c r="C219" s="0" t="s">
        <v>1193</v>
      </c>
      <c r="D219" s="0" t="s">
        <v>200</v>
      </c>
      <c r="E219" s="0" t="s">
        <v>223</v>
      </c>
    </row>
    <row r="220" customFormat="false" ht="15" hidden="false" customHeight="false" outlineLevel="0" collapsed="false">
      <c r="C220" s="0" t="s">
        <v>856</v>
      </c>
      <c r="D220" s="0" t="s">
        <v>200</v>
      </c>
      <c r="E220" s="0" t="s">
        <v>227</v>
      </c>
    </row>
    <row r="221" customFormat="false" ht="15" hidden="false" customHeight="false" outlineLevel="0" collapsed="false">
      <c r="C221" s="0" t="s">
        <v>853</v>
      </c>
      <c r="D221" s="0" t="s">
        <v>200</v>
      </c>
      <c r="E221" s="0" t="s">
        <v>500</v>
      </c>
    </row>
    <row r="222" customFormat="false" ht="15" hidden="false" customHeight="false" outlineLevel="0" collapsed="false">
      <c r="C222" s="0" t="s">
        <v>850</v>
      </c>
      <c r="D222" s="0" t="s">
        <v>604</v>
      </c>
      <c r="E222" s="0" t="s">
        <v>605</v>
      </c>
    </row>
    <row r="223" customFormat="false" ht="15" hidden="false" customHeight="false" outlineLevel="0" collapsed="false">
      <c r="C223" s="0" t="s">
        <v>439</v>
      </c>
      <c r="D223" s="0" t="s">
        <v>580</v>
      </c>
      <c r="E223" s="0" t="s">
        <v>594</v>
      </c>
    </row>
    <row r="224" customFormat="false" ht="15" hidden="false" customHeight="false" outlineLevel="0" collapsed="false">
      <c r="C224" s="0" t="s">
        <v>438</v>
      </c>
      <c r="D224" s="0" t="s">
        <v>580</v>
      </c>
      <c r="E224" s="0" t="s">
        <v>591</v>
      </c>
    </row>
    <row r="225" customFormat="false" ht="15" hidden="false" customHeight="false" outlineLevel="0" collapsed="false">
      <c r="C225" s="0" t="s">
        <v>1045</v>
      </c>
      <c r="D225" s="0" t="s">
        <v>580</v>
      </c>
      <c r="E225" s="0" t="s">
        <v>587</v>
      </c>
    </row>
    <row r="226" customFormat="false" ht="15" hidden="false" customHeight="false" outlineLevel="0" collapsed="false">
      <c r="C226" s="0" t="s">
        <v>1048</v>
      </c>
      <c r="D226" s="0" t="s">
        <v>580</v>
      </c>
      <c r="E226" s="0" t="s">
        <v>589</v>
      </c>
    </row>
    <row r="227" customFormat="false" ht="15" hidden="false" customHeight="false" outlineLevel="0" collapsed="false">
      <c r="C227" s="0" t="s">
        <v>1043</v>
      </c>
      <c r="D227" s="0" t="s">
        <v>580</v>
      </c>
      <c r="E227" s="0" t="s">
        <v>581</v>
      </c>
    </row>
    <row r="228" customFormat="false" ht="15" hidden="false" customHeight="false" outlineLevel="0" collapsed="false">
      <c r="C228" s="0" t="s">
        <v>1038</v>
      </c>
      <c r="D228" s="0" t="s">
        <v>580</v>
      </c>
      <c r="E228" s="0" t="s">
        <v>584</v>
      </c>
    </row>
    <row r="229" customFormat="false" ht="15" hidden="false" customHeight="false" outlineLevel="0" collapsed="false">
      <c r="C229" s="0" t="s">
        <v>1041</v>
      </c>
      <c r="D229" s="0" t="s">
        <v>580</v>
      </c>
      <c r="E229" s="0" t="s">
        <v>585</v>
      </c>
    </row>
    <row r="230" customFormat="false" ht="15" hidden="false" customHeight="false" outlineLevel="0" collapsed="false">
      <c r="C230" s="0" t="s">
        <v>563</v>
      </c>
      <c r="D230" s="0" t="s">
        <v>580</v>
      </c>
      <c r="E230" s="0" t="s">
        <v>586</v>
      </c>
    </row>
    <row r="231" customFormat="false" ht="15" hidden="false" customHeight="false" outlineLevel="0" collapsed="false">
      <c r="C231" s="0" t="s">
        <v>1182</v>
      </c>
      <c r="D231" s="0" t="s">
        <v>580</v>
      </c>
      <c r="E231" s="0" t="s">
        <v>595</v>
      </c>
    </row>
    <row r="232" customFormat="false" ht="15" hidden="false" customHeight="false" outlineLevel="0" collapsed="false">
      <c r="C232" s="0" t="s">
        <v>521</v>
      </c>
      <c r="D232" s="0" t="s">
        <v>580</v>
      </c>
      <c r="E232" s="0" t="s">
        <v>590</v>
      </c>
    </row>
    <row r="233" customFormat="false" ht="15" hidden="false" customHeight="false" outlineLevel="0" collapsed="false">
      <c r="C233" s="0" t="s">
        <v>256</v>
      </c>
      <c r="D233" s="0" t="s">
        <v>580</v>
      </c>
      <c r="E233" s="0" t="s">
        <v>593</v>
      </c>
    </row>
    <row r="234" customFormat="false" ht="15" hidden="false" customHeight="false" outlineLevel="0" collapsed="false">
      <c r="C234" s="0" t="s">
        <v>859</v>
      </c>
      <c r="D234" s="0" t="s">
        <v>1188</v>
      </c>
      <c r="E234" s="0" t="s">
        <v>1190</v>
      </c>
    </row>
    <row r="235" customFormat="false" ht="15" hidden="false" customHeight="false" outlineLevel="0" collapsed="false">
      <c r="C235" s="0" t="s">
        <v>1177</v>
      </c>
      <c r="D235" s="0" t="s">
        <v>1188</v>
      </c>
      <c r="E235" s="0" t="s">
        <v>1189</v>
      </c>
    </row>
    <row r="236" customFormat="false" ht="15" hidden="false" customHeight="false" outlineLevel="0" collapsed="false">
      <c r="C236" s="0" t="s">
        <v>252</v>
      </c>
      <c r="D236" s="0" t="s">
        <v>1188</v>
      </c>
      <c r="E236" s="0" t="s">
        <v>1193</v>
      </c>
    </row>
    <row r="237" customFormat="false" ht="15" hidden="false" customHeight="false" outlineLevel="0" collapsed="false">
      <c r="C237" s="0" t="s">
        <v>1024</v>
      </c>
      <c r="D237" s="0" t="s">
        <v>1188</v>
      </c>
      <c r="E237" s="0" t="s">
        <v>1192</v>
      </c>
    </row>
    <row r="238" customFormat="false" ht="15" hidden="false" customHeight="false" outlineLevel="0" collapsed="false">
      <c r="C238" s="0" t="s">
        <v>1026</v>
      </c>
      <c r="D238" s="0" t="s">
        <v>1188</v>
      </c>
      <c r="E238" s="0" t="s">
        <v>1191</v>
      </c>
    </row>
    <row r="239" customFormat="false" ht="15" hidden="false" customHeight="false" outlineLevel="0" collapsed="false">
      <c r="C239" s="0" t="s">
        <v>1028</v>
      </c>
      <c r="D239" s="0" t="s">
        <v>640</v>
      </c>
      <c r="E239" s="0" t="s">
        <v>641</v>
      </c>
    </row>
    <row r="240" customFormat="false" ht="15" hidden="false" customHeight="false" outlineLevel="0" collapsed="false">
      <c r="C240" s="0" t="s">
        <v>1029</v>
      </c>
      <c r="D240" s="0" t="s">
        <v>640</v>
      </c>
      <c r="E240" s="0" t="s">
        <v>652</v>
      </c>
    </row>
    <row r="241" customFormat="false" ht="15" hidden="false" customHeight="false" outlineLevel="0" collapsed="false">
      <c r="C241" s="0" t="s">
        <v>1030</v>
      </c>
      <c r="D241" s="0" t="s">
        <v>640</v>
      </c>
      <c r="E241" s="0" t="s">
        <v>665</v>
      </c>
    </row>
    <row r="242" customFormat="false" ht="15" hidden="false" customHeight="false" outlineLevel="0" collapsed="false">
      <c r="C242" s="0" t="s">
        <v>1031</v>
      </c>
      <c r="D242" s="0" t="s">
        <v>640</v>
      </c>
      <c r="E242" s="0" t="s">
        <v>668</v>
      </c>
    </row>
    <row r="243" customFormat="false" ht="15" hidden="false" customHeight="false" outlineLevel="0" collapsed="false">
      <c r="C243" s="0" t="s">
        <v>1032</v>
      </c>
      <c r="D243" s="0" t="s">
        <v>640</v>
      </c>
      <c r="E243" s="0" t="s">
        <v>674</v>
      </c>
    </row>
    <row r="244" customFormat="false" ht="15" hidden="false" customHeight="false" outlineLevel="0" collapsed="false">
      <c r="C244" s="0" t="s">
        <v>392</v>
      </c>
      <c r="D244" s="0" t="s">
        <v>640</v>
      </c>
      <c r="E244" s="0" t="s">
        <v>679</v>
      </c>
    </row>
    <row r="245" customFormat="false" ht="15" hidden="false" customHeight="false" outlineLevel="0" collapsed="false">
      <c r="C245" s="0" t="s">
        <v>1179</v>
      </c>
      <c r="D245" s="0" t="s">
        <v>640</v>
      </c>
      <c r="E245" s="0" t="s">
        <v>677</v>
      </c>
    </row>
    <row r="246" customFormat="false" ht="15" hidden="false" customHeight="false" outlineLevel="0" collapsed="false">
      <c r="C246" s="0" t="s">
        <v>41</v>
      </c>
      <c r="D246" s="0" t="s">
        <v>640</v>
      </c>
      <c r="E246" s="0" t="s">
        <v>681</v>
      </c>
    </row>
    <row r="247" customFormat="false" ht="15" hidden="false" customHeight="false" outlineLevel="0" collapsed="false">
      <c r="C247" s="0" t="s">
        <v>862</v>
      </c>
      <c r="D247" s="0" t="s">
        <v>640</v>
      </c>
      <c r="E247" s="0" t="s">
        <v>684</v>
      </c>
    </row>
    <row r="248" customFormat="false" ht="15" hidden="false" customHeight="false" outlineLevel="0" collapsed="false">
      <c r="C248" s="0" t="s">
        <v>1185</v>
      </c>
      <c r="D248" s="0" t="s">
        <v>640</v>
      </c>
      <c r="E248" s="0" t="s">
        <v>692</v>
      </c>
    </row>
    <row r="249" customFormat="false" ht="15" hidden="false" customHeight="false" outlineLevel="0" collapsed="false">
      <c r="C249" s="0" t="s">
        <v>1181</v>
      </c>
      <c r="D249" s="0" t="s">
        <v>640</v>
      </c>
      <c r="E249" s="0" t="s">
        <v>707</v>
      </c>
    </row>
    <row r="250" customFormat="false" ht="15" hidden="false" customHeight="false" outlineLevel="0" collapsed="false">
      <c r="C250" s="0" t="s">
        <v>1187</v>
      </c>
      <c r="D250" s="0" t="s">
        <v>640</v>
      </c>
      <c r="E250" s="0" t="s">
        <v>712</v>
      </c>
    </row>
    <row r="251" customFormat="false" ht="15" hidden="false" customHeight="false" outlineLevel="0" collapsed="false">
      <c r="C251" s="0" t="s">
        <v>1180</v>
      </c>
      <c r="D251" s="0" t="s">
        <v>640</v>
      </c>
      <c r="E251" s="0" t="s">
        <v>717</v>
      </c>
    </row>
    <row r="252" customFormat="false" ht="15" hidden="false" customHeight="false" outlineLevel="0" collapsed="false">
      <c r="C252" s="0" t="s">
        <v>599</v>
      </c>
      <c r="D252" s="0" t="s">
        <v>640</v>
      </c>
      <c r="E252" s="0" t="s">
        <v>730</v>
      </c>
    </row>
    <row r="253" customFormat="false" ht="15" hidden="false" customHeight="false" outlineLevel="0" collapsed="false">
      <c r="C253" s="0" t="s">
        <v>867</v>
      </c>
      <c r="D253" s="0" t="s">
        <v>640</v>
      </c>
      <c r="E253" s="0" t="s">
        <v>735</v>
      </c>
    </row>
    <row r="254" customFormat="false" ht="15" hidden="false" customHeight="false" outlineLevel="0" collapsed="false">
      <c r="C254" s="0" t="s">
        <v>615</v>
      </c>
      <c r="D254" s="0" t="s">
        <v>640</v>
      </c>
      <c r="E254" s="0" t="s">
        <v>738</v>
      </c>
    </row>
    <row r="255" customFormat="false" ht="15" hidden="false" customHeight="false" outlineLevel="0" collapsed="false">
      <c r="C255" s="0" t="s">
        <v>1171</v>
      </c>
      <c r="D255" s="0" t="s">
        <v>640</v>
      </c>
      <c r="E255" s="0" t="s">
        <v>740</v>
      </c>
    </row>
    <row r="256" customFormat="false" ht="15" hidden="false" customHeight="false" outlineLevel="0" collapsed="false">
      <c r="C256" s="0" t="s">
        <v>636</v>
      </c>
      <c r="D256" s="0" t="s">
        <v>640</v>
      </c>
      <c r="E256" s="0" t="s">
        <v>742</v>
      </c>
    </row>
    <row r="257" customFormat="false" ht="15" hidden="false" customHeight="false" outlineLevel="0" collapsed="false">
      <c r="C257" s="0" t="s">
        <v>869</v>
      </c>
      <c r="D257" s="0" t="s">
        <v>640</v>
      </c>
      <c r="E257" s="0" t="s">
        <v>748</v>
      </c>
    </row>
    <row r="258" customFormat="false" ht="15" hidden="false" customHeight="false" outlineLevel="0" collapsed="false">
      <c r="C258" s="0" t="s">
        <v>872</v>
      </c>
      <c r="D258" s="0" t="s">
        <v>640</v>
      </c>
      <c r="E258" s="0" t="s">
        <v>757</v>
      </c>
    </row>
    <row r="259" customFormat="false" ht="15" hidden="false" customHeight="false" outlineLevel="0" collapsed="false">
      <c r="C259" s="0" t="s">
        <v>882</v>
      </c>
      <c r="D259" s="0" t="s">
        <v>640</v>
      </c>
      <c r="E259" s="0" t="s">
        <v>754</v>
      </c>
    </row>
    <row r="260" customFormat="false" ht="15" hidden="false" customHeight="false" outlineLevel="0" collapsed="false">
      <c r="C260" s="0" t="s">
        <v>877</v>
      </c>
      <c r="D260" s="0" t="s">
        <v>640</v>
      </c>
      <c r="E260" s="0" t="s">
        <v>761</v>
      </c>
    </row>
    <row r="261" customFormat="false" ht="15" hidden="false" customHeight="false" outlineLevel="0" collapsed="false">
      <c r="C261" s="0" t="s">
        <v>605</v>
      </c>
      <c r="D261" s="0" t="s">
        <v>640</v>
      </c>
      <c r="E261" s="0" t="s">
        <v>764</v>
      </c>
    </row>
    <row r="262" customFormat="false" ht="15" hidden="false" customHeight="false" outlineLevel="0" collapsed="false">
      <c r="C262" s="0" t="s">
        <v>1192</v>
      </c>
      <c r="D262" s="0" t="s">
        <v>640</v>
      </c>
      <c r="E262" s="0" t="s">
        <v>769</v>
      </c>
    </row>
    <row r="263" customFormat="false" ht="15" hidden="false" customHeight="false" outlineLevel="0" collapsed="false">
      <c r="C263" s="0" t="s">
        <v>941</v>
      </c>
      <c r="D263" s="0" t="s">
        <v>640</v>
      </c>
      <c r="E263" s="0" t="s">
        <v>768</v>
      </c>
    </row>
    <row r="264" customFormat="false" ht="15" hidden="false" customHeight="false" outlineLevel="0" collapsed="false">
      <c r="C264" s="0" t="s">
        <v>933</v>
      </c>
      <c r="D264" s="0" t="s">
        <v>640</v>
      </c>
      <c r="E264" s="0" t="s">
        <v>771</v>
      </c>
    </row>
    <row r="265" customFormat="false" ht="15" hidden="false" customHeight="false" outlineLevel="0" collapsed="false">
      <c r="C265" s="0" t="s">
        <v>929</v>
      </c>
      <c r="D265" s="0" t="s">
        <v>640</v>
      </c>
      <c r="E265" s="0" t="s">
        <v>772</v>
      </c>
    </row>
    <row r="266" customFormat="false" ht="15" hidden="false" customHeight="false" outlineLevel="0" collapsed="false">
      <c r="C266" s="0" t="s">
        <v>937</v>
      </c>
      <c r="D266" s="0" t="s">
        <v>640</v>
      </c>
      <c r="E266" s="0" t="s">
        <v>780</v>
      </c>
    </row>
    <row r="267" customFormat="false" ht="15" hidden="false" customHeight="false" outlineLevel="0" collapsed="false">
      <c r="C267" s="0" t="s">
        <v>939</v>
      </c>
      <c r="D267" s="0" t="s">
        <v>640</v>
      </c>
      <c r="E267" s="0" t="s">
        <v>786</v>
      </c>
    </row>
    <row r="268" customFormat="false" ht="15" hidden="false" customHeight="false" outlineLevel="0" collapsed="false">
      <c r="C268" s="0" t="s">
        <v>940</v>
      </c>
      <c r="D268" s="0" t="s">
        <v>640</v>
      </c>
      <c r="E268" s="0" t="s">
        <v>790</v>
      </c>
    </row>
    <row r="269" customFormat="false" ht="15" hidden="false" customHeight="false" outlineLevel="0" collapsed="false">
      <c r="C269" s="0" t="s">
        <v>538</v>
      </c>
      <c r="D269" s="0" t="s">
        <v>640</v>
      </c>
      <c r="E269" s="0" t="s">
        <v>792</v>
      </c>
    </row>
    <row r="270" customFormat="false" ht="15" hidden="false" customHeight="false" outlineLevel="0" collapsed="false">
      <c r="C270" s="0" t="s">
        <v>1161</v>
      </c>
      <c r="D270" s="0" t="s">
        <v>640</v>
      </c>
      <c r="E270" s="0" t="s">
        <v>794</v>
      </c>
    </row>
    <row r="271" customFormat="false" ht="15" hidden="false" customHeight="false" outlineLevel="0" collapsed="false">
      <c r="C271" s="0" t="s">
        <v>1164</v>
      </c>
      <c r="D271" s="0" t="s">
        <v>640</v>
      </c>
      <c r="E271" s="0" t="s">
        <v>795</v>
      </c>
    </row>
    <row r="272" customFormat="false" ht="15" hidden="false" customHeight="false" outlineLevel="0" collapsed="false">
      <c r="C272" s="0" t="s">
        <v>1156</v>
      </c>
      <c r="D272" s="0" t="s">
        <v>640</v>
      </c>
      <c r="E272" s="0" t="s">
        <v>797</v>
      </c>
    </row>
    <row r="273" customFormat="false" ht="15" hidden="false" customHeight="false" outlineLevel="0" collapsed="false">
      <c r="C273" s="0" t="s">
        <v>1157</v>
      </c>
      <c r="D273" s="0" t="s">
        <v>640</v>
      </c>
      <c r="E273" s="0" t="s">
        <v>800</v>
      </c>
    </row>
    <row r="274" customFormat="false" ht="15" hidden="false" customHeight="false" outlineLevel="0" collapsed="false">
      <c r="C274" s="0" t="s">
        <v>1158</v>
      </c>
      <c r="D274" s="0" t="s">
        <v>640</v>
      </c>
      <c r="E274" s="0" t="s">
        <v>802</v>
      </c>
    </row>
    <row r="275" customFormat="false" ht="15" hidden="false" customHeight="false" outlineLevel="0" collapsed="false">
      <c r="C275" s="0" t="s">
        <v>1159</v>
      </c>
      <c r="D275" s="0" t="s">
        <v>640</v>
      </c>
      <c r="E275" s="0" t="s">
        <v>812</v>
      </c>
    </row>
    <row r="276" customFormat="false" ht="15" hidden="false" customHeight="false" outlineLevel="0" collapsed="false">
      <c r="C276" s="0" t="s">
        <v>1160</v>
      </c>
      <c r="D276" s="0" t="s">
        <v>640</v>
      </c>
      <c r="E276" s="0" t="s">
        <v>819</v>
      </c>
    </row>
    <row r="277" customFormat="false" ht="15" hidden="false" customHeight="false" outlineLevel="0" collapsed="false">
      <c r="C277" s="0" t="s">
        <v>1165</v>
      </c>
      <c r="D277" s="0" t="s">
        <v>640</v>
      </c>
      <c r="E277" s="0" t="s">
        <v>830</v>
      </c>
    </row>
    <row r="278" customFormat="false" ht="15" hidden="false" customHeight="false" outlineLevel="0" collapsed="false">
      <c r="C278" s="0" t="s">
        <v>1163</v>
      </c>
      <c r="D278" s="0" t="s">
        <v>640</v>
      </c>
      <c r="E278" s="0" t="s">
        <v>833</v>
      </c>
    </row>
    <row r="279" customFormat="false" ht="15" hidden="false" customHeight="false" outlineLevel="0" collapsed="false">
      <c r="C279" s="0" t="s">
        <v>1167</v>
      </c>
      <c r="D279" s="0" t="s">
        <v>640</v>
      </c>
      <c r="E279" s="0" t="s">
        <v>838</v>
      </c>
    </row>
    <row r="280" customFormat="false" ht="15" hidden="false" customHeight="false" outlineLevel="0" collapsed="false">
      <c r="C280" s="0" t="s">
        <v>1168</v>
      </c>
      <c r="D280" s="0" t="s">
        <v>640</v>
      </c>
      <c r="E280" s="0" t="s">
        <v>846</v>
      </c>
    </row>
    <row r="281" customFormat="false" ht="15" hidden="false" customHeight="false" outlineLevel="0" collapsed="false">
      <c r="C281" s="0" t="s">
        <v>1162</v>
      </c>
      <c r="D281" s="0" t="s">
        <v>640</v>
      </c>
      <c r="E281" s="0" t="s">
        <v>856</v>
      </c>
    </row>
    <row r="282" customFormat="false" ht="15" hidden="false" customHeight="false" outlineLevel="0" collapsed="false">
      <c r="C282" s="0" t="s">
        <v>1166</v>
      </c>
      <c r="D282" s="0" t="s">
        <v>640</v>
      </c>
      <c r="E282" s="0" t="s">
        <v>853</v>
      </c>
    </row>
    <row r="283" customFormat="false" ht="15" hidden="false" customHeight="false" outlineLevel="0" collapsed="false">
      <c r="C283" s="0" t="s">
        <v>61</v>
      </c>
      <c r="D283" s="0" t="s">
        <v>640</v>
      </c>
      <c r="E283" s="0" t="s">
        <v>850</v>
      </c>
    </row>
    <row r="284" customFormat="false" ht="15" hidden="false" customHeight="false" outlineLevel="0" collapsed="false">
      <c r="C284" s="0" t="s">
        <v>1035</v>
      </c>
      <c r="D284" s="0" t="s">
        <v>640</v>
      </c>
      <c r="E284" s="0" t="s">
        <v>859</v>
      </c>
    </row>
    <row r="285" customFormat="false" ht="15" hidden="false" customHeight="false" outlineLevel="0" collapsed="false">
      <c r="C285" s="0" t="s">
        <v>889</v>
      </c>
      <c r="D285" s="0" t="s">
        <v>640</v>
      </c>
      <c r="E285" s="0" t="s">
        <v>862</v>
      </c>
    </row>
    <row r="286" customFormat="false" ht="15" hidden="false" customHeight="false" outlineLevel="0" collapsed="false">
      <c r="C286" s="0" t="s">
        <v>884</v>
      </c>
      <c r="D286" s="0" t="s">
        <v>640</v>
      </c>
      <c r="E286" s="0" t="s">
        <v>867</v>
      </c>
    </row>
    <row r="287" customFormat="false" ht="15" hidden="false" customHeight="false" outlineLevel="0" collapsed="false">
      <c r="C287" s="0" t="s">
        <v>926</v>
      </c>
      <c r="D287" s="0" t="s">
        <v>640</v>
      </c>
      <c r="E287" s="0" t="s">
        <v>869</v>
      </c>
    </row>
    <row r="288" customFormat="false" ht="15" hidden="false" customHeight="false" outlineLevel="0" collapsed="false">
      <c r="C288" s="0" t="s">
        <v>338</v>
      </c>
      <c r="D288" s="0" t="s">
        <v>640</v>
      </c>
      <c r="E288" s="0" t="s">
        <v>872</v>
      </c>
    </row>
    <row r="289" customFormat="false" ht="15" hidden="false" customHeight="false" outlineLevel="0" collapsed="false">
      <c r="C289" s="0" t="s">
        <v>337</v>
      </c>
      <c r="D289" s="0" t="s">
        <v>640</v>
      </c>
      <c r="E289" s="0" t="s">
        <v>882</v>
      </c>
    </row>
    <row r="290" customFormat="false" ht="15" hidden="false" customHeight="false" outlineLevel="0" collapsed="false">
      <c r="C290" s="0" t="s">
        <v>336</v>
      </c>
      <c r="D290" s="0" t="s">
        <v>640</v>
      </c>
      <c r="E290" s="0" t="s">
        <v>877</v>
      </c>
    </row>
    <row r="291" customFormat="false" ht="15" hidden="false" customHeight="false" outlineLevel="0" collapsed="false">
      <c r="C291" s="0" t="s">
        <v>630</v>
      </c>
      <c r="D291" s="0" t="s">
        <v>640</v>
      </c>
      <c r="E291" s="0" t="s">
        <v>889</v>
      </c>
    </row>
    <row r="292" customFormat="false" ht="15" hidden="false" customHeight="false" outlineLevel="0" collapsed="false">
      <c r="C292" s="0" t="s">
        <v>629</v>
      </c>
      <c r="D292" s="0" t="s">
        <v>640</v>
      </c>
      <c r="E292" s="0" t="s">
        <v>884</v>
      </c>
    </row>
    <row r="293" customFormat="false" ht="15" hidden="false" customHeight="false" outlineLevel="0" collapsed="false">
      <c r="C293" s="0" t="s">
        <v>624</v>
      </c>
      <c r="D293" s="0" t="s">
        <v>640</v>
      </c>
      <c r="E293" s="0" t="s">
        <v>893</v>
      </c>
    </row>
    <row r="294" customFormat="false" ht="15" hidden="false" customHeight="false" outlineLevel="0" collapsed="false">
      <c r="C294" s="0" t="s">
        <v>626</v>
      </c>
      <c r="D294" s="0" t="s">
        <v>640</v>
      </c>
      <c r="E294" s="0" t="s">
        <v>894</v>
      </c>
    </row>
    <row r="295" customFormat="false" ht="15" hidden="false" customHeight="false" outlineLevel="0" collapsed="false">
      <c r="C295" s="0" t="s">
        <v>625</v>
      </c>
      <c r="D295" s="0" t="s">
        <v>640</v>
      </c>
      <c r="E295" s="0" t="s">
        <v>900</v>
      </c>
    </row>
    <row r="296" customFormat="false" ht="15" hidden="false" customHeight="false" outlineLevel="0" collapsed="false">
      <c r="C296" s="0" t="s">
        <v>621</v>
      </c>
      <c r="D296" s="0" t="s">
        <v>640</v>
      </c>
      <c r="E296" s="0" t="s">
        <v>908</v>
      </c>
    </row>
    <row r="297" customFormat="false" ht="15" hidden="false" customHeight="false" outlineLevel="0" collapsed="false">
      <c r="C297" s="0" t="s">
        <v>623</v>
      </c>
      <c r="D297" s="0" t="s">
        <v>640</v>
      </c>
      <c r="E297" s="0" t="s">
        <v>905</v>
      </c>
    </row>
    <row r="298" customFormat="false" ht="15" hidden="false" customHeight="false" outlineLevel="0" collapsed="false">
      <c r="C298" s="0" t="s">
        <v>622</v>
      </c>
      <c r="D298" s="0" t="s">
        <v>943</v>
      </c>
      <c r="E298" s="0" t="s">
        <v>1033</v>
      </c>
    </row>
    <row r="299" customFormat="false" ht="15" hidden="false" customHeight="false" outlineLevel="0" collapsed="false">
      <c r="C299" s="0" t="s">
        <v>627</v>
      </c>
      <c r="D299" s="0" t="s">
        <v>943</v>
      </c>
      <c r="E299" s="0" t="s">
        <v>1021</v>
      </c>
    </row>
    <row r="300" customFormat="false" ht="15" hidden="false" customHeight="false" outlineLevel="0" collapsed="false">
      <c r="C300" s="0" t="s">
        <v>628</v>
      </c>
      <c r="D300" s="0" t="s">
        <v>943</v>
      </c>
      <c r="E300" s="0" t="s">
        <v>674</v>
      </c>
    </row>
    <row r="301" customFormat="false" ht="15" hidden="false" customHeight="false" outlineLevel="0" collapsed="false">
      <c r="C301" s="0" t="s">
        <v>227</v>
      </c>
      <c r="D301" s="0" t="s">
        <v>943</v>
      </c>
      <c r="E301" s="0" t="s">
        <v>679</v>
      </c>
    </row>
    <row r="302" customFormat="false" ht="15" hidden="false" customHeight="false" outlineLevel="0" collapsed="false">
      <c r="C302" s="0" t="s">
        <v>500</v>
      </c>
      <c r="D302" s="0" t="s">
        <v>943</v>
      </c>
      <c r="E302" s="0" t="s">
        <v>981</v>
      </c>
    </row>
    <row r="303" customFormat="false" ht="15" hidden="false" customHeight="false" outlineLevel="0" collapsed="false">
      <c r="C303" s="0" t="s">
        <v>261</v>
      </c>
      <c r="D303" s="0" t="s">
        <v>943</v>
      </c>
      <c r="E303" s="0" t="s">
        <v>677</v>
      </c>
    </row>
    <row r="304" customFormat="false" ht="15" hidden="false" customHeight="false" outlineLevel="0" collapsed="false">
      <c r="C304" s="0" t="s">
        <v>263</v>
      </c>
      <c r="D304" s="0" t="s">
        <v>943</v>
      </c>
      <c r="E304" s="0" t="s">
        <v>952</v>
      </c>
    </row>
    <row r="305" customFormat="false" ht="15" hidden="false" customHeight="false" outlineLevel="0" collapsed="false">
      <c r="C305" s="0" t="s">
        <v>1184</v>
      </c>
      <c r="D305" s="0" t="s">
        <v>943</v>
      </c>
      <c r="E305" s="0" t="s">
        <v>692</v>
      </c>
    </row>
    <row r="306" customFormat="false" ht="15" hidden="false" customHeight="false" outlineLevel="0" collapsed="false">
      <c r="C306" s="0" t="s">
        <v>37</v>
      </c>
      <c r="D306" s="0" t="s">
        <v>943</v>
      </c>
      <c r="E306" s="0" t="s">
        <v>707</v>
      </c>
    </row>
    <row r="307" customFormat="false" ht="15" hidden="false" customHeight="false" outlineLevel="0" collapsed="false">
      <c r="C307" s="0" t="s">
        <v>78</v>
      </c>
      <c r="D307" s="0" t="s">
        <v>943</v>
      </c>
      <c r="E307" s="0" t="s">
        <v>984</v>
      </c>
    </row>
    <row r="308" customFormat="false" ht="15" hidden="false" customHeight="false" outlineLevel="0" collapsed="false">
      <c r="C308" s="0" t="s">
        <v>144</v>
      </c>
      <c r="D308" s="0" t="s">
        <v>943</v>
      </c>
      <c r="E308" s="0" t="s">
        <v>1000</v>
      </c>
    </row>
    <row r="309" customFormat="false" ht="15" hidden="false" customHeight="false" outlineLevel="0" collapsed="false">
      <c r="C309" s="0" t="s">
        <v>127</v>
      </c>
      <c r="D309" s="0" t="s">
        <v>943</v>
      </c>
      <c r="E309" s="0" t="s">
        <v>1018</v>
      </c>
    </row>
    <row r="310" customFormat="false" ht="15" hidden="false" customHeight="false" outlineLevel="0" collapsed="false">
      <c r="C310" s="0" t="s">
        <v>255</v>
      </c>
      <c r="D310" s="0" t="s">
        <v>943</v>
      </c>
      <c r="E310" s="0" t="s">
        <v>1015</v>
      </c>
    </row>
    <row r="311" customFormat="false" ht="15" hidden="false" customHeight="false" outlineLevel="0" collapsed="false">
      <c r="C311" s="0" t="s">
        <v>893</v>
      </c>
      <c r="D311" s="0" t="s">
        <v>943</v>
      </c>
      <c r="E311" s="0" t="s">
        <v>1043</v>
      </c>
    </row>
    <row r="312" customFormat="false" ht="15" hidden="false" customHeight="false" outlineLevel="0" collapsed="false">
      <c r="C312" s="0" t="s">
        <v>1191</v>
      </c>
      <c r="D312" s="0" t="s">
        <v>943</v>
      </c>
      <c r="E312" s="0" t="s">
        <v>1038</v>
      </c>
    </row>
    <row r="313" customFormat="false" ht="15" hidden="false" customHeight="false" outlineLevel="0" collapsed="false">
      <c r="C313" s="0" t="s">
        <v>600</v>
      </c>
      <c r="D313" s="0" t="s">
        <v>943</v>
      </c>
      <c r="E313" s="0" t="s">
        <v>1041</v>
      </c>
    </row>
    <row r="314" customFormat="false" ht="15" hidden="false" customHeight="false" outlineLevel="0" collapsed="false">
      <c r="C314" s="0" t="s">
        <v>39</v>
      </c>
      <c r="D314" s="0" t="s">
        <v>943</v>
      </c>
      <c r="E314" s="0" t="s">
        <v>1024</v>
      </c>
    </row>
    <row r="315" customFormat="false" ht="15" hidden="false" customHeight="false" outlineLevel="0" collapsed="false">
      <c r="C315" s="0" t="s">
        <v>52</v>
      </c>
      <c r="D315" s="0" t="s">
        <v>943</v>
      </c>
      <c r="E315" s="0" t="s">
        <v>1035</v>
      </c>
    </row>
    <row r="316" customFormat="false" ht="15" hidden="false" customHeight="false" outlineLevel="0" collapsed="false">
      <c r="C316" s="0" t="s">
        <v>894</v>
      </c>
      <c r="D316" s="0" t="s">
        <v>943</v>
      </c>
      <c r="E316" s="0" t="s">
        <v>944</v>
      </c>
    </row>
    <row r="317" customFormat="false" ht="15" hidden="false" customHeight="false" outlineLevel="0" collapsed="false">
      <c r="C317" s="0" t="s">
        <v>51</v>
      </c>
      <c r="D317" s="0" t="s">
        <v>943</v>
      </c>
      <c r="E317" s="0" t="s">
        <v>950</v>
      </c>
    </row>
    <row r="318" customFormat="false" ht="15" hidden="false" customHeight="false" outlineLevel="0" collapsed="false">
      <c r="C318" s="0" t="s">
        <v>365</v>
      </c>
      <c r="D318" s="0" t="s">
        <v>335</v>
      </c>
      <c r="E318" s="0" t="s">
        <v>634</v>
      </c>
    </row>
    <row r="319" customFormat="false" ht="15" hidden="false" customHeight="false" outlineLevel="0" collapsed="false">
      <c r="C319" s="0" t="s">
        <v>368</v>
      </c>
      <c r="D319" s="0" t="s">
        <v>335</v>
      </c>
      <c r="E319" s="0" t="s">
        <v>632</v>
      </c>
    </row>
    <row r="320" customFormat="false" ht="15" hidden="false" customHeight="false" outlineLevel="0" collapsed="false">
      <c r="C320" s="0" t="s">
        <v>364</v>
      </c>
      <c r="D320" s="0" t="s">
        <v>335</v>
      </c>
      <c r="E320" s="0" t="s">
        <v>615</v>
      </c>
    </row>
    <row r="321" customFormat="false" ht="15" hidden="false" customHeight="false" outlineLevel="0" collapsed="false">
      <c r="C321" s="0" t="s">
        <v>367</v>
      </c>
      <c r="D321" s="0" t="s">
        <v>335</v>
      </c>
      <c r="E321" s="0" t="s">
        <v>636</v>
      </c>
    </row>
    <row r="322" customFormat="false" ht="15" hidden="false" customHeight="false" outlineLevel="0" collapsed="false">
      <c r="C322" s="0" t="s">
        <v>363</v>
      </c>
      <c r="D322" s="0" t="s">
        <v>335</v>
      </c>
      <c r="E322" s="0" t="s">
        <v>338</v>
      </c>
    </row>
    <row r="323" customFormat="false" ht="15" hidden="false" customHeight="false" outlineLevel="0" collapsed="false">
      <c r="C323" s="0" t="s">
        <v>366</v>
      </c>
      <c r="D323" s="0" t="s">
        <v>335</v>
      </c>
      <c r="E323" s="0" t="s">
        <v>337</v>
      </c>
    </row>
    <row r="324" customFormat="false" ht="15" hidden="false" customHeight="false" outlineLevel="0" collapsed="false">
      <c r="C324" s="0" t="s">
        <v>597</v>
      </c>
      <c r="D324" s="0" t="s">
        <v>335</v>
      </c>
      <c r="E324" s="0" t="s">
        <v>336</v>
      </c>
    </row>
    <row r="325" customFormat="false" ht="15" hidden="false" customHeight="false" outlineLevel="0" collapsed="false">
      <c r="C325" s="0" t="s">
        <v>485</v>
      </c>
      <c r="D325" s="0" t="s">
        <v>335</v>
      </c>
      <c r="E325" s="0" t="s">
        <v>630</v>
      </c>
    </row>
    <row r="326" customFormat="false" ht="15" hidden="false" customHeight="false" outlineLevel="0" collapsed="false">
      <c r="C326" s="0" t="s">
        <v>900</v>
      </c>
      <c r="D326" s="0" t="s">
        <v>335</v>
      </c>
      <c r="E326" s="0" t="s">
        <v>629</v>
      </c>
    </row>
    <row r="327" customFormat="false" ht="15" hidden="false" customHeight="false" outlineLevel="0" collapsed="false">
      <c r="C327" s="0" t="s">
        <v>43</v>
      </c>
      <c r="D327" s="0" t="s">
        <v>335</v>
      </c>
      <c r="E327" s="0" t="s">
        <v>624</v>
      </c>
    </row>
    <row r="328" customFormat="false" ht="15" hidden="false" customHeight="false" outlineLevel="0" collapsed="false">
      <c r="C328" s="0" t="s">
        <v>1102</v>
      </c>
      <c r="D328" s="0" t="s">
        <v>335</v>
      </c>
      <c r="E328" s="0" t="s">
        <v>626</v>
      </c>
    </row>
    <row r="329" customFormat="false" ht="15" hidden="false" customHeight="false" outlineLevel="0" collapsed="false">
      <c r="C329" s="0" t="s">
        <v>944</v>
      </c>
      <c r="D329" s="0" t="s">
        <v>335</v>
      </c>
      <c r="E329" s="0" t="s">
        <v>625</v>
      </c>
    </row>
    <row r="330" customFormat="false" ht="15" hidden="false" customHeight="false" outlineLevel="0" collapsed="false">
      <c r="C330" s="0" t="s">
        <v>950</v>
      </c>
      <c r="D330" s="0" t="s">
        <v>335</v>
      </c>
      <c r="E330" s="0" t="s">
        <v>621</v>
      </c>
    </row>
    <row r="331" customFormat="false" ht="15" hidden="false" customHeight="false" outlineLevel="0" collapsed="false">
      <c r="C331" s="0" t="s">
        <v>969</v>
      </c>
      <c r="D331" s="0" t="s">
        <v>335</v>
      </c>
      <c r="E331" s="0" t="s">
        <v>623</v>
      </c>
    </row>
    <row r="332" customFormat="false" ht="15" hidden="false" customHeight="false" outlineLevel="0" collapsed="false">
      <c r="C332" s="0" t="s">
        <v>961</v>
      </c>
      <c r="D332" s="0" t="s">
        <v>335</v>
      </c>
      <c r="E332" s="0" t="s">
        <v>622</v>
      </c>
    </row>
    <row r="333" customFormat="false" ht="15" hidden="false" customHeight="false" outlineLevel="0" collapsed="false">
      <c r="C333" s="0" t="s">
        <v>965</v>
      </c>
      <c r="D333" s="0" t="s">
        <v>335</v>
      </c>
      <c r="E333" s="0" t="s">
        <v>627</v>
      </c>
    </row>
    <row r="334" customFormat="false" ht="15" hidden="false" customHeight="false" outlineLevel="0" collapsed="false">
      <c r="C334" s="0" t="s">
        <v>967</v>
      </c>
      <c r="D334" s="0" t="s">
        <v>335</v>
      </c>
      <c r="E334" s="0" t="s">
        <v>628</v>
      </c>
    </row>
    <row r="335" customFormat="false" ht="15" hidden="false" customHeight="false" outlineLevel="0" collapsed="false">
      <c r="C335" s="0" t="s">
        <v>908</v>
      </c>
      <c r="D335" s="0" t="s">
        <v>335</v>
      </c>
      <c r="E335" s="0" t="s">
        <v>365</v>
      </c>
    </row>
    <row r="336" customFormat="false" ht="15" hidden="false" customHeight="false" outlineLevel="0" collapsed="false">
      <c r="C336" s="0" t="s">
        <v>905</v>
      </c>
      <c r="D336" s="0" t="s">
        <v>335</v>
      </c>
      <c r="E336" s="0" t="s">
        <v>368</v>
      </c>
    </row>
    <row r="337" customFormat="false" ht="15" hidden="false" customHeight="false" outlineLevel="0" collapsed="false">
      <c r="D337" s="0" t="s">
        <v>335</v>
      </c>
      <c r="E337" s="0" t="s">
        <v>364</v>
      </c>
    </row>
    <row r="338" customFormat="false" ht="15" hidden="false" customHeight="false" outlineLevel="0" collapsed="false">
      <c r="D338" s="0" t="s">
        <v>335</v>
      </c>
      <c r="E338" s="0" t="s">
        <v>367</v>
      </c>
    </row>
    <row r="339" customFormat="false" ht="15" hidden="false" customHeight="false" outlineLevel="0" collapsed="false">
      <c r="D339" s="0" t="s">
        <v>335</v>
      </c>
      <c r="E339" s="0" t="s">
        <v>363</v>
      </c>
    </row>
    <row r="340" customFormat="false" ht="15" hidden="false" customHeight="false" outlineLevel="0" collapsed="false">
      <c r="D340" s="0" t="s">
        <v>335</v>
      </c>
      <c r="E340" s="0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2026-10-17T05:25:42Z</dcterms:created>
  <dc:creator>openpyxl</dc:creator>
  <dc:description/>
  <dc:language>en-US</dc:language>
  <cp:lastModifiedBy/>
  <dcterms:modified xsi:type="dcterms:W3CDTF">2026-10-17T05:25:43Z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